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Tech_department\BS_TS\`Finance\Ц О П\~~ АВР ЭСТ OPEX ~~\2026\2612-2613 Орех Ростов ЭСТ\"/>
    </mc:Choice>
  </mc:AlternateContent>
  <bookViews>
    <workbookView xWindow="-120" yWindow="-120" windowWidth="29040" windowHeight="15840" firstSheet="3" activeTab="3"/>
  </bookViews>
  <sheets>
    <sheet name="ИНФ" sheetId="1" state="hidden" r:id="rId1"/>
    <sheet name="Работы" sheetId="2" state="hidden" r:id="rId2"/>
    <sheet name="Расстояния" sheetId="3" state="hidden" r:id="rId3"/>
    <sheet name="Opex" sheetId="4" r:id="rId4"/>
    <sheet name="СИМ" sheetId="5" state="hidden" r:id="rId5"/>
    <sheet name="КС2" sheetId="6" state="hidden" r:id="rId6"/>
    <sheet name="КС3" sheetId="7" state="hidden" r:id="rId7"/>
  </sheets>
  <externalReferences>
    <externalReference r:id="rId8"/>
    <externalReference r:id="rId9"/>
  </externalReferences>
  <definedNames>
    <definedName name="___xlnm._FilterDatabase_1" localSheetId="3">#REF!</definedName>
    <definedName name="___xlnm._FilterDatabase_1" localSheetId="5">#REF!</definedName>
    <definedName name="___xlnm._FilterDatabase_1" localSheetId="6">#REF!</definedName>
    <definedName name="___xlnm._FilterDatabase_1" localSheetId="1">#REF!</definedName>
    <definedName name="___xlnm._FilterDatabase_1" localSheetId="4">#REF!</definedName>
    <definedName name="___xlnm._FilterDatabase_1">#REF!</definedName>
    <definedName name="__xlnm._FilterDatabase_1" localSheetId="3">#REF!</definedName>
    <definedName name="__xlnm._FilterDatabase_1" localSheetId="5">#REF!</definedName>
    <definedName name="__xlnm._FilterDatabase_1" localSheetId="6">#REF!</definedName>
    <definedName name="__xlnm._FilterDatabase_1" localSheetId="1">#REF!</definedName>
    <definedName name="__xlnm._FilterDatabase_1" localSheetId="4">#REF!</definedName>
    <definedName name="__xlnm._FilterDatabase_1">#REF!</definedName>
    <definedName name="_xlnm._FilterDatabase" localSheetId="3" hidden="1">Opex!$A$10:$CQ$230</definedName>
    <definedName name="_xlnm._FilterDatabase" localSheetId="1" hidden="1">Работы!$A$1:$I$183</definedName>
    <definedName name="_xlnm._FilterDatabase" localSheetId="2" hidden="1">Расстояния!$A$1:$AD$1769</definedName>
    <definedName name="Capex">#REF!</definedName>
    <definedName name="_xlnm.Print_Titles" localSheetId="3">Opex!$10:$10</definedName>
    <definedName name="_xlnm.Print_Titles" localSheetId="5">КС2!$30:$31</definedName>
    <definedName name="_xlnm.Print_Area" localSheetId="3">Opex!$A$1:$AJ$242</definedName>
  </definedNames>
  <calcPr calcId="162913"/>
</workbook>
</file>

<file path=xl/calcChain.xml><?xml version="1.0" encoding="utf-8"?>
<calcChain xmlns="http://schemas.openxmlformats.org/spreadsheetml/2006/main">
  <c r="C201" i="4" l="1"/>
  <c r="C196" i="4"/>
  <c r="C126" i="4"/>
  <c r="C118" i="4"/>
  <c r="C114" i="4"/>
  <c r="AL224" i="4" l="1"/>
  <c r="AM224" i="4"/>
  <c r="AL225" i="4"/>
  <c r="AM225" i="4"/>
  <c r="AL226" i="4"/>
  <c r="AM226" i="4"/>
  <c r="O227" i="4" l="1"/>
  <c r="Q17" i="4" l="1"/>
  <c r="Q219" i="4"/>
  <c r="Q216" i="4"/>
  <c r="Q162" i="4"/>
  <c r="Q126" i="4"/>
  <c r="Q213" i="4"/>
  <c r="Q215" i="4"/>
  <c r="Q21" i="4"/>
  <c r="Q27" i="4"/>
  <c r="Q150" i="4"/>
  <c r="Q48" i="4"/>
  <c r="Q209" i="4"/>
  <c r="Q195" i="4"/>
  <c r="Q179" i="4"/>
  <c r="Q129" i="4"/>
  <c r="Q110" i="4"/>
  <c r="Q222" i="4"/>
  <c r="Q122" i="4"/>
  <c r="Q63" i="4"/>
  <c r="Q188" i="4"/>
  <c r="Q155" i="4"/>
  <c r="Q104" i="4"/>
  <c r="Q149" i="4"/>
  <c r="Q152" i="4"/>
  <c r="Q135" i="4"/>
  <c r="Q134" i="4"/>
  <c r="Q121" i="4"/>
  <c r="Q137" i="4"/>
  <c r="Q161" i="4"/>
  <c r="Q59" i="4"/>
  <c r="Q62" i="4"/>
  <c r="Q168" i="4"/>
  <c r="Q130" i="4"/>
  <c r="Q136" i="4"/>
  <c r="Q87" i="4"/>
  <c r="Q118" i="4"/>
  <c r="Q78" i="4"/>
  <c r="Q103" i="4"/>
  <c r="Q53" i="4"/>
  <c r="Q127" i="4"/>
  <c r="Q105" i="4"/>
  <c r="Q41" i="4"/>
  <c r="Q37" i="4"/>
  <c r="Q33" i="4"/>
  <c r="Q13" i="4"/>
  <c r="Q139" i="4"/>
  <c r="Q124" i="4"/>
  <c r="Q32" i="4"/>
  <c r="Q191" i="4"/>
  <c r="Q217" i="4"/>
  <c r="Q223" i="4"/>
  <c r="Q24" i="4"/>
  <c r="Q22" i="4"/>
  <c r="AE29" i="4"/>
  <c r="AE30" i="4"/>
  <c r="AF30" i="4"/>
  <c r="AE31" i="4"/>
  <c r="AF31" i="4"/>
  <c r="AE102" i="4"/>
  <c r="AF102" i="4"/>
  <c r="AE91" i="4"/>
  <c r="AF91" i="4"/>
  <c r="AE92" i="4"/>
  <c r="AF92" i="4"/>
  <c r="AE93" i="4"/>
  <c r="AF93" i="4"/>
  <c r="AE94" i="4"/>
  <c r="AF94" i="4"/>
  <c r="AE77" i="4"/>
  <c r="AF77" i="4"/>
  <c r="AE221" i="4"/>
  <c r="AE144" i="4"/>
  <c r="AE174" i="4"/>
  <c r="AE175" i="4"/>
  <c r="AF175" i="4"/>
  <c r="AE22" i="4"/>
  <c r="AE101" i="4"/>
  <c r="AE24" i="4"/>
  <c r="AE206" i="4"/>
  <c r="AF206" i="4"/>
  <c r="AE205" i="4"/>
  <c r="AF205" i="4"/>
  <c r="AE44" i="4"/>
  <c r="AE45" i="4"/>
  <c r="AF45" i="4"/>
  <c r="AE46" i="4"/>
  <c r="AF46" i="4"/>
  <c r="AE204" i="4"/>
  <c r="AF204" i="4"/>
  <c r="AE223" i="4"/>
  <c r="AF223" i="4"/>
  <c r="AE47" i="4"/>
  <c r="AF47" i="4"/>
  <c r="AE217" i="4"/>
  <c r="AE191" i="4"/>
  <c r="AE193" i="4"/>
  <c r="AE194" i="4"/>
  <c r="AF194" i="4"/>
  <c r="AE32" i="4"/>
  <c r="AE16" i="4"/>
  <c r="AE38" i="4"/>
  <c r="AE124" i="4"/>
  <c r="AE139" i="4"/>
  <c r="AE13" i="4"/>
  <c r="AE173" i="4"/>
  <c r="AE35" i="4"/>
  <c r="AE153" i="4"/>
  <c r="AF153" i="4"/>
  <c r="AE125" i="4"/>
  <c r="AF125" i="4"/>
  <c r="AE107" i="4"/>
  <c r="AF107" i="4"/>
  <c r="AE119" i="4"/>
  <c r="AE183" i="4"/>
  <c r="AE176" i="4"/>
  <c r="AF176" i="4"/>
  <c r="AE57" i="4"/>
  <c r="AE58" i="4"/>
  <c r="AF58" i="4"/>
  <c r="AE95" i="4"/>
  <c r="AE158" i="4"/>
  <c r="AE159" i="4"/>
  <c r="AF159" i="4"/>
  <c r="AE160" i="4"/>
  <c r="AF160" i="4"/>
  <c r="AE33" i="4"/>
  <c r="AE157" i="4"/>
  <c r="AE138" i="4"/>
  <c r="AE37" i="4"/>
  <c r="AE66" i="4"/>
  <c r="AE67" i="4"/>
  <c r="AF67" i="4"/>
  <c r="AE81" i="4"/>
  <c r="AE41" i="4"/>
  <c r="AE105" i="4"/>
  <c r="AE127" i="4"/>
  <c r="AE100" i="4"/>
  <c r="AF100" i="4"/>
  <c r="AE178" i="4"/>
  <c r="AE53" i="4"/>
  <c r="AE54" i="4"/>
  <c r="AF54" i="4"/>
  <c r="AE55" i="4"/>
  <c r="AF55" i="4"/>
  <c r="AE214" i="4"/>
  <c r="AE70" i="4"/>
  <c r="AE71" i="4"/>
  <c r="AF71" i="4"/>
  <c r="AE28" i="4"/>
  <c r="AE180" i="4"/>
  <c r="AF180" i="4"/>
  <c r="AE72" i="4"/>
  <c r="AE73" i="4"/>
  <c r="AF73" i="4"/>
  <c r="AE196" i="4"/>
  <c r="AF196" i="4"/>
  <c r="AE128" i="4"/>
  <c r="AE52" i="4"/>
  <c r="AE147" i="4"/>
  <c r="AF147" i="4"/>
  <c r="AE68" i="4"/>
  <c r="AE69" i="4"/>
  <c r="AF69" i="4"/>
  <c r="AE132" i="4"/>
  <c r="AE111" i="4"/>
  <c r="AE112" i="4"/>
  <c r="AF112" i="4"/>
  <c r="AE40" i="4"/>
  <c r="AE210" i="4"/>
  <c r="AF210" i="4"/>
  <c r="AE148" i="4"/>
  <c r="AF148" i="4"/>
  <c r="AE103" i="4"/>
  <c r="AE211" i="4"/>
  <c r="AF211" i="4"/>
  <c r="AE120" i="4"/>
  <c r="AE140" i="4"/>
  <c r="AE141" i="4"/>
  <c r="AF141" i="4"/>
  <c r="AE142" i="4"/>
  <c r="AF142" i="4"/>
  <c r="AE143" i="4"/>
  <c r="AF143" i="4"/>
  <c r="AE12" i="4"/>
  <c r="AE192" i="4"/>
  <c r="AF192" i="4"/>
  <c r="AE145" i="4"/>
  <c r="AF145" i="4"/>
  <c r="AE85" i="4"/>
  <c r="AE89" i="4"/>
  <c r="AE212" i="4"/>
  <c r="AF212" i="4"/>
  <c r="AE74" i="4"/>
  <c r="AE88" i="4"/>
  <c r="AE75" i="4"/>
  <c r="AF75" i="4"/>
  <c r="AE76" i="4"/>
  <c r="AF76" i="4"/>
  <c r="AE78" i="4"/>
  <c r="AE182" i="4"/>
  <c r="AE56" i="4"/>
  <c r="AE133" i="4"/>
  <c r="AE118" i="4"/>
  <c r="AF118" i="4"/>
  <c r="AE87" i="4"/>
  <c r="AE136" i="4"/>
  <c r="AE130" i="4"/>
  <c r="AE11" i="4"/>
  <c r="AF11" i="4"/>
  <c r="AE218" i="4"/>
  <c r="AF218" i="4"/>
  <c r="AE20" i="4"/>
  <c r="AF20" i="4"/>
  <c r="AE96" i="4"/>
  <c r="AE116" i="4"/>
  <c r="AF116" i="4"/>
  <c r="AE117" i="4"/>
  <c r="AF117" i="4"/>
  <c r="AE168" i="4"/>
  <c r="AE97" i="4"/>
  <c r="AE98" i="4"/>
  <c r="AF98" i="4"/>
  <c r="AE99" i="4"/>
  <c r="AF99" i="4"/>
  <c r="AE62" i="4"/>
  <c r="AE59" i="4"/>
  <c r="AE161" i="4"/>
  <c r="AE60" i="4"/>
  <c r="AF60" i="4"/>
  <c r="AE61" i="4"/>
  <c r="AF61" i="4"/>
  <c r="AE108" i="4"/>
  <c r="AE137" i="4"/>
  <c r="AF137" i="4"/>
  <c r="AE86" i="4"/>
  <c r="AE113" i="4"/>
  <c r="AF113" i="4"/>
  <c r="AE121" i="4"/>
  <c r="AE106" i="4"/>
  <c r="AE151" i="4"/>
  <c r="AF151" i="4"/>
  <c r="AE197" i="4"/>
  <c r="AF197" i="4"/>
  <c r="AE169" i="4"/>
  <c r="AE170" i="4"/>
  <c r="AF170" i="4"/>
  <c r="AE167" i="4"/>
  <c r="AE198" i="4"/>
  <c r="AF198" i="4"/>
  <c r="AE199" i="4"/>
  <c r="AF199" i="4"/>
  <c r="AE200" i="4"/>
  <c r="AF200" i="4"/>
  <c r="AE171" i="4"/>
  <c r="AF171" i="4"/>
  <c r="AE134" i="4"/>
  <c r="AE135" i="4"/>
  <c r="AE152" i="4"/>
  <c r="AE149" i="4"/>
  <c r="AE104" i="4"/>
  <c r="AE25" i="4"/>
  <c r="AE26" i="4"/>
  <c r="AF26" i="4"/>
  <c r="AE155" i="4"/>
  <c r="AE188" i="4"/>
  <c r="AE189" i="4"/>
  <c r="AF189" i="4"/>
  <c r="AE190" i="4"/>
  <c r="AF190" i="4"/>
  <c r="AE63" i="4"/>
  <c r="AE90" i="4"/>
  <c r="AE154" i="4"/>
  <c r="AE156" i="4"/>
  <c r="AE14" i="4"/>
  <c r="AF14" i="4"/>
  <c r="AE122" i="4"/>
  <c r="AE208" i="4"/>
  <c r="AE222" i="4"/>
  <c r="AE82" i="4"/>
  <c r="AE36" i="4"/>
  <c r="AE110" i="4"/>
  <c r="AE129" i="4"/>
  <c r="AE172" i="4"/>
  <c r="AF172" i="4"/>
  <c r="AE146" i="4"/>
  <c r="AE179" i="4"/>
  <c r="AE195" i="4"/>
  <c r="AE15" i="4"/>
  <c r="AE181" i="4"/>
  <c r="AE209" i="4"/>
  <c r="AE48" i="4"/>
  <c r="AE34" i="4"/>
  <c r="AE65" i="4"/>
  <c r="AE150" i="4"/>
  <c r="AE109" i="4"/>
  <c r="AF109" i="4"/>
  <c r="AE27" i="4"/>
  <c r="AE21" i="4"/>
  <c r="AE49" i="4"/>
  <c r="AE18" i="4"/>
  <c r="AE19" i="4"/>
  <c r="AE215" i="4"/>
  <c r="AE213" i="4"/>
  <c r="AF213" i="4"/>
  <c r="AE83" i="4"/>
  <c r="AE207" i="4"/>
  <c r="AE50" i="4"/>
  <c r="AF50" i="4"/>
  <c r="AE51" i="4"/>
  <c r="AF51" i="4"/>
  <c r="AE114" i="4"/>
  <c r="AE115" i="4"/>
  <c r="AF115" i="4"/>
  <c r="AE123" i="4"/>
  <c r="AE126" i="4"/>
  <c r="AF126" i="4"/>
  <c r="AE131" i="4"/>
  <c r="AF131" i="4"/>
  <c r="AE162" i="4"/>
  <c r="AE216" i="4"/>
  <c r="AE163" i="4"/>
  <c r="AE79" i="4"/>
  <c r="AE80" i="4"/>
  <c r="AF80" i="4"/>
  <c r="AE164" i="4"/>
  <c r="AF164" i="4"/>
  <c r="AE165" i="4"/>
  <c r="AF165" i="4"/>
  <c r="AE166" i="4"/>
  <c r="AF166" i="4"/>
  <c r="AE219" i="4"/>
  <c r="AE220" i="4"/>
  <c r="AE17" i="4"/>
  <c r="AE185" i="4"/>
  <c r="AE186" i="4"/>
  <c r="AF186" i="4"/>
  <c r="AE184" i="4"/>
  <c r="AF184" i="4"/>
  <c r="AE201" i="4"/>
  <c r="AF201" i="4"/>
  <c r="AE202" i="4"/>
  <c r="AF202" i="4"/>
  <c r="AE203" i="4"/>
  <c r="AF203" i="4"/>
  <c r="AE84" i="4"/>
  <c r="AF84" i="4"/>
  <c r="AE64" i="4"/>
  <c r="AE177" i="4"/>
  <c r="AE39" i="4"/>
  <c r="AE187" i="4"/>
  <c r="AE42" i="4"/>
  <c r="AE43" i="4"/>
  <c r="AF43" i="4"/>
  <c r="AE224" i="4"/>
  <c r="AF224" i="4"/>
  <c r="AE225" i="4"/>
  <c r="AF225" i="4"/>
  <c r="AE226" i="4"/>
  <c r="AF226" i="4"/>
  <c r="Y29" i="4"/>
  <c r="Z29" i="4"/>
  <c r="Y30" i="4"/>
  <c r="Z30" i="4"/>
  <c r="Y31" i="4"/>
  <c r="Z31" i="4"/>
  <c r="Y102" i="4"/>
  <c r="Z102" i="4"/>
  <c r="Y91" i="4"/>
  <c r="Z91" i="4"/>
  <c r="Y92" i="4"/>
  <c r="Z92" i="4"/>
  <c r="Y93" i="4"/>
  <c r="Z93" i="4"/>
  <c r="Y94" i="4"/>
  <c r="Z94" i="4"/>
  <c r="Y77" i="4"/>
  <c r="Z77" i="4"/>
  <c r="Y221" i="4"/>
  <c r="Z221" i="4"/>
  <c r="Y144" i="4"/>
  <c r="Z144" i="4"/>
  <c r="Y174" i="4"/>
  <c r="Z174" i="4"/>
  <c r="Y175" i="4"/>
  <c r="Z175" i="4"/>
  <c r="Y22" i="4"/>
  <c r="Z22" i="4"/>
  <c r="Y101" i="4"/>
  <c r="Z101" i="4"/>
  <c r="Y24" i="4"/>
  <c r="Z24" i="4"/>
  <c r="Y206" i="4"/>
  <c r="Z206" i="4"/>
  <c r="Y205" i="4"/>
  <c r="Z205" i="4"/>
  <c r="Y44" i="4"/>
  <c r="Z44" i="4"/>
  <c r="Y45" i="4"/>
  <c r="Z45" i="4"/>
  <c r="Y46" i="4"/>
  <c r="Z46" i="4"/>
  <c r="Y204" i="4"/>
  <c r="Z204" i="4"/>
  <c r="Y223" i="4"/>
  <c r="Z223" i="4"/>
  <c r="Y47" i="4"/>
  <c r="Z47" i="4"/>
  <c r="Y217" i="4"/>
  <c r="Z217" i="4"/>
  <c r="Y191" i="4"/>
  <c r="Z191" i="4"/>
  <c r="Y193" i="4"/>
  <c r="Z193" i="4"/>
  <c r="Y194" i="4"/>
  <c r="Z194" i="4"/>
  <c r="Y32" i="4"/>
  <c r="Z32" i="4"/>
  <c r="Y16" i="4"/>
  <c r="Z16" i="4"/>
  <c r="Y38" i="4"/>
  <c r="Z38" i="4"/>
  <c r="Y124" i="4"/>
  <c r="Z124" i="4"/>
  <c r="Y139" i="4"/>
  <c r="Z139" i="4"/>
  <c r="Y13" i="4"/>
  <c r="Z13" i="4"/>
  <c r="Y173" i="4"/>
  <c r="Z173" i="4"/>
  <c r="Y35" i="4"/>
  <c r="Z35" i="4"/>
  <c r="Y153" i="4"/>
  <c r="Z153" i="4"/>
  <c r="Y125" i="4"/>
  <c r="Z125" i="4"/>
  <c r="Y107" i="4"/>
  <c r="Z107" i="4"/>
  <c r="Y119" i="4"/>
  <c r="Z119" i="4"/>
  <c r="Y183" i="4"/>
  <c r="Z183" i="4"/>
  <c r="Y176" i="4"/>
  <c r="Z176" i="4"/>
  <c r="Y57" i="4"/>
  <c r="Z57" i="4"/>
  <c r="Y58" i="4"/>
  <c r="Z58" i="4"/>
  <c r="Y95" i="4"/>
  <c r="Z95" i="4"/>
  <c r="Y158" i="4"/>
  <c r="Z158" i="4"/>
  <c r="Y159" i="4"/>
  <c r="Z159" i="4"/>
  <c r="Y160" i="4"/>
  <c r="Z160" i="4"/>
  <c r="Y33" i="4"/>
  <c r="Z33" i="4"/>
  <c r="Y157" i="4"/>
  <c r="Z157" i="4"/>
  <c r="Y138" i="4"/>
  <c r="Z138" i="4"/>
  <c r="Y37" i="4"/>
  <c r="Z37" i="4"/>
  <c r="Y66" i="4"/>
  <c r="Z66" i="4"/>
  <c r="Y67" i="4"/>
  <c r="Z67" i="4"/>
  <c r="Y81" i="4"/>
  <c r="Z81" i="4"/>
  <c r="Y41" i="4"/>
  <c r="Z41" i="4"/>
  <c r="Y105" i="4"/>
  <c r="Z105" i="4"/>
  <c r="Y127" i="4"/>
  <c r="Z127" i="4"/>
  <c r="Y100" i="4"/>
  <c r="Z100" i="4"/>
  <c r="Y178" i="4"/>
  <c r="Z178" i="4"/>
  <c r="Y53" i="4"/>
  <c r="Z53" i="4"/>
  <c r="Y54" i="4"/>
  <c r="Z54" i="4"/>
  <c r="Y55" i="4"/>
  <c r="Z55" i="4"/>
  <c r="Y214" i="4"/>
  <c r="Z214" i="4"/>
  <c r="Y70" i="4"/>
  <c r="Z70" i="4"/>
  <c r="Y71" i="4"/>
  <c r="Z71" i="4"/>
  <c r="Y28" i="4"/>
  <c r="Z28" i="4"/>
  <c r="Y180" i="4"/>
  <c r="Z180" i="4"/>
  <c r="Y72" i="4"/>
  <c r="Z72" i="4"/>
  <c r="Y73" i="4"/>
  <c r="Z73" i="4"/>
  <c r="Y196" i="4"/>
  <c r="Z196" i="4"/>
  <c r="Y128" i="4"/>
  <c r="Z128" i="4"/>
  <c r="Y52" i="4"/>
  <c r="Z52" i="4"/>
  <c r="Y147" i="4"/>
  <c r="Z147" i="4"/>
  <c r="Y68" i="4"/>
  <c r="Z68" i="4"/>
  <c r="Y69" i="4"/>
  <c r="Z69" i="4"/>
  <c r="Y132" i="4"/>
  <c r="Z132" i="4"/>
  <c r="Y111" i="4"/>
  <c r="Z111" i="4"/>
  <c r="Y112" i="4"/>
  <c r="Z112" i="4"/>
  <c r="Y40" i="4"/>
  <c r="Z40" i="4"/>
  <c r="Y210" i="4"/>
  <c r="Z210" i="4"/>
  <c r="Y148" i="4"/>
  <c r="Z148" i="4"/>
  <c r="Y103" i="4"/>
  <c r="Z103" i="4"/>
  <c r="Y211" i="4"/>
  <c r="Z211" i="4"/>
  <c r="Y120" i="4"/>
  <c r="Z120" i="4"/>
  <c r="Y140" i="4"/>
  <c r="Z140" i="4"/>
  <c r="Y141" i="4"/>
  <c r="Z141" i="4"/>
  <c r="Y142" i="4"/>
  <c r="Z142" i="4"/>
  <c r="Y143" i="4"/>
  <c r="Z143" i="4"/>
  <c r="Y12" i="4"/>
  <c r="Z12" i="4"/>
  <c r="Y192" i="4"/>
  <c r="Z192" i="4"/>
  <c r="Y145" i="4"/>
  <c r="Z145" i="4"/>
  <c r="Y85" i="4"/>
  <c r="Z85" i="4"/>
  <c r="Y89" i="4"/>
  <c r="Z89" i="4"/>
  <c r="Y212" i="4"/>
  <c r="Z212" i="4"/>
  <c r="Y74" i="4"/>
  <c r="Z74" i="4"/>
  <c r="Y88" i="4"/>
  <c r="Z88" i="4"/>
  <c r="Y75" i="4"/>
  <c r="Z75" i="4"/>
  <c r="Y76" i="4"/>
  <c r="Z76" i="4"/>
  <c r="Y78" i="4"/>
  <c r="Z78" i="4"/>
  <c r="Y182" i="4"/>
  <c r="Z182" i="4"/>
  <c r="Y56" i="4"/>
  <c r="Z56" i="4"/>
  <c r="Y133" i="4"/>
  <c r="Z133" i="4"/>
  <c r="Y118" i="4"/>
  <c r="Z118" i="4"/>
  <c r="Y87" i="4"/>
  <c r="Z87" i="4"/>
  <c r="Y136" i="4"/>
  <c r="Z136" i="4"/>
  <c r="Y130" i="4"/>
  <c r="Z130" i="4"/>
  <c r="Y11" i="4"/>
  <c r="Z11" i="4"/>
  <c r="Y218" i="4"/>
  <c r="Z218" i="4"/>
  <c r="Y20" i="4"/>
  <c r="Z20" i="4"/>
  <c r="Y96" i="4"/>
  <c r="Z96" i="4"/>
  <c r="Y116" i="4"/>
  <c r="Z116" i="4"/>
  <c r="Y117" i="4"/>
  <c r="Z117" i="4"/>
  <c r="Y168" i="4"/>
  <c r="Z168" i="4"/>
  <c r="Y97" i="4"/>
  <c r="Z97" i="4"/>
  <c r="Y98" i="4"/>
  <c r="Z98" i="4"/>
  <c r="Y99" i="4"/>
  <c r="Z99" i="4"/>
  <c r="Y62" i="4"/>
  <c r="Z62" i="4"/>
  <c r="Y59" i="4"/>
  <c r="Z59" i="4"/>
  <c r="Y161" i="4"/>
  <c r="Z161" i="4"/>
  <c r="Y60" i="4"/>
  <c r="Z60" i="4"/>
  <c r="Y61" i="4"/>
  <c r="Z61" i="4"/>
  <c r="Y108" i="4"/>
  <c r="Z108" i="4"/>
  <c r="Y137" i="4"/>
  <c r="Z137" i="4"/>
  <c r="Y86" i="4"/>
  <c r="Z86" i="4"/>
  <c r="Y113" i="4"/>
  <c r="Z113" i="4"/>
  <c r="Y121" i="4"/>
  <c r="Z121" i="4"/>
  <c r="Y106" i="4"/>
  <c r="Z106" i="4"/>
  <c r="Y151" i="4"/>
  <c r="Z151" i="4"/>
  <c r="Y197" i="4"/>
  <c r="Z197" i="4"/>
  <c r="Y169" i="4"/>
  <c r="Z169" i="4"/>
  <c r="Y170" i="4"/>
  <c r="Z170" i="4"/>
  <c r="Y167" i="4"/>
  <c r="Z167" i="4"/>
  <c r="Y198" i="4"/>
  <c r="Z198" i="4"/>
  <c r="Y199" i="4"/>
  <c r="Z199" i="4"/>
  <c r="Y200" i="4"/>
  <c r="Z200" i="4"/>
  <c r="Y171" i="4"/>
  <c r="Z171" i="4"/>
  <c r="Y134" i="4"/>
  <c r="Z134" i="4"/>
  <c r="Y135" i="4"/>
  <c r="Z135" i="4"/>
  <c r="Y152" i="4"/>
  <c r="Z152" i="4"/>
  <c r="Y149" i="4"/>
  <c r="Z149" i="4"/>
  <c r="Y104" i="4"/>
  <c r="Z104" i="4"/>
  <c r="Y25" i="4"/>
  <c r="Z25" i="4"/>
  <c r="Y26" i="4"/>
  <c r="Z26" i="4"/>
  <c r="Y155" i="4"/>
  <c r="Z155" i="4"/>
  <c r="Y188" i="4"/>
  <c r="Z188" i="4"/>
  <c r="Y189" i="4"/>
  <c r="Z189" i="4"/>
  <c r="Y190" i="4"/>
  <c r="Z190" i="4"/>
  <c r="Y63" i="4"/>
  <c r="Z63" i="4"/>
  <c r="Y90" i="4"/>
  <c r="Z90" i="4"/>
  <c r="Y154" i="4"/>
  <c r="Z154" i="4"/>
  <c r="Y156" i="4"/>
  <c r="Z156" i="4"/>
  <c r="Y14" i="4"/>
  <c r="Z14" i="4"/>
  <c r="Y122" i="4"/>
  <c r="Z122" i="4"/>
  <c r="Y208" i="4"/>
  <c r="Z208" i="4"/>
  <c r="Y222" i="4"/>
  <c r="Z222" i="4"/>
  <c r="Y82" i="4"/>
  <c r="Z82" i="4"/>
  <c r="Y36" i="4"/>
  <c r="Z36" i="4"/>
  <c r="Y110" i="4"/>
  <c r="Z110" i="4"/>
  <c r="Y129" i="4"/>
  <c r="Z129" i="4"/>
  <c r="Y172" i="4"/>
  <c r="Z172" i="4"/>
  <c r="Y146" i="4"/>
  <c r="Z146" i="4"/>
  <c r="Y179" i="4"/>
  <c r="Z179" i="4"/>
  <c r="Y195" i="4"/>
  <c r="Z195" i="4"/>
  <c r="Y15" i="4"/>
  <c r="Z15" i="4"/>
  <c r="Y181" i="4"/>
  <c r="Z181" i="4"/>
  <c r="Y209" i="4"/>
  <c r="Z209" i="4"/>
  <c r="Y48" i="4"/>
  <c r="Z48" i="4"/>
  <c r="Y34" i="4"/>
  <c r="Z34" i="4"/>
  <c r="Y65" i="4"/>
  <c r="Z65" i="4"/>
  <c r="Y150" i="4"/>
  <c r="Z150" i="4"/>
  <c r="Y109" i="4"/>
  <c r="Z109" i="4"/>
  <c r="Y27" i="4"/>
  <c r="Z27" i="4"/>
  <c r="Y21" i="4"/>
  <c r="Z21" i="4"/>
  <c r="Y49" i="4"/>
  <c r="Z49" i="4"/>
  <c r="Y18" i="4"/>
  <c r="Z18" i="4"/>
  <c r="Y19" i="4"/>
  <c r="Z19" i="4"/>
  <c r="Y215" i="4"/>
  <c r="Z215" i="4"/>
  <c r="Y213" i="4"/>
  <c r="Z213" i="4"/>
  <c r="Y83" i="4"/>
  <c r="Z83" i="4"/>
  <c r="Y207" i="4"/>
  <c r="Z207" i="4"/>
  <c r="Y50" i="4"/>
  <c r="Z50" i="4"/>
  <c r="Y51" i="4"/>
  <c r="Z51" i="4"/>
  <c r="Y114" i="4"/>
  <c r="Z114" i="4"/>
  <c r="Y115" i="4"/>
  <c r="Z115" i="4"/>
  <c r="Y123" i="4"/>
  <c r="Z123" i="4"/>
  <c r="Y126" i="4"/>
  <c r="Z126" i="4"/>
  <c r="Y131" i="4"/>
  <c r="Z131" i="4"/>
  <c r="Y162" i="4"/>
  <c r="Z162" i="4"/>
  <c r="Y216" i="4"/>
  <c r="Z216" i="4"/>
  <c r="Y163" i="4"/>
  <c r="Z163" i="4"/>
  <c r="Y79" i="4"/>
  <c r="Z79" i="4"/>
  <c r="Y80" i="4"/>
  <c r="Z80" i="4"/>
  <c r="Y164" i="4"/>
  <c r="Z164" i="4"/>
  <c r="Y165" i="4"/>
  <c r="Z165" i="4"/>
  <c r="Y166" i="4"/>
  <c r="Z166" i="4"/>
  <c r="Y219" i="4"/>
  <c r="Z219" i="4"/>
  <c r="Y220" i="4"/>
  <c r="Z220" i="4"/>
  <c r="Y17" i="4"/>
  <c r="Z17" i="4"/>
  <c r="Y185" i="4"/>
  <c r="Z185" i="4"/>
  <c r="Y186" i="4"/>
  <c r="Z186" i="4"/>
  <c r="Y184" i="4"/>
  <c r="Z184" i="4"/>
  <c r="Y201" i="4"/>
  <c r="Z201" i="4"/>
  <c r="Y202" i="4"/>
  <c r="Z202" i="4"/>
  <c r="Y203" i="4"/>
  <c r="Z203" i="4"/>
  <c r="Y84" i="4"/>
  <c r="Z84" i="4"/>
  <c r="Y64" i="4"/>
  <c r="Z64" i="4"/>
  <c r="Y177" i="4"/>
  <c r="Z177" i="4"/>
  <c r="Y39" i="4"/>
  <c r="Z39" i="4"/>
  <c r="Y187" i="4"/>
  <c r="Z187" i="4"/>
  <c r="Y42" i="4"/>
  <c r="Z42" i="4"/>
  <c r="Y43" i="4"/>
  <c r="Z43" i="4"/>
  <c r="Y224" i="4"/>
  <c r="Z224" i="4"/>
  <c r="Y225" i="4"/>
  <c r="Z225" i="4"/>
  <c r="Y226" i="4"/>
  <c r="Z226" i="4"/>
  <c r="T29" i="4"/>
  <c r="U29" i="4"/>
  <c r="V29" i="4"/>
  <c r="T30" i="4"/>
  <c r="U30" i="4"/>
  <c r="V30" i="4"/>
  <c r="T31" i="4"/>
  <c r="U31" i="4"/>
  <c r="V31" i="4"/>
  <c r="T102" i="4"/>
  <c r="U102" i="4"/>
  <c r="V102" i="4"/>
  <c r="T91" i="4"/>
  <c r="U91" i="4"/>
  <c r="V91" i="4"/>
  <c r="T92" i="4"/>
  <c r="U92" i="4"/>
  <c r="V92" i="4"/>
  <c r="T93" i="4"/>
  <c r="U93" i="4"/>
  <c r="V93" i="4"/>
  <c r="T94" i="4"/>
  <c r="U94" i="4"/>
  <c r="V94" i="4"/>
  <c r="T77" i="4"/>
  <c r="U77" i="4"/>
  <c r="V77" i="4"/>
  <c r="T221" i="4"/>
  <c r="U221" i="4"/>
  <c r="V221" i="4"/>
  <c r="T144" i="4"/>
  <c r="U144" i="4"/>
  <c r="V144" i="4"/>
  <c r="T174" i="4"/>
  <c r="U174" i="4"/>
  <c r="V174" i="4"/>
  <c r="T175" i="4"/>
  <c r="U175" i="4"/>
  <c r="V175" i="4"/>
  <c r="T22" i="4"/>
  <c r="U22" i="4"/>
  <c r="V22" i="4"/>
  <c r="T101" i="4"/>
  <c r="U101" i="4"/>
  <c r="V101" i="4"/>
  <c r="T24" i="4"/>
  <c r="U24" i="4"/>
  <c r="V24" i="4"/>
  <c r="T206" i="4"/>
  <c r="U206" i="4"/>
  <c r="V206" i="4"/>
  <c r="T205" i="4"/>
  <c r="U205" i="4"/>
  <c r="V205" i="4"/>
  <c r="T44" i="4"/>
  <c r="U44" i="4"/>
  <c r="V44" i="4"/>
  <c r="T45" i="4"/>
  <c r="U45" i="4"/>
  <c r="V45" i="4"/>
  <c r="T46" i="4"/>
  <c r="U46" i="4"/>
  <c r="V46" i="4"/>
  <c r="T204" i="4"/>
  <c r="U204" i="4"/>
  <c r="V204" i="4"/>
  <c r="T223" i="4"/>
  <c r="U223" i="4"/>
  <c r="V223" i="4"/>
  <c r="T47" i="4"/>
  <c r="U47" i="4"/>
  <c r="V47" i="4"/>
  <c r="T217" i="4"/>
  <c r="U217" i="4"/>
  <c r="V217" i="4"/>
  <c r="T191" i="4"/>
  <c r="U191" i="4"/>
  <c r="V191" i="4"/>
  <c r="T193" i="4"/>
  <c r="U193" i="4"/>
  <c r="V193" i="4"/>
  <c r="T194" i="4"/>
  <c r="U194" i="4"/>
  <c r="V194" i="4"/>
  <c r="T32" i="4"/>
  <c r="U32" i="4"/>
  <c r="V32" i="4"/>
  <c r="T16" i="4"/>
  <c r="U16" i="4"/>
  <c r="V16" i="4"/>
  <c r="T38" i="4"/>
  <c r="U38" i="4"/>
  <c r="V38" i="4"/>
  <c r="T124" i="4"/>
  <c r="U124" i="4"/>
  <c r="V124" i="4"/>
  <c r="T139" i="4"/>
  <c r="U139" i="4"/>
  <c r="V139" i="4"/>
  <c r="T13" i="4"/>
  <c r="U13" i="4"/>
  <c r="V13" i="4"/>
  <c r="T173" i="4"/>
  <c r="U173" i="4"/>
  <c r="V173" i="4"/>
  <c r="T35" i="4"/>
  <c r="U35" i="4"/>
  <c r="V35" i="4"/>
  <c r="T153" i="4"/>
  <c r="U153" i="4"/>
  <c r="V153" i="4"/>
  <c r="T125" i="4"/>
  <c r="U125" i="4"/>
  <c r="V125" i="4"/>
  <c r="T107" i="4"/>
  <c r="U107" i="4"/>
  <c r="V107" i="4"/>
  <c r="T119" i="4"/>
  <c r="U119" i="4"/>
  <c r="V119" i="4"/>
  <c r="T183" i="4"/>
  <c r="U183" i="4"/>
  <c r="V183" i="4"/>
  <c r="T176" i="4"/>
  <c r="U176" i="4"/>
  <c r="V176" i="4"/>
  <c r="T57" i="4"/>
  <c r="U57" i="4"/>
  <c r="V57" i="4"/>
  <c r="T58" i="4"/>
  <c r="U58" i="4"/>
  <c r="V58" i="4"/>
  <c r="T95" i="4"/>
  <c r="U95" i="4"/>
  <c r="V95" i="4"/>
  <c r="T158" i="4"/>
  <c r="U158" i="4"/>
  <c r="V158" i="4"/>
  <c r="T159" i="4"/>
  <c r="U159" i="4"/>
  <c r="V159" i="4"/>
  <c r="T160" i="4"/>
  <c r="U160" i="4"/>
  <c r="V160" i="4"/>
  <c r="T33" i="4"/>
  <c r="U33" i="4"/>
  <c r="V33" i="4"/>
  <c r="T157" i="4"/>
  <c r="U157" i="4"/>
  <c r="V157" i="4"/>
  <c r="T138" i="4"/>
  <c r="U138" i="4"/>
  <c r="V138" i="4"/>
  <c r="T37" i="4"/>
  <c r="U37" i="4"/>
  <c r="V37" i="4"/>
  <c r="T66" i="4"/>
  <c r="U66" i="4"/>
  <c r="V66" i="4"/>
  <c r="T67" i="4"/>
  <c r="U67" i="4"/>
  <c r="V67" i="4"/>
  <c r="T81" i="4"/>
  <c r="U81" i="4"/>
  <c r="V81" i="4"/>
  <c r="T41" i="4"/>
  <c r="U41" i="4"/>
  <c r="V41" i="4"/>
  <c r="T105" i="4"/>
  <c r="U105" i="4"/>
  <c r="V105" i="4"/>
  <c r="T127" i="4"/>
  <c r="U127" i="4"/>
  <c r="V127" i="4"/>
  <c r="T100" i="4"/>
  <c r="U100" i="4"/>
  <c r="V100" i="4"/>
  <c r="T178" i="4"/>
  <c r="U178" i="4"/>
  <c r="V178" i="4"/>
  <c r="T53" i="4"/>
  <c r="U53" i="4"/>
  <c r="V53" i="4"/>
  <c r="T54" i="4"/>
  <c r="U54" i="4"/>
  <c r="V54" i="4"/>
  <c r="T55" i="4"/>
  <c r="U55" i="4"/>
  <c r="V55" i="4"/>
  <c r="T214" i="4"/>
  <c r="U214" i="4"/>
  <c r="V214" i="4"/>
  <c r="T70" i="4"/>
  <c r="U70" i="4"/>
  <c r="V70" i="4"/>
  <c r="T71" i="4"/>
  <c r="U71" i="4"/>
  <c r="V71" i="4"/>
  <c r="T28" i="4"/>
  <c r="U28" i="4"/>
  <c r="V28" i="4"/>
  <c r="T180" i="4"/>
  <c r="U180" i="4"/>
  <c r="V180" i="4"/>
  <c r="T72" i="4"/>
  <c r="U72" i="4"/>
  <c r="V72" i="4"/>
  <c r="T73" i="4"/>
  <c r="U73" i="4"/>
  <c r="V73" i="4"/>
  <c r="T196" i="4"/>
  <c r="U196" i="4"/>
  <c r="V196" i="4"/>
  <c r="T128" i="4"/>
  <c r="U128" i="4"/>
  <c r="V128" i="4"/>
  <c r="T52" i="4"/>
  <c r="U52" i="4"/>
  <c r="V52" i="4"/>
  <c r="T147" i="4"/>
  <c r="U147" i="4"/>
  <c r="V147" i="4"/>
  <c r="T68" i="4"/>
  <c r="U68" i="4"/>
  <c r="V68" i="4"/>
  <c r="T69" i="4"/>
  <c r="U69" i="4"/>
  <c r="V69" i="4"/>
  <c r="T132" i="4"/>
  <c r="U132" i="4"/>
  <c r="V132" i="4"/>
  <c r="T111" i="4"/>
  <c r="U111" i="4"/>
  <c r="V111" i="4"/>
  <c r="T112" i="4"/>
  <c r="U112" i="4"/>
  <c r="V112" i="4"/>
  <c r="T40" i="4"/>
  <c r="U40" i="4"/>
  <c r="V40" i="4"/>
  <c r="T210" i="4"/>
  <c r="U210" i="4"/>
  <c r="V210" i="4"/>
  <c r="T148" i="4"/>
  <c r="U148" i="4"/>
  <c r="V148" i="4"/>
  <c r="T103" i="4"/>
  <c r="U103" i="4"/>
  <c r="V103" i="4"/>
  <c r="T211" i="4"/>
  <c r="U211" i="4"/>
  <c r="V211" i="4"/>
  <c r="T120" i="4"/>
  <c r="U120" i="4"/>
  <c r="V120" i="4"/>
  <c r="T140" i="4"/>
  <c r="U140" i="4"/>
  <c r="V140" i="4"/>
  <c r="T141" i="4"/>
  <c r="U141" i="4"/>
  <c r="V141" i="4"/>
  <c r="T142" i="4"/>
  <c r="U142" i="4"/>
  <c r="V142" i="4"/>
  <c r="T143" i="4"/>
  <c r="U143" i="4"/>
  <c r="V143" i="4"/>
  <c r="T12" i="4"/>
  <c r="U12" i="4"/>
  <c r="V12" i="4"/>
  <c r="T192" i="4"/>
  <c r="U192" i="4"/>
  <c r="V192" i="4"/>
  <c r="T145" i="4"/>
  <c r="U145" i="4"/>
  <c r="V145" i="4"/>
  <c r="T85" i="4"/>
  <c r="U85" i="4"/>
  <c r="V85" i="4"/>
  <c r="T89" i="4"/>
  <c r="U89" i="4"/>
  <c r="V89" i="4"/>
  <c r="T212" i="4"/>
  <c r="U212" i="4"/>
  <c r="V212" i="4"/>
  <c r="T74" i="4"/>
  <c r="U74" i="4"/>
  <c r="V74" i="4"/>
  <c r="T88" i="4"/>
  <c r="U88" i="4"/>
  <c r="V88" i="4"/>
  <c r="T75" i="4"/>
  <c r="U75" i="4"/>
  <c r="V75" i="4"/>
  <c r="T76" i="4"/>
  <c r="U76" i="4"/>
  <c r="V76" i="4"/>
  <c r="T78" i="4"/>
  <c r="U78" i="4"/>
  <c r="V78" i="4"/>
  <c r="T182" i="4"/>
  <c r="U182" i="4"/>
  <c r="V182" i="4"/>
  <c r="T56" i="4"/>
  <c r="U56" i="4"/>
  <c r="V56" i="4"/>
  <c r="T133" i="4"/>
  <c r="U133" i="4"/>
  <c r="V133" i="4"/>
  <c r="T118" i="4"/>
  <c r="U118" i="4"/>
  <c r="V118" i="4"/>
  <c r="T87" i="4"/>
  <c r="U87" i="4"/>
  <c r="V87" i="4"/>
  <c r="T136" i="4"/>
  <c r="U136" i="4"/>
  <c r="V136" i="4"/>
  <c r="T130" i="4"/>
  <c r="U130" i="4"/>
  <c r="V130" i="4"/>
  <c r="T11" i="4"/>
  <c r="U11" i="4"/>
  <c r="V11" i="4"/>
  <c r="T218" i="4"/>
  <c r="U218" i="4"/>
  <c r="V218" i="4"/>
  <c r="T20" i="4"/>
  <c r="U20" i="4"/>
  <c r="V20" i="4"/>
  <c r="T96" i="4"/>
  <c r="U96" i="4"/>
  <c r="V96" i="4"/>
  <c r="T116" i="4"/>
  <c r="U116" i="4"/>
  <c r="V116" i="4"/>
  <c r="T117" i="4"/>
  <c r="U117" i="4"/>
  <c r="V117" i="4"/>
  <c r="T168" i="4"/>
  <c r="U168" i="4"/>
  <c r="V168" i="4"/>
  <c r="T97" i="4"/>
  <c r="U97" i="4"/>
  <c r="V97" i="4"/>
  <c r="T98" i="4"/>
  <c r="U98" i="4"/>
  <c r="V98" i="4"/>
  <c r="T99" i="4"/>
  <c r="U99" i="4"/>
  <c r="V99" i="4"/>
  <c r="T62" i="4"/>
  <c r="U62" i="4"/>
  <c r="V62" i="4"/>
  <c r="T59" i="4"/>
  <c r="U59" i="4"/>
  <c r="V59" i="4"/>
  <c r="T161" i="4"/>
  <c r="U161" i="4"/>
  <c r="V161" i="4"/>
  <c r="T60" i="4"/>
  <c r="U60" i="4"/>
  <c r="V60" i="4"/>
  <c r="T61" i="4"/>
  <c r="U61" i="4"/>
  <c r="V61" i="4"/>
  <c r="T108" i="4"/>
  <c r="U108" i="4"/>
  <c r="V108" i="4"/>
  <c r="T137" i="4"/>
  <c r="U137" i="4"/>
  <c r="V137" i="4"/>
  <c r="T86" i="4"/>
  <c r="U86" i="4"/>
  <c r="V86" i="4"/>
  <c r="T113" i="4"/>
  <c r="U113" i="4"/>
  <c r="V113" i="4"/>
  <c r="T121" i="4"/>
  <c r="U121" i="4"/>
  <c r="V121" i="4"/>
  <c r="T106" i="4"/>
  <c r="U106" i="4"/>
  <c r="V106" i="4"/>
  <c r="T151" i="4"/>
  <c r="U151" i="4"/>
  <c r="V151" i="4"/>
  <c r="T197" i="4"/>
  <c r="U197" i="4"/>
  <c r="V197" i="4"/>
  <c r="T169" i="4"/>
  <c r="U169" i="4"/>
  <c r="V169" i="4"/>
  <c r="T170" i="4"/>
  <c r="U170" i="4"/>
  <c r="V170" i="4"/>
  <c r="T167" i="4"/>
  <c r="U167" i="4"/>
  <c r="V167" i="4"/>
  <c r="T198" i="4"/>
  <c r="U198" i="4"/>
  <c r="V198" i="4"/>
  <c r="T199" i="4"/>
  <c r="U199" i="4"/>
  <c r="V199" i="4"/>
  <c r="T200" i="4"/>
  <c r="U200" i="4"/>
  <c r="V200" i="4"/>
  <c r="T171" i="4"/>
  <c r="U171" i="4"/>
  <c r="V171" i="4"/>
  <c r="T134" i="4"/>
  <c r="U134" i="4"/>
  <c r="V134" i="4"/>
  <c r="T135" i="4"/>
  <c r="U135" i="4"/>
  <c r="V135" i="4"/>
  <c r="T152" i="4"/>
  <c r="U152" i="4"/>
  <c r="V152" i="4"/>
  <c r="T149" i="4"/>
  <c r="U149" i="4"/>
  <c r="V149" i="4"/>
  <c r="T104" i="4"/>
  <c r="U104" i="4"/>
  <c r="V104" i="4"/>
  <c r="T25" i="4"/>
  <c r="U25" i="4"/>
  <c r="V25" i="4"/>
  <c r="T26" i="4"/>
  <c r="U26" i="4"/>
  <c r="V26" i="4"/>
  <c r="T155" i="4"/>
  <c r="U155" i="4"/>
  <c r="V155" i="4"/>
  <c r="T188" i="4"/>
  <c r="U188" i="4"/>
  <c r="V188" i="4"/>
  <c r="T189" i="4"/>
  <c r="U189" i="4"/>
  <c r="V189" i="4"/>
  <c r="T190" i="4"/>
  <c r="U190" i="4"/>
  <c r="V190" i="4"/>
  <c r="T63" i="4"/>
  <c r="U63" i="4"/>
  <c r="V63" i="4"/>
  <c r="T90" i="4"/>
  <c r="U90" i="4"/>
  <c r="V90" i="4"/>
  <c r="T154" i="4"/>
  <c r="U154" i="4"/>
  <c r="V154" i="4"/>
  <c r="T156" i="4"/>
  <c r="U156" i="4"/>
  <c r="V156" i="4"/>
  <c r="T14" i="4"/>
  <c r="U14" i="4"/>
  <c r="V14" i="4"/>
  <c r="T122" i="4"/>
  <c r="U122" i="4"/>
  <c r="V122" i="4"/>
  <c r="T208" i="4"/>
  <c r="U208" i="4"/>
  <c r="V208" i="4"/>
  <c r="T222" i="4"/>
  <c r="U222" i="4"/>
  <c r="V222" i="4"/>
  <c r="T82" i="4"/>
  <c r="U82" i="4"/>
  <c r="V82" i="4"/>
  <c r="T36" i="4"/>
  <c r="U36" i="4"/>
  <c r="V36" i="4"/>
  <c r="T110" i="4"/>
  <c r="U110" i="4"/>
  <c r="V110" i="4"/>
  <c r="T129" i="4"/>
  <c r="U129" i="4"/>
  <c r="V129" i="4"/>
  <c r="T172" i="4"/>
  <c r="U172" i="4"/>
  <c r="V172" i="4"/>
  <c r="T146" i="4"/>
  <c r="U146" i="4"/>
  <c r="V146" i="4"/>
  <c r="T179" i="4"/>
  <c r="U179" i="4"/>
  <c r="V179" i="4"/>
  <c r="T195" i="4"/>
  <c r="U195" i="4"/>
  <c r="V195" i="4"/>
  <c r="T15" i="4"/>
  <c r="U15" i="4"/>
  <c r="V15" i="4"/>
  <c r="T181" i="4"/>
  <c r="U181" i="4"/>
  <c r="V181" i="4"/>
  <c r="T209" i="4"/>
  <c r="U209" i="4"/>
  <c r="V209" i="4"/>
  <c r="T48" i="4"/>
  <c r="U48" i="4"/>
  <c r="V48" i="4"/>
  <c r="T34" i="4"/>
  <c r="U34" i="4"/>
  <c r="V34" i="4"/>
  <c r="T65" i="4"/>
  <c r="U65" i="4"/>
  <c r="V65" i="4"/>
  <c r="T150" i="4"/>
  <c r="U150" i="4"/>
  <c r="V150" i="4"/>
  <c r="T109" i="4"/>
  <c r="U109" i="4"/>
  <c r="V109" i="4"/>
  <c r="T27" i="4"/>
  <c r="U27" i="4"/>
  <c r="V27" i="4"/>
  <c r="T21" i="4"/>
  <c r="U21" i="4"/>
  <c r="V21" i="4"/>
  <c r="T49" i="4"/>
  <c r="U49" i="4"/>
  <c r="V49" i="4"/>
  <c r="T18" i="4"/>
  <c r="U18" i="4"/>
  <c r="V18" i="4"/>
  <c r="T19" i="4"/>
  <c r="U19" i="4"/>
  <c r="V19" i="4"/>
  <c r="T215" i="4"/>
  <c r="U215" i="4"/>
  <c r="V215" i="4"/>
  <c r="T213" i="4"/>
  <c r="U213" i="4"/>
  <c r="V213" i="4"/>
  <c r="T83" i="4"/>
  <c r="U83" i="4"/>
  <c r="V83" i="4"/>
  <c r="T207" i="4"/>
  <c r="U207" i="4"/>
  <c r="V207" i="4"/>
  <c r="T50" i="4"/>
  <c r="U50" i="4"/>
  <c r="V50" i="4"/>
  <c r="T51" i="4"/>
  <c r="U51" i="4"/>
  <c r="V51" i="4"/>
  <c r="T114" i="4"/>
  <c r="U114" i="4"/>
  <c r="V114" i="4"/>
  <c r="T115" i="4"/>
  <c r="U115" i="4"/>
  <c r="V115" i="4"/>
  <c r="T123" i="4"/>
  <c r="U123" i="4"/>
  <c r="V123" i="4"/>
  <c r="T126" i="4"/>
  <c r="U126" i="4"/>
  <c r="V126" i="4"/>
  <c r="T131" i="4"/>
  <c r="U131" i="4"/>
  <c r="V131" i="4"/>
  <c r="T162" i="4"/>
  <c r="U162" i="4"/>
  <c r="V162" i="4"/>
  <c r="T216" i="4"/>
  <c r="U216" i="4"/>
  <c r="V216" i="4"/>
  <c r="T163" i="4"/>
  <c r="U163" i="4"/>
  <c r="V163" i="4"/>
  <c r="T79" i="4"/>
  <c r="U79" i="4"/>
  <c r="V79" i="4"/>
  <c r="T80" i="4"/>
  <c r="U80" i="4"/>
  <c r="V80" i="4"/>
  <c r="T164" i="4"/>
  <c r="U164" i="4"/>
  <c r="V164" i="4"/>
  <c r="T165" i="4"/>
  <c r="U165" i="4"/>
  <c r="V165" i="4"/>
  <c r="T166" i="4"/>
  <c r="U166" i="4"/>
  <c r="V166" i="4"/>
  <c r="T219" i="4"/>
  <c r="U219" i="4"/>
  <c r="V219" i="4"/>
  <c r="T220" i="4"/>
  <c r="U220" i="4"/>
  <c r="V220" i="4"/>
  <c r="T17" i="4"/>
  <c r="U17" i="4"/>
  <c r="V17" i="4"/>
  <c r="T185" i="4"/>
  <c r="U185" i="4"/>
  <c r="V185" i="4"/>
  <c r="T186" i="4"/>
  <c r="U186" i="4"/>
  <c r="V186" i="4"/>
  <c r="T184" i="4"/>
  <c r="U184" i="4"/>
  <c r="V184" i="4"/>
  <c r="T201" i="4"/>
  <c r="U201" i="4"/>
  <c r="V201" i="4"/>
  <c r="T202" i="4"/>
  <c r="U202" i="4"/>
  <c r="V202" i="4"/>
  <c r="T203" i="4"/>
  <c r="U203" i="4"/>
  <c r="V203" i="4"/>
  <c r="T84" i="4"/>
  <c r="U84" i="4"/>
  <c r="V84" i="4"/>
  <c r="T64" i="4"/>
  <c r="U64" i="4"/>
  <c r="V64" i="4"/>
  <c r="T177" i="4"/>
  <c r="U177" i="4"/>
  <c r="V177" i="4"/>
  <c r="T39" i="4"/>
  <c r="U39" i="4"/>
  <c r="V39" i="4"/>
  <c r="T187" i="4"/>
  <c r="U187" i="4"/>
  <c r="V187" i="4"/>
  <c r="T42" i="4"/>
  <c r="U42" i="4"/>
  <c r="V42" i="4"/>
  <c r="T43" i="4"/>
  <c r="U43" i="4"/>
  <c r="V43" i="4"/>
  <c r="T224" i="4"/>
  <c r="U224" i="4"/>
  <c r="V224" i="4"/>
  <c r="T225" i="4"/>
  <c r="U225" i="4"/>
  <c r="V225" i="4"/>
  <c r="T226" i="4"/>
  <c r="U226" i="4"/>
  <c r="V226" i="4"/>
  <c r="P29" i="4"/>
  <c r="P30" i="4"/>
  <c r="P102" i="4"/>
  <c r="P91" i="4"/>
  <c r="P93" i="4"/>
  <c r="P94" i="4"/>
  <c r="P77" i="4"/>
  <c r="P221" i="4"/>
  <c r="P144" i="4"/>
  <c r="P174" i="4"/>
  <c r="P175" i="4"/>
  <c r="P22" i="4"/>
  <c r="P101" i="4"/>
  <c r="P24" i="4"/>
  <c r="P206" i="4"/>
  <c r="P205" i="4"/>
  <c r="P44" i="4"/>
  <c r="P45" i="4"/>
  <c r="P46" i="4"/>
  <c r="P204" i="4"/>
  <c r="P223" i="4"/>
  <c r="P47" i="4"/>
  <c r="P217" i="4"/>
  <c r="P191" i="4"/>
  <c r="P193" i="4"/>
  <c r="P194" i="4"/>
  <c r="P32" i="4"/>
  <c r="P16" i="4"/>
  <c r="P38" i="4"/>
  <c r="P124" i="4"/>
  <c r="P139" i="4"/>
  <c r="P13" i="4"/>
  <c r="P173" i="4"/>
  <c r="P35" i="4"/>
  <c r="P153" i="4"/>
  <c r="P125" i="4"/>
  <c r="P107" i="4"/>
  <c r="P119" i="4"/>
  <c r="P183" i="4"/>
  <c r="P176" i="4"/>
  <c r="P57" i="4"/>
  <c r="P58" i="4"/>
  <c r="P95" i="4"/>
  <c r="P158" i="4"/>
  <c r="P159" i="4"/>
  <c r="P33" i="4"/>
  <c r="P157" i="4"/>
  <c r="P138" i="4"/>
  <c r="P37" i="4"/>
  <c r="P66" i="4"/>
  <c r="P67" i="4"/>
  <c r="P81" i="4"/>
  <c r="P41" i="4"/>
  <c r="P105" i="4"/>
  <c r="P127" i="4"/>
  <c r="P100" i="4"/>
  <c r="P178" i="4"/>
  <c r="P53" i="4"/>
  <c r="P54" i="4"/>
  <c r="P214" i="4"/>
  <c r="P70" i="4"/>
  <c r="P71" i="4"/>
  <c r="P28" i="4"/>
  <c r="P180" i="4"/>
  <c r="P72" i="4"/>
  <c r="P73" i="4"/>
  <c r="P196" i="4"/>
  <c r="P128" i="4"/>
  <c r="P52" i="4"/>
  <c r="P147" i="4"/>
  <c r="P68" i="4"/>
  <c r="P69" i="4"/>
  <c r="P132" i="4"/>
  <c r="P111" i="4"/>
  <c r="P112" i="4"/>
  <c r="P40" i="4"/>
  <c r="P210" i="4"/>
  <c r="P148" i="4"/>
  <c r="P103" i="4"/>
  <c r="P211" i="4"/>
  <c r="P120" i="4"/>
  <c r="P140" i="4"/>
  <c r="P141" i="4"/>
  <c r="P142" i="4"/>
  <c r="P143" i="4"/>
  <c r="P12" i="4"/>
  <c r="P192" i="4"/>
  <c r="P145" i="4"/>
  <c r="P85" i="4"/>
  <c r="P89" i="4"/>
  <c r="P212" i="4"/>
  <c r="P74" i="4"/>
  <c r="P88" i="4"/>
  <c r="P75" i="4"/>
  <c r="P76" i="4"/>
  <c r="P78" i="4"/>
  <c r="P182" i="4"/>
  <c r="P56" i="4"/>
  <c r="P133" i="4"/>
  <c r="P118" i="4"/>
  <c r="P87" i="4"/>
  <c r="P136" i="4"/>
  <c r="P130" i="4"/>
  <c r="P11" i="4"/>
  <c r="P218" i="4"/>
  <c r="P20" i="4"/>
  <c r="P96" i="4"/>
  <c r="P116" i="4"/>
  <c r="P117" i="4"/>
  <c r="P168" i="4"/>
  <c r="P97" i="4"/>
  <c r="P98" i="4"/>
  <c r="P99" i="4"/>
  <c r="P62" i="4"/>
  <c r="P59" i="4"/>
  <c r="P161" i="4"/>
  <c r="P60" i="4"/>
  <c r="P61" i="4"/>
  <c r="P108" i="4"/>
  <c r="P137" i="4"/>
  <c r="P86" i="4"/>
  <c r="P113" i="4"/>
  <c r="P121" i="4"/>
  <c r="P106" i="4"/>
  <c r="P151" i="4"/>
  <c r="P197" i="4"/>
  <c r="P169" i="4"/>
  <c r="P170" i="4"/>
  <c r="P167" i="4"/>
  <c r="P198" i="4"/>
  <c r="P199" i="4"/>
  <c r="P200" i="4"/>
  <c r="P171" i="4"/>
  <c r="P134" i="4"/>
  <c r="P135" i="4"/>
  <c r="P152" i="4"/>
  <c r="P149" i="4"/>
  <c r="P104" i="4"/>
  <c r="P25" i="4"/>
  <c r="P26" i="4"/>
  <c r="P155" i="4"/>
  <c r="P188" i="4"/>
  <c r="P189" i="4"/>
  <c r="P190" i="4"/>
  <c r="P63" i="4"/>
  <c r="P90" i="4"/>
  <c r="P154" i="4"/>
  <c r="P156" i="4"/>
  <c r="P14" i="4"/>
  <c r="P122" i="4"/>
  <c r="P208" i="4"/>
  <c r="P222" i="4"/>
  <c r="P82" i="4"/>
  <c r="P36" i="4"/>
  <c r="P110" i="4"/>
  <c r="P129" i="4"/>
  <c r="P172" i="4"/>
  <c r="P146" i="4"/>
  <c r="P179" i="4"/>
  <c r="P195" i="4"/>
  <c r="P15" i="4"/>
  <c r="P181" i="4"/>
  <c r="P209" i="4"/>
  <c r="P48" i="4"/>
  <c r="P34" i="4"/>
  <c r="P65" i="4"/>
  <c r="P150" i="4"/>
  <c r="P109" i="4"/>
  <c r="P27" i="4"/>
  <c r="P21" i="4"/>
  <c r="P49" i="4"/>
  <c r="P18" i="4"/>
  <c r="P19" i="4"/>
  <c r="P215" i="4"/>
  <c r="P213" i="4"/>
  <c r="P83" i="4"/>
  <c r="P207" i="4"/>
  <c r="P50" i="4"/>
  <c r="P51" i="4"/>
  <c r="P114" i="4"/>
  <c r="P115" i="4"/>
  <c r="P123" i="4"/>
  <c r="P126" i="4"/>
  <c r="P131" i="4"/>
  <c r="P162" i="4"/>
  <c r="P216" i="4"/>
  <c r="P163" i="4"/>
  <c r="P79" i="4"/>
  <c r="P80" i="4"/>
  <c r="P164" i="4"/>
  <c r="P165" i="4"/>
  <c r="P166" i="4"/>
  <c r="P219" i="4"/>
  <c r="P220" i="4"/>
  <c r="P17" i="4"/>
  <c r="P185" i="4"/>
  <c r="P186" i="4"/>
  <c r="P184" i="4"/>
  <c r="P201" i="4"/>
  <c r="P202" i="4"/>
  <c r="P203" i="4"/>
  <c r="P84" i="4"/>
  <c r="P64" i="4"/>
  <c r="P177" i="4"/>
  <c r="P39" i="4"/>
  <c r="P187" i="4"/>
  <c r="P42" i="4"/>
  <c r="P43" i="4"/>
  <c r="P224" i="4"/>
  <c r="P225" i="4"/>
  <c r="P226" i="4"/>
  <c r="AA132" i="4" l="1"/>
  <c r="AA81" i="4"/>
  <c r="AA159" i="4"/>
  <c r="AA57" i="4"/>
  <c r="AA153" i="4"/>
  <c r="AA16" i="4"/>
  <c r="AA204" i="4"/>
  <c r="AA205" i="4"/>
  <c r="AA94" i="4"/>
  <c r="AA185" i="4"/>
  <c r="AA80" i="4"/>
  <c r="AA131" i="4"/>
  <c r="AA114" i="4"/>
  <c r="AA19" i="4"/>
  <c r="AA109" i="4"/>
  <c r="AA26" i="4"/>
  <c r="AA25" i="4"/>
  <c r="AA171" i="4"/>
  <c r="AA120" i="4"/>
  <c r="AA211" i="4"/>
  <c r="AA40" i="4"/>
  <c r="AA178" i="4"/>
  <c r="AA67" i="4"/>
  <c r="AA138" i="4"/>
  <c r="AA193" i="4"/>
  <c r="AA44" i="4"/>
  <c r="AA102" i="4"/>
  <c r="AA54" i="4"/>
  <c r="AA92" i="4"/>
  <c r="AA194" i="4"/>
  <c r="AA177" i="4"/>
  <c r="AA202" i="4"/>
  <c r="AA166" i="4"/>
  <c r="AA18" i="4"/>
  <c r="AA90" i="4"/>
  <c r="AA170" i="4"/>
  <c r="AA117" i="4"/>
  <c r="AA218" i="4"/>
  <c r="AA128" i="4"/>
  <c r="AA39" i="4"/>
  <c r="AA186" i="4"/>
  <c r="AA34" i="4"/>
  <c r="AA172" i="4"/>
  <c r="AA160" i="4"/>
  <c r="AA226" i="4"/>
  <c r="AG226" i="4" s="1"/>
  <c r="AJ226" i="4" s="1"/>
  <c r="AA198" i="4"/>
  <c r="AA140" i="4"/>
  <c r="AA147" i="4"/>
  <c r="AA100" i="4"/>
  <c r="AA31" i="4"/>
  <c r="AA115" i="4"/>
  <c r="AA151" i="4"/>
  <c r="AA76" i="4"/>
  <c r="AA72" i="4"/>
  <c r="AA184" i="4"/>
  <c r="AA51" i="4"/>
  <c r="AA36" i="4"/>
  <c r="AA113" i="4"/>
  <c r="AA61" i="4"/>
  <c r="AA182" i="4"/>
  <c r="AA112" i="4"/>
  <c r="AA71" i="4"/>
  <c r="AA176" i="4"/>
  <c r="AA46" i="4"/>
  <c r="AA43" i="4"/>
  <c r="AA79" i="4"/>
  <c r="AA83" i="4"/>
  <c r="AA208" i="4"/>
  <c r="AA156" i="4"/>
  <c r="AA200" i="4"/>
  <c r="AA106" i="4"/>
  <c r="AA99" i="4"/>
  <c r="AA75" i="4"/>
  <c r="AA89" i="4"/>
  <c r="AA142" i="4"/>
  <c r="AA69" i="4"/>
  <c r="AA180" i="4"/>
  <c r="AA214" i="4"/>
  <c r="AA91" i="4"/>
  <c r="AA60" i="4"/>
  <c r="AA119" i="4"/>
  <c r="AA225" i="4"/>
  <c r="AG225" i="4" s="1"/>
  <c r="AJ225" i="4" s="1"/>
  <c r="AA187" i="4"/>
  <c r="AA64" i="4"/>
  <c r="AA165" i="4"/>
  <c r="AA123" i="4"/>
  <c r="AA65" i="4"/>
  <c r="AA97" i="4"/>
  <c r="AA116" i="4"/>
  <c r="AA133" i="4"/>
  <c r="AA192" i="4"/>
  <c r="AA66" i="4"/>
  <c r="AA95" i="4"/>
  <c r="AA58" i="4"/>
  <c r="AA125" i="4"/>
  <c r="AA38" i="4"/>
  <c r="AA101" i="4"/>
  <c r="AA77" i="4"/>
  <c r="AA201" i="4"/>
  <c r="AA220" i="4"/>
  <c r="AA50" i="4"/>
  <c r="AA49" i="4"/>
  <c r="AA169" i="4"/>
  <c r="AA11" i="4"/>
  <c r="AA74" i="4"/>
  <c r="AA145" i="4"/>
  <c r="AA196" i="4"/>
  <c r="AA157" i="4"/>
  <c r="AA173" i="4"/>
  <c r="AA175" i="4"/>
  <c r="AA181" i="4"/>
  <c r="AA82" i="4"/>
  <c r="AA197" i="4"/>
  <c r="AA98" i="4"/>
  <c r="AA96" i="4"/>
  <c r="AA88" i="4"/>
  <c r="AA141" i="4"/>
  <c r="AA148" i="4"/>
  <c r="AA73" i="4"/>
  <c r="AA28" i="4"/>
  <c r="AA183" i="4"/>
  <c r="AA107" i="4"/>
  <c r="AA47" i="4"/>
  <c r="AA174" i="4"/>
  <c r="AA224" i="4"/>
  <c r="AG224" i="4" s="1"/>
  <c r="AJ224" i="4" s="1"/>
  <c r="AA203" i="4"/>
  <c r="AA207" i="4"/>
  <c r="AA15" i="4"/>
  <c r="AA14" i="4"/>
  <c r="AA189" i="4"/>
  <c r="AA167" i="4"/>
  <c r="AA86" i="4"/>
  <c r="AA20" i="4"/>
  <c r="AA56" i="4"/>
  <c r="AA212" i="4"/>
  <c r="AA143" i="4"/>
  <c r="AA210" i="4"/>
  <c r="AA52" i="4"/>
  <c r="AA70" i="4"/>
  <c r="AA29" i="4"/>
  <c r="AA42" i="4"/>
  <c r="AA84" i="4"/>
  <c r="AA164" i="4"/>
  <c r="AA163" i="4"/>
  <c r="AA146" i="4"/>
  <c r="AA154" i="4"/>
  <c r="AA190" i="4"/>
  <c r="AA199" i="4"/>
  <c r="AA108" i="4"/>
  <c r="AA85" i="4"/>
  <c r="AA12" i="4"/>
  <c r="AA111" i="4"/>
  <c r="AA68" i="4"/>
  <c r="AA55" i="4"/>
  <c r="AA158" i="4"/>
  <c r="AA35" i="4"/>
  <c r="AA45" i="4"/>
  <c r="AA206" i="4"/>
  <c r="AA93" i="4"/>
  <c r="AA30" i="4"/>
  <c r="D29" i="4" l="1"/>
  <c r="AM29" i="4" s="1"/>
  <c r="E29" i="4"/>
  <c r="AL29" i="4" s="1"/>
  <c r="D30" i="4"/>
  <c r="AM30" i="4" s="1"/>
  <c r="E30" i="4"/>
  <c r="AL30" i="4" s="1"/>
  <c r="D31" i="4"/>
  <c r="AM31" i="4" s="1"/>
  <c r="E31" i="4"/>
  <c r="AL31" i="4" s="1"/>
  <c r="D102" i="4"/>
  <c r="AM102" i="4" s="1"/>
  <c r="E102" i="4"/>
  <c r="AL102" i="4" s="1"/>
  <c r="D91" i="4"/>
  <c r="AM91" i="4" s="1"/>
  <c r="E91" i="4"/>
  <c r="AL91" i="4" s="1"/>
  <c r="D92" i="4"/>
  <c r="AM92" i="4" s="1"/>
  <c r="E92" i="4"/>
  <c r="AL92" i="4" s="1"/>
  <c r="D93" i="4"/>
  <c r="AM93" i="4" s="1"/>
  <c r="E93" i="4"/>
  <c r="AL93" i="4" s="1"/>
  <c r="D94" i="4"/>
  <c r="AM94" i="4" s="1"/>
  <c r="E94" i="4"/>
  <c r="AL94" i="4" s="1"/>
  <c r="D77" i="4"/>
  <c r="AM77" i="4" s="1"/>
  <c r="E77" i="4"/>
  <c r="AL77" i="4" s="1"/>
  <c r="D221" i="4"/>
  <c r="AM221" i="4" s="1"/>
  <c r="E221" i="4"/>
  <c r="AL221" i="4" s="1"/>
  <c r="D144" i="4"/>
  <c r="AM144" i="4" s="1"/>
  <c r="E144" i="4"/>
  <c r="AL144" i="4" s="1"/>
  <c r="D174" i="4"/>
  <c r="AM174" i="4" s="1"/>
  <c r="E174" i="4"/>
  <c r="AL174" i="4" s="1"/>
  <c r="D175" i="4"/>
  <c r="AM175" i="4" s="1"/>
  <c r="E175" i="4"/>
  <c r="AL175" i="4" s="1"/>
  <c r="D22" i="4"/>
  <c r="AM22" i="4" s="1"/>
  <c r="E22" i="4"/>
  <c r="AL22" i="4" s="1"/>
  <c r="D101" i="4"/>
  <c r="AM101" i="4" s="1"/>
  <c r="E101" i="4"/>
  <c r="AL101" i="4" s="1"/>
  <c r="D24" i="4"/>
  <c r="AM24" i="4" s="1"/>
  <c r="E24" i="4"/>
  <c r="AL24" i="4" s="1"/>
  <c r="D206" i="4"/>
  <c r="AM206" i="4" s="1"/>
  <c r="E206" i="4"/>
  <c r="AL206" i="4" s="1"/>
  <c r="D205" i="4"/>
  <c r="AM205" i="4" s="1"/>
  <c r="E205" i="4"/>
  <c r="AL205" i="4" s="1"/>
  <c r="D44" i="4"/>
  <c r="AM44" i="4" s="1"/>
  <c r="E44" i="4"/>
  <c r="AL44" i="4" s="1"/>
  <c r="D45" i="4"/>
  <c r="AM45" i="4" s="1"/>
  <c r="E45" i="4"/>
  <c r="AL45" i="4" s="1"/>
  <c r="D46" i="4"/>
  <c r="AM46" i="4" s="1"/>
  <c r="E46" i="4"/>
  <c r="AL46" i="4" s="1"/>
  <c r="D204" i="4"/>
  <c r="AM204" i="4" s="1"/>
  <c r="E204" i="4"/>
  <c r="AL204" i="4" s="1"/>
  <c r="D223" i="4"/>
  <c r="AM223" i="4" s="1"/>
  <c r="E223" i="4"/>
  <c r="AL223" i="4" s="1"/>
  <c r="D47" i="4"/>
  <c r="AM47" i="4" s="1"/>
  <c r="E47" i="4"/>
  <c r="AL47" i="4" s="1"/>
  <c r="D217" i="4"/>
  <c r="AM217" i="4" s="1"/>
  <c r="E217" i="4"/>
  <c r="AL217" i="4" s="1"/>
  <c r="D191" i="4"/>
  <c r="AM191" i="4" s="1"/>
  <c r="E191" i="4"/>
  <c r="AL191" i="4" s="1"/>
  <c r="D193" i="4"/>
  <c r="AM193" i="4" s="1"/>
  <c r="E193" i="4"/>
  <c r="AL193" i="4" s="1"/>
  <c r="D194" i="4"/>
  <c r="AM194" i="4" s="1"/>
  <c r="E194" i="4"/>
  <c r="AL194" i="4" s="1"/>
  <c r="D32" i="4"/>
  <c r="AM32" i="4" s="1"/>
  <c r="E32" i="4"/>
  <c r="AL32" i="4" s="1"/>
  <c r="D16" i="4"/>
  <c r="AM16" i="4" s="1"/>
  <c r="E16" i="4"/>
  <c r="AL16" i="4" s="1"/>
  <c r="D38" i="4"/>
  <c r="AM38" i="4" s="1"/>
  <c r="E38" i="4"/>
  <c r="AL38" i="4" s="1"/>
  <c r="D124" i="4"/>
  <c r="AM124" i="4" s="1"/>
  <c r="E124" i="4"/>
  <c r="AL124" i="4" s="1"/>
  <c r="D139" i="4"/>
  <c r="AM139" i="4" s="1"/>
  <c r="E139" i="4"/>
  <c r="AL139" i="4" s="1"/>
  <c r="D13" i="4"/>
  <c r="AM13" i="4" s="1"/>
  <c r="E13" i="4"/>
  <c r="AL13" i="4" s="1"/>
  <c r="D173" i="4"/>
  <c r="AM173" i="4" s="1"/>
  <c r="E173" i="4"/>
  <c r="AL173" i="4" s="1"/>
  <c r="D35" i="4"/>
  <c r="AM35" i="4" s="1"/>
  <c r="E35" i="4"/>
  <c r="AL35" i="4" s="1"/>
  <c r="D153" i="4"/>
  <c r="AM153" i="4" s="1"/>
  <c r="E153" i="4"/>
  <c r="AL153" i="4" s="1"/>
  <c r="D125" i="4"/>
  <c r="AM125" i="4" s="1"/>
  <c r="E125" i="4"/>
  <c r="AL125" i="4" s="1"/>
  <c r="D107" i="4"/>
  <c r="AM107" i="4" s="1"/>
  <c r="E107" i="4"/>
  <c r="AL107" i="4" s="1"/>
  <c r="D119" i="4"/>
  <c r="AM119" i="4" s="1"/>
  <c r="E119" i="4"/>
  <c r="AL119" i="4" s="1"/>
  <c r="D183" i="4"/>
  <c r="AM183" i="4" s="1"/>
  <c r="E183" i="4"/>
  <c r="AL183" i="4" s="1"/>
  <c r="D176" i="4"/>
  <c r="AM176" i="4" s="1"/>
  <c r="E176" i="4"/>
  <c r="AL176" i="4" s="1"/>
  <c r="D57" i="4"/>
  <c r="AM57" i="4" s="1"/>
  <c r="E57" i="4"/>
  <c r="AL57" i="4" s="1"/>
  <c r="D58" i="4"/>
  <c r="AM58" i="4" s="1"/>
  <c r="E58" i="4"/>
  <c r="AL58" i="4" s="1"/>
  <c r="D95" i="4"/>
  <c r="AM95" i="4" s="1"/>
  <c r="E95" i="4"/>
  <c r="AL95" i="4" s="1"/>
  <c r="D158" i="4"/>
  <c r="AM158" i="4" s="1"/>
  <c r="E158" i="4"/>
  <c r="AL158" i="4" s="1"/>
  <c r="D159" i="4"/>
  <c r="AM159" i="4" s="1"/>
  <c r="E159" i="4"/>
  <c r="AL159" i="4" s="1"/>
  <c r="D160" i="4"/>
  <c r="AM160" i="4" s="1"/>
  <c r="E160" i="4"/>
  <c r="AL160" i="4" s="1"/>
  <c r="D33" i="4"/>
  <c r="AM33" i="4" s="1"/>
  <c r="E33" i="4"/>
  <c r="AL33" i="4" s="1"/>
  <c r="D157" i="4"/>
  <c r="AM157" i="4" s="1"/>
  <c r="E157" i="4"/>
  <c r="AL157" i="4" s="1"/>
  <c r="D138" i="4"/>
  <c r="AM138" i="4" s="1"/>
  <c r="E138" i="4"/>
  <c r="AL138" i="4" s="1"/>
  <c r="D37" i="4"/>
  <c r="AM37" i="4" s="1"/>
  <c r="E37" i="4"/>
  <c r="AL37" i="4" s="1"/>
  <c r="D66" i="4"/>
  <c r="AM66" i="4" s="1"/>
  <c r="E66" i="4"/>
  <c r="AL66" i="4" s="1"/>
  <c r="D67" i="4"/>
  <c r="AM67" i="4" s="1"/>
  <c r="E67" i="4"/>
  <c r="AL67" i="4" s="1"/>
  <c r="D81" i="4"/>
  <c r="AM81" i="4" s="1"/>
  <c r="E81" i="4"/>
  <c r="AL81" i="4" s="1"/>
  <c r="D41" i="4"/>
  <c r="AM41" i="4" s="1"/>
  <c r="E41" i="4"/>
  <c r="AL41" i="4" s="1"/>
  <c r="D105" i="4"/>
  <c r="AM105" i="4" s="1"/>
  <c r="E105" i="4"/>
  <c r="AL105" i="4" s="1"/>
  <c r="D127" i="4"/>
  <c r="AM127" i="4" s="1"/>
  <c r="E127" i="4"/>
  <c r="AL127" i="4" s="1"/>
  <c r="D100" i="4"/>
  <c r="AM100" i="4" s="1"/>
  <c r="E100" i="4"/>
  <c r="AL100" i="4" s="1"/>
  <c r="D178" i="4"/>
  <c r="AM178" i="4" s="1"/>
  <c r="E178" i="4"/>
  <c r="AL178" i="4" s="1"/>
  <c r="D53" i="4"/>
  <c r="AM53" i="4" s="1"/>
  <c r="E53" i="4"/>
  <c r="AL53" i="4" s="1"/>
  <c r="D54" i="4"/>
  <c r="AM54" i="4" s="1"/>
  <c r="E54" i="4"/>
  <c r="AL54" i="4" s="1"/>
  <c r="D55" i="4"/>
  <c r="AM55" i="4" s="1"/>
  <c r="E55" i="4"/>
  <c r="AL55" i="4" s="1"/>
  <c r="D214" i="4"/>
  <c r="AM214" i="4" s="1"/>
  <c r="E214" i="4"/>
  <c r="AL214" i="4" s="1"/>
  <c r="D70" i="4"/>
  <c r="AM70" i="4" s="1"/>
  <c r="E70" i="4"/>
  <c r="AL70" i="4" s="1"/>
  <c r="D71" i="4"/>
  <c r="AM71" i="4" s="1"/>
  <c r="E71" i="4"/>
  <c r="AL71" i="4" s="1"/>
  <c r="D28" i="4"/>
  <c r="AM28" i="4" s="1"/>
  <c r="E28" i="4"/>
  <c r="AL28" i="4" s="1"/>
  <c r="D180" i="4"/>
  <c r="AM180" i="4" s="1"/>
  <c r="E180" i="4"/>
  <c r="AL180" i="4" s="1"/>
  <c r="D72" i="4"/>
  <c r="AM72" i="4" s="1"/>
  <c r="E72" i="4"/>
  <c r="AL72" i="4" s="1"/>
  <c r="D73" i="4"/>
  <c r="AM73" i="4" s="1"/>
  <c r="E73" i="4"/>
  <c r="AL73" i="4" s="1"/>
  <c r="D196" i="4"/>
  <c r="AM196" i="4" s="1"/>
  <c r="E196" i="4"/>
  <c r="AL196" i="4" s="1"/>
  <c r="D128" i="4"/>
  <c r="AM128" i="4" s="1"/>
  <c r="E128" i="4"/>
  <c r="AL128" i="4" s="1"/>
  <c r="D52" i="4"/>
  <c r="AM52" i="4" s="1"/>
  <c r="E52" i="4"/>
  <c r="AL52" i="4" s="1"/>
  <c r="D147" i="4"/>
  <c r="AM147" i="4" s="1"/>
  <c r="E147" i="4"/>
  <c r="AL147" i="4" s="1"/>
  <c r="D68" i="4"/>
  <c r="AM68" i="4" s="1"/>
  <c r="E68" i="4"/>
  <c r="AL68" i="4" s="1"/>
  <c r="D69" i="4"/>
  <c r="AM69" i="4" s="1"/>
  <c r="E69" i="4"/>
  <c r="AL69" i="4" s="1"/>
  <c r="D132" i="4"/>
  <c r="AM132" i="4" s="1"/>
  <c r="E132" i="4"/>
  <c r="AL132" i="4" s="1"/>
  <c r="D111" i="4"/>
  <c r="AM111" i="4" s="1"/>
  <c r="E111" i="4"/>
  <c r="AL111" i="4" s="1"/>
  <c r="D112" i="4"/>
  <c r="AM112" i="4" s="1"/>
  <c r="E112" i="4"/>
  <c r="AL112" i="4" s="1"/>
  <c r="D40" i="4"/>
  <c r="AM40" i="4" s="1"/>
  <c r="E40" i="4"/>
  <c r="AL40" i="4" s="1"/>
  <c r="D210" i="4"/>
  <c r="AM210" i="4" s="1"/>
  <c r="E210" i="4"/>
  <c r="AL210" i="4" s="1"/>
  <c r="D148" i="4"/>
  <c r="AM148" i="4" s="1"/>
  <c r="E148" i="4"/>
  <c r="AL148" i="4" s="1"/>
  <c r="D103" i="4"/>
  <c r="AM103" i="4" s="1"/>
  <c r="E103" i="4"/>
  <c r="AL103" i="4" s="1"/>
  <c r="D211" i="4"/>
  <c r="AM211" i="4" s="1"/>
  <c r="E211" i="4"/>
  <c r="AL211" i="4" s="1"/>
  <c r="D120" i="4"/>
  <c r="AM120" i="4" s="1"/>
  <c r="E120" i="4"/>
  <c r="AL120" i="4" s="1"/>
  <c r="D140" i="4"/>
  <c r="AM140" i="4" s="1"/>
  <c r="E140" i="4"/>
  <c r="AL140" i="4" s="1"/>
  <c r="D141" i="4"/>
  <c r="AM141" i="4" s="1"/>
  <c r="E141" i="4"/>
  <c r="AL141" i="4" s="1"/>
  <c r="D142" i="4"/>
  <c r="AM142" i="4" s="1"/>
  <c r="E142" i="4"/>
  <c r="AL142" i="4" s="1"/>
  <c r="D143" i="4"/>
  <c r="AM143" i="4" s="1"/>
  <c r="E143" i="4"/>
  <c r="AL143" i="4" s="1"/>
  <c r="D12" i="4"/>
  <c r="AM12" i="4" s="1"/>
  <c r="E12" i="4"/>
  <c r="AL12" i="4" s="1"/>
  <c r="D192" i="4"/>
  <c r="AM192" i="4" s="1"/>
  <c r="E192" i="4"/>
  <c r="AL192" i="4" s="1"/>
  <c r="D145" i="4"/>
  <c r="AM145" i="4" s="1"/>
  <c r="E145" i="4"/>
  <c r="AL145" i="4" s="1"/>
  <c r="D85" i="4"/>
  <c r="AM85" i="4" s="1"/>
  <c r="E85" i="4"/>
  <c r="AL85" i="4" s="1"/>
  <c r="D89" i="4"/>
  <c r="AM89" i="4" s="1"/>
  <c r="E89" i="4"/>
  <c r="AL89" i="4" s="1"/>
  <c r="D212" i="4"/>
  <c r="AM212" i="4" s="1"/>
  <c r="E212" i="4"/>
  <c r="AL212" i="4" s="1"/>
  <c r="D74" i="4"/>
  <c r="AM74" i="4" s="1"/>
  <c r="E74" i="4"/>
  <c r="AL74" i="4" s="1"/>
  <c r="D88" i="4"/>
  <c r="AM88" i="4" s="1"/>
  <c r="E88" i="4"/>
  <c r="AL88" i="4" s="1"/>
  <c r="D75" i="4"/>
  <c r="AM75" i="4" s="1"/>
  <c r="E75" i="4"/>
  <c r="AL75" i="4" s="1"/>
  <c r="D76" i="4"/>
  <c r="AM76" i="4" s="1"/>
  <c r="E76" i="4"/>
  <c r="AL76" i="4" s="1"/>
  <c r="D78" i="4"/>
  <c r="AM78" i="4" s="1"/>
  <c r="E78" i="4"/>
  <c r="AL78" i="4" s="1"/>
  <c r="D182" i="4"/>
  <c r="AM182" i="4" s="1"/>
  <c r="E182" i="4"/>
  <c r="AL182" i="4" s="1"/>
  <c r="D56" i="4"/>
  <c r="AM56" i="4" s="1"/>
  <c r="E56" i="4"/>
  <c r="AL56" i="4" s="1"/>
  <c r="D133" i="4"/>
  <c r="AM133" i="4" s="1"/>
  <c r="E133" i="4"/>
  <c r="AL133" i="4" s="1"/>
  <c r="D118" i="4"/>
  <c r="AM118" i="4" s="1"/>
  <c r="E118" i="4"/>
  <c r="AL118" i="4" s="1"/>
  <c r="D87" i="4"/>
  <c r="AM87" i="4" s="1"/>
  <c r="E87" i="4"/>
  <c r="AL87" i="4" s="1"/>
  <c r="D136" i="4"/>
  <c r="AM136" i="4" s="1"/>
  <c r="E136" i="4"/>
  <c r="AL136" i="4" s="1"/>
  <c r="D130" i="4"/>
  <c r="AM130" i="4" s="1"/>
  <c r="E130" i="4"/>
  <c r="AL130" i="4" s="1"/>
  <c r="D11" i="4"/>
  <c r="AM11" i="4" s="1"/>
  <c r="E11" i="4"/>
  <c r="AL11" i="4" s="1"/>
  <c r="D218" i="4"/>
  <c r="AM218" i="4" s="1"/>
  <c r="E218" i="4"/>
  <c r="AL218" i="4" s="1"/>
  <c r="D20" i="4"/>
  <c r="AM20" i="4" s="1"/>
  <c r="E20" i="4"/>
  <c r="AL20" i="4" s="1"/>
  <c r="D96" i="4"/>
  <c r="AM96" i="4" s="1"/>
  <c r="E96" i="4"/>
  <c r="AL96" i="4" s="1"/>
  <c r="D116" i="4"/>
  <c r="AM116" i="4" s="1"/>
  <c r="E116" i="4"/>
  <c r="AL116" i="4" s="1"/>
  <c r="D117" i="4"/>
  <c r="AM117" i="4" s="1"/>
  <c r="E117" i="4"/>
  <c r="AL117" i="4" s="1"/>
  <c r="D168" i="4"/>
  <c r="AM168" i="4" s="1"/>
  <c r="E168" i="4"/>
  <c r="AL168" i="4" s="1"/>
  <c r="D97" i="4"/>
  <c r="AM97" i="4" s="1"/>
  <c r="E97" i="4"/>
  <c r="AL97" i="4" s="1"/>
  <c r="D98" i="4"/>
  <c r="AM98" i="4" s="1"/>
  <c r="E98" i="4"/>
  <c r="AL98" i="4" s="1"/>
  <c r="D99" i="4"/>
  <c r="AM99" i="4" s="1"/>
  <c r="E99" i="4"/>
  <c r="AL99" i="4" s="1"/>
  <c r="D62" i="4"/>
  <c r="AM62" i="4" s="1"/>
  <c r="E62" i="4"/>
  <c r="AL62" i="4" s="1"/>
  <c r="D59" i="4"/>
  <c r="AM59" i="4" s="1"/>
  <c r="E59" i="4"/>
  <c r="AL59" i="4" s="1"/>
  <c r="D161" i="4"/>
  <c r="AM161" i="4" s="1"/>
  <c r="E161" i="4"/>
  <c r="AL161" i="4" s="1"/>
  <c r="D60" i="4"/>
  <c r="AM60" i="4" s="1"/>
  <c r="E60" i="4"/>
  <c r="AL60" i="4" s="1"/>
  <c r="D61" i="4"/>
  <c r="AM61" i="4" s="1"/>
  <c r="E61" i="4"/>
  <c r="AL61" i="4" s="1"/>
  <c r="D108" i="4"/>
  <c r="AM108" i="4" s="1"/>
  <c r="E108" i="4"/>
  <c r="AL108" i="4" s="1"/>
  <c r="D137" i="4"/>
  <c r="AM137" i="4" s="1"/>
  <c r="E137" i="4"/>
  <c r="AL137" i="4" s="1"/>
  <c r="D86" i="4"/>
  <c r="AM86" i="4" s="1"/>
  <c r="E86" i="4"/>
  <c r="AL86" i="4" s="1"/>
  <c r="D113" i="4"/>
  <c r="AM113" i="4" s="1"/>
  <c r="E113" i="4"/>
  <c r="AL113" i="4" s="1"/>
  <c r="D121" i="4"/>
  <c r="AM121" i="4" s="1"/>
  <c r="E121" i="4"/>
  <c r="AL121" i="4" s="1"/>
  <c r="D106" i="4"/>
  <c r="AM106" i="4" s="1"/>
  <c r="E106" i="4"/>
  <c r="AL106" i="4" s="1"/>
  <c r="D151" i="4"/>
  <c r="AM151" i="4" s="1"/>
  <c r="E151" i="4"/>
  <c r="AL151" i="4" s="1"/>
  <c r="D197" i="4"/>
  <c r="AM197" i="4" s="1"/>
  <c r="E197" i="4"/>
  <c r="AL197" i="4" s="1"/>
  <c r="D169" i="4"/>
  <c r="AM169" i="4" s="1"/>
  <c r="E169" i="4"/>
  <c r="AL169" i="4" s="1"/>
  <c r="D170" i="4"/>
  <c r="AM170" i="4" s="1"/>
  <c r="E170" i="4"/>
  <c r="AL170" i="4" s="1"/>
  <c r="D167" i="4"/>
  <c r="AM167" i="4" s="1"/>
  <c r="E167" i="4"/>
  <c r="AL167" i="4" s="1"/>
  <c r="D198" i="4"/>
  <c r="AM198" i="4" s="1"/>
  <c r="E198" i="4"/>
  <c r="AL198" i="4" s="1"/>
  <c r="D199" i="4"/>
  <c r="AM199" i="4" s="1"/>
  <c r="E199" i="4"/>
  <c r="AL199" i="4" s="1"/>
  <c r="D200" i="4"/>
  <c r="AM200" i="4" s="1"/>
  <c r="E200" i="4"/>
  <c r="AL200" i="4" s="1"/>
  <c r="D171" i="4"/>
  <c r="AM171" i="4" s="1"/>
  <c r="E171" i="4"/>
  <c r="AL171" i="4" s="1"/>
  <c r="D134" i="4"/>
  <c r="AM134" i="4" s="1"/>
  <c r="E134" i="4"/>
  <c r="AL134" i="4" s="1"/>
  <c r="D135" i="4"/>
  <c r="AM135" i="4" s="1"/>
  <c r="E135" i="4"/>
  <c r="AL135" i="4" s="1"/>
  <c r="D152" i="4"/>
  <c r="AM152" i="4" s="1"/>
  <c r="E152" i="4"/>
  <c r="AL152" i="4" s="1"/>
  <c r="D149" i="4"/>
  <c r="AM149" i="4" s="1"/>
  <c r="E149" i="4"/>
  <c r="AL149" i="4" s="1"/>
  <c r="D104" i="4"/>
  <c r="AM104" i="4" s="1"/>
  <c r="E104" i="4"/>
  <c r="AL104" i="4" s="1"/>
  <c r="D25" i="4"/>
  <c r="AM25" i="4" s="1"/>
  <c r="E25" i="4"/>
  <c r="AL25" i="4" s="1"/>
  <c r="D26" i="4"/>
  <c r="AM26" i="4" s="1"/>
  <c r="E26" i="4"/>
  <c r="AL26" i="4" s="1"/>
  <c r="D155" i="4"/>
  <c r="AM155" i="4" s="1"/>
  <c r="E155" i="4"/>
  <c r="AL155" i="4" s="1"/>
  <c r="D188" i="4"/>
  <c r="AM188" i="4" s="1"/>
  <c r="E188" i="4"/>
  <c r="AL188" i="4" s="1"/>
  <c r="D189" i="4"/>
  <c r="AM189" i="4" s="1"/>
  <c r="E189" i="4"/>
  <c r="AL189" i="4" s="1"/>
  <c r="D190" i="4"/>
  <c r="AM190" i="4" s="1"/>
  <c r="E190" i="4"/>
  <c r="AL190" i="4" s="1"/>
  <c r="D63" i="4"/>
  <c r="AM63" i="4" s="1"/>
  <c r="E63" i="4"/>
  <c r="AL63" i="4" s="1"/>
  <c r="D90" i="4"/>
  <c r="AM90" i="4" s="1"/>
  <c r="E90" i="4"/>
  <c r="AL90" i="4" s="1"/>
  <c r="D154" i="4"/>
  <c r="AM154" i="4" s="1"/>
  <c r="E154" i="4"/>
  <c r="AL154" i="4" s="1"/>
  <c r="D156" i="4"/>
  <c r="AM156" i="4" s="1"/>
  <c r="E156" i="4"/>
  <c r="AL156" i="4" s="1"/>
  <c r="D14" i="4"/>
  <c r="AM14" i="4" s="1"/>
  <c r="E14" i="4"/>
  <c r="AL14" i="4" s="1"/>
  <c r="D122" i="4"/>
  <c r="AM122" i="4" s="1"/>
  <c r="E122" i="4"/>
  <c r="AL122" i="4" s="1"/>
  <c r="D208" i="4"/>
  <c r="AM208" i="4" s="1"/>
  <c r="E208" i="4"/>
  <c r="AL208" i="4" s="1"/>
  <c r="D222" i="4"/>
  <c r="AM222" i="4" s="1"/>
  <c r="E222" i="4"/>
  <c r="AL222" i="4" s="1"/>
  <c r="D82" i="4"/>
  <c r="AM82" i="4" s="1"/>
  <c r="E82" i="4"/>
  <c r="AL82" i="4" s="1"/>
  <c r="D36" i="4"/>
  <c r="AM36" i="4" s="1"/>
  <c r="E36" i="4"/>
  <c r="AL36" i="4" s="1"/>
  <c r="D110" i="4"/>
  <c r="AM110" i="4" s="1"/>
  <c r="E110" i="4"/>
  <c r="AL110" i="4" s="1"/>
  <c r="D129" i="4"/>
  <c r="AM129" i="4" s="1"/>
  <c r="E129" i="4"/>
  <c r="AL129" i="4" s="1"/>
  <c r="D172" i="4"/>
  <c r="AM172" i="4" s="1"/>
  <c r="E172" i="4"/>
  <c r="AL172" i="4" s="1"/>
  <c r="D146" i="4"/>
  <c r="AM146" i="4" s="1"/>
  <c r="E146" i="4"/>
  <c r="AL146" i="4" s="1"/>
  <c r="D179" i="4"/>
  <c r="AM179" i="4" s="1"/>
  <c r="E179" i="4"/>
  <c r="AL179" i="4" s="1"/>
  <c r="D195" i="4"/>
  <c r="AM195" i="4" s="1"/>
  <c r="E195" i="4"/>
  <c r="AL195" i="4" s="1"/>
  <c r="D15" i="4"/>
  <c r="AM15" i="4" s="1"/>
  <c r="E15" i="4"/>
  <c r="AL15" i="4" s="1"/>
  <c r="D181" i="4"/>
  <c r="AM181" i="4" s="1"/>
  <c r="E181" i="4"/>
  <c r="AL181" i="4" s="1"/>
  <c r="D209" i="4"/>
  <c r="AM209" i="4" s="1"/>
  <c r="E209" i="4"/>
  <c r="AL209" i="4" s="1"/>
  <c r="D48" i="4"/>
  <c r="AM48" i="4" s="1"/>
  <c r="E48" i="4"/>
  <c r="AL48" i="4" s="1"/>
  <c r="D34" i="4"/>
  <c r="AM34" i="4" s="1"/>
  <c r="E34" i="4"/>
  <c r="AL34" i="4" s="1"/>
  <c r="D65" i="4"/>
  <c r="AM65" i="4" s="1"/>
  <c r="E65" i="4"/>
  <c r="AL65" i="4" s="1"/>
  <c r="D150" i="4"/>
  <c r="AM150" i="4" s="1"/>
  <c r="E150" i="4"/>
  <c r="AL150" i="4" s="1"/>
  <c r="D109" i="4"/>
  <c r="AM109" i="4" s="1"/>
  <c r="E109" i="4"/>
  <c r="AL109" i="4" s="1"/>
  <c r="D27" i="4"/>
  <c r="AM27" i="4" s="1"/>
  <c r="E27" i="4"/>
  <c r="AL27" i="4" s="1"/>
  <c r="D21" i="4"/>
  <c r="AM21" i="4" s="1"/>
  <c r="E21" i="4"/>
  <c r="AL21" i="4" s="1"/>
  <c r="D49" i="4"/>
  <c r="AM49" i="4" s="1"/>
  <c r="E49" i="4"/>
  <c r="AL49" i="4" s="1"/>
  <c r="D18" i="4"/>
  <c r="AM18" i="4" s="1"/>
  <c r="E18" i="4"/>
  <c r="AL18" i="4" s="1"/>
  <c r="D19" i="4"/>
  <c r="AM19" i="4" s="1"/>
  <c r="E19" i="4"/>
  <c r="AL19" i="4" s="1"/>
  <c r="D215" i="4"/>
  <c r="AM215" i="4" s="1"/>
  <c r="E215" i="4"/>
  <c r="AL215" i="4" s="1"/>
  <c r="D213" i="4"/>
  <c r="AM213" i="4" s="1"/>
  <c r="E213" i="4"/>
  <c r="AL213" i="4" s="1"/>
  <c r="D83" i="4"/>
  <c r="AM83" i="4" s="1"/>
  <c r="E83" i="4"/>
  <c r="AL83" i="4" s="1"/>
  <c r="D207" i="4"/>
  <c r="AM207" i="4" s="1"/>
  <c r="E207" i="4"/>
  <c r="AL207" i="4" s="1"/>
  <c r="D50" i="4"/>
  <c r="AM50" i="4" s="1"/>
  <c r="E50" i="4"/>
  <c r="AL50" i="4" s="1"/>
  <c r="D51" i="4"/>
  <c r="AM51" i="4" s="1"/>
  <c r="E51" i="4"/>
  <c r="AL51" i="4" s="1"/>
  <c r="D114" i="4"/>
  <c r="AM114" i="4" s="1"/>
  <c r="E114" i="4"/>
  <c r="AL114" i="4" s="1"/>
  <c r="D115" i="4"/>
  <c r="AM115" i="4" s="1"/>
  <c r="E115" i="4"/>
  <c r="AL115" i="4" s="1"/>
  <c r="D123" i="4"/>
  <c r="AM123" i="4" s="1"/>
  <c r="E123" i="4"/>
  <c r="AL123" i="4" s="1"/>
  <c r="D126" i="4"/>
  <c r="AM126" i="4" s="1"/>
  <c r="E126" i="4"/>
  <c r="AL126" i="4" s="1"/>
  <c r="D131" i="4"/>
  <c r="AM131" i="4" s="1"/>
  <c r="E131" i="4"/>
  <c r="AL131" i="4" s="1"/>
  <c r="D162" i="4"/>
  <c r="AM162" i="4" s="1"/>
  <c r="E162" i="4"/>
  <c r="AL162" i="4" s="1"/>
  <c r="D216" i="4"/>
  <c r="AM216" i="4" s="1"/>
  <c r="E216" i="4"/>
  <c r="AL216" i="4" s="1"/>
  <c r="D163" i="4"/>
  <c r="AM163" i="4" s="1"/>
  <c r="E163" i="4"/>
  <c r="AL163" i="4" s="1"/>
  <c r="D79" i="4"/>
  <c r="AM79" i="4" s="1"/>
  <c r="E79" i="4"/>
  <c r="AL79" i="4" s="1"/>
  <c r="D80" i="4"/>
  <c r="AM80" i="4" s="1"/>
  <c r="E80" i="4"/>
  <c r="AL80" i="4" s="1"/>
  <c r="D164" i="4"/>
  <c r="AM164" i="4" s="1"/>
  <c r="E164" i="4"/>
  <c r="AL164" i="4" s="1"/>
  <c r="D165" i="4"/>
  <c r="AM165" i="4" s="1"/>
  <c r="E165" i="4"/>
  <c r="AL165" i="4" s="1"/>
  <c r="D166" i="4"/>
  <c r="AM166" i="4" s="1"/>
  <c r="E166" i="4"/>
  <c r="AL166" i="4" s="1"/>
  <c r="D219" i="4"/>
  <c r="AM219" i="4" s="1"/>
  <c r="E219" i="4"/>
  <c r="AL219" i="4" s="1"/>
  <c r="D220" i="4"/>
  <c r="AM220" i="4" s="1"/>
  <c r="E220" i="4"/>
  <c r="AL220" i="4" s="1"/>
  <c r="D17" i="4"/>
  <c r="AM17" i="4" s="1"/>
  <c r="E17" i="4"/>
  <c r="AL17" i="4" s="1"/>
  <c r="D185" i="4"/>
  <c r="AM185" i="4" s="1"/>
  <c r="E185" i="4"/>
  <c r="AL185" i="4" s="1"/>
  <c r="D186" i="4"/>
  <c r="AM186" i="4" s="1"/>
  <c r="E186" i="4"/>
  <c r="AL186" i="4" s="1"/>
  <c r="D184" i="4"/>
  <c r="AM184" i="4" s="1"/>
  <c r="E184" i="4"/>
  <c r="AL184" i="4" s="1"/>
  <c r="D201" i="4"/>
  <c r="AM201" i="4" s="1"/>
  <c r="E201" i="4"/>
  <c r="AL201" i="4" s="1"/>
  <c r="D202" i="4"/>
  <c r="AM202" i="4" s="1"/>
  <c r="E202" i="4"/>
  <c r="AL202" i="4" s="1"/>
  <c r="D203" i="4"/>
  <c r="AM203" i="4" s="1"/>
  <c r="E203" i="4"/>
  <c r="AL203" i="4" s="1"/>
  <c r="D84" i="4"/>
  <c r="AM84" i="4" s="1"/>
  <c r="E84" i="4"/>
  <c r="AL84" i="4" s="1"/>
  <c r="D64" i="4"/>
  <c r="AM64" i="4" s="1"/>
  <c r="E64" i="4"/>
  <c r="AL64" i="4" s="1"/>
  <c r="D177" i="4"/>
  <c r="AM177" i="4" s="1"/>
  <c r="E177" i="4"/>
  <c r="AL177" i="4" s="1"/>
  <c r="D39" i="4"/>
  <c r="AM39" i="4" s="1"/>
  <c r="E39" i="4"/>
  <c r="AL39" i="4" s="1"/>
  <c r="D187" i="4"/>
  <c r="AM187" i="4" s="1"/>
  <c r="E187" i="4"/>
  <c r="AL187" i="4" s="1"/>
  <c r="D42" i="4"/>
  <c r="AM42" i="4" s="1"/>
  <c r="E42" i="4"/>
  <c r="AL42" i="4" s="1"/>
  <c r="D43" i="4"/>
  <c r="AM43" i="4" s="1"/>
  <c r="E43" i="4"/>
  <c r="AL43" i="4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M100" i="4"/>
  <c r="M183" i="4"/>
  <c r="M38" i="4"/>
  <c r="C183" i="4"/>
  <c r="C38" i="4"/>
  <c r="A100" i="4"/>
  <c r="A183" i="4"/>
  <c r="A38" i="4"/>
  <c r="A225" i="4"/>
  <c r="AG58" i="4" l="1"/>
  <c r="AJ58" i="4" s="1"/>
  <c r="AG93" i="4"/>
  <c r="AJ93" i="4" s="1"/>
  <c r="AG206" i="4"/>
  <c r="AJ206" i="4" s="1"/>
  <c r="AG160" i="4"/>
  <c r="AJ160" i="4" s="1"/>
  <c r="AG125" i="4"/>
  <c r="AJ125" i="4" s="1"/>
  <c r="AG46" i="4"/>
  <c r="AJ46" i="4" s="1"/>
  <c r="AG91" i="4"/>
  <c r="AJ91" i="4" s="1"/>
  <c r="AG175" i="4"/>
  <c r="AJ175" i="4" s="1"/>
  <c r="AG77" i="4"/>
  <c r="AJ77" i="4" s="1"/>
  <c r="AG31" i="4"/>
  <c r="AJ31" i="4" s="1"/>
  <c r="AF38" i="4"/>
  <c r="AG38" i="4" s="1"/>
  <c r="AJ38" i="4" s="1"/>
  <c r="AF183" i="4"/>
  <c r="AG183" i="4" s="1"/>
  <c r="AJ183" i="4" s="1"/>
  <c r="AG203" i="4"/>
  <c r="AJ203" i="4" s="1"/>
  <c r="AG201" i="4"/>
  <c r="AJ201" i="4" s="1"/>
  <c r="AG186" i="4"/>
  <c r="AJ186" i="4" s="1"/>
  <c r="AG165" i="4"/>
  <c r="AJ165" i="4" s="1"/>
  <c r="AG80" i="4"/>
  <c r="AJ80" i="4" s="1"/>
  <c r="AG115" i="4"/>
  <c r="AJ115" i="4" s="1"/>
  <c r="AG51" i="4"/>
  <c r="AJ51" i="4" s="1"/>
  <c r="AG172" i="4"/>
  <c r="AJ172" i="4" s="1"/>
  <c r="AG14" i="4"/>
  <c r="AJ14" i="4" s="1"/>
  <c r="AG189" i="4"/>
  <c r="AJ189" i="4" s="1"/>
  <c r="AG26" i="4"/>
  <c r="AJ26" i="4" s="1"/>
  <c r="AG171" i="4"/>
  <c r="AJ171" i="4" s="1"/>
  <c r="AG199" i="4"/>
  <c r="AJ199" i="4" s="1"/>
  <c r="AG151" i="4"/>
  <c r="AJ151" i="4" s="1"/>
  <c r="AG60" i="4"/>
  <c r="AJ60" i="4" s="1"/>
  <c r="AG98" i="4"/>
  <c r="AJ98" i="4" s="1"/>
  <c r="AG116" i="4"/>
  <c r="AJ116" i="4" s="1"/>
  <c r="AG20" i="4"/>
  <c r="AJ20" i="4" s="1"/>
  <c r="AG11" i="4"/>
  <c r="AJ11" i="4" s="1"/>
  <c r="AG76" i="4"/>
  <c r="AJ76" i="4" s="1"/>
  <c r="AG212" i="4"/>
  <c r="AJ212" i="4" s="1"/>
  <c r="AG192" i="4"/>
  <c r="AJ192" i="4" s="1"/>
  <c r="AG143" i="4"/>
  <c r="AJ143" i="4" s="1"/>
  <c r="AG141" i="4"/>
  <c r="AJ141" i="4" s="1"/>
  <c r="AG210" i="4"/>
  <c r="AJ210" i="4" s="1"/>
  <c r="AG112" i="4"/>
  <c r="AJ112" i="4" s="1"/>
  <c r="AG55" i="4"/>
  <c r="AJ55" i="4" s="1"/>
  <c r="AG100" i="4"/>
  <c r="AJ100" i="4" s="1"/>
  <c r="AG107" i="4"/>
  <c r="AJ107" i="4" s="1"/>
  <c r="AG196" i="4"/>
  <c r="AJ196" i="4" s="1"/>
  <c r="AG176" i="4"/>
  <c r="AJ176" i="4" s="1"/>
  <c r="AG43" i="4"/>
  <c r="AJ43" i="4" s="1"/>
  <c r="AG84" i="4"/>
  <c r="AJ84" i="4" s="1"/>
  <c r="AG202" i="4"/>
  <c r="AJ202" i="4" s="1"/>
  <c r="AG184" i="4"/>
  <c r="AJ184" i="4" s="1"/>
  <c r="AG166" i="4"/>
  <c r="AJ166" i="4" s="1"/>
  <c r="AG164" i="4"/>
  <c r="AJ164" i="4" s="1"/>
  <c r="AG131" i="4"/>
  <c r="AJ131" i="4" s="1"/>
  <c r="AG50" i="4"/>
  <c r="AJ50" i="4" s="1"/>
  <c r="AG109" i="4"/>
  <c r="AJ109" i="4" s="1"/>
  <c r="AG190" i="4"/>
  <c r="AJ190" i="4" s="1"/>
  <c r="AG200" i="4"/>
  <c r="AJ200" i="4" s="1"/>
  <c r="AG198" i="4"/>
  <c r="AJ198" i="4" s="1"/>
  <c r="AG170" i="4"/>
  <c r="AJ170" i="4" s="1"/>
  <c r="AG197" i="4"/>
  <c r="AJ197" i="4" s="1"/>
  <c r="AG113" i="4"/>
  <c r="AJ113" i="4" s="1"/>
  <c r="AG61" i="4"/>
  <c r="AJ61" i="4" s="1"/>
  <c r="AG99" i="4"/>
  <c r="AJ99" i="4" s="1"/>
  <c r="AG117" i="4"/>
  <c r="AJ117" i="4" s="1"/>
  <c r="AG218" i="4"/>
  <c r="AJ218" i="4" s="1"/>
  <c r="AG75" i="4"/>
  <c r="AJ75" i="4" s="1"/>
  <c r="AG145" i="4"/>
  <c r="AJ145" i="4" s="1"/>
  <c r="AG142" i="4"/>
  <c r="AJ142" i="4" s="1"/>
  <c r="AG211" i="4"/>
  <c r="AJ211" i="4" s="1"/>
  <c r="AG148" i="4"/>
  <c r="AJ148" i="4" s="1"/>
  <c r="AG69" i="4"/>
  <c r="AJ69" i="4" s="1"/>
  <c r="AG147" i="4"/>
  <c r="AJ147" i="4" s="1"/>
  <c r="AG73" i="4"/>
  <c r="AJ73" i="4" s="1"/>
  <c r="AG180" i="4"/>
  <c r="AJ180" i="4" s="1"/>
  <c r="AG71" i="4"/>
  <c r="AJ71" i="4" s="1"/>
  <c r="AG54" i="4"/>
  <c r="AJ54" i="4" s="1"/>
  <c r="AG67" i="4"/>
  <c r="AJ67" i="4" s="1"/>
  <c r="AG159" i="4"/>
  <c r="AJ159" i="4" s="1"/>
  <c r="AG153" i="4"/>
  <c r="AJ153" i="4" s="1"/>
  <c r="AG194" i="4"/>
  <c r="AJ194" i="4" s="1"/>
  <c r="AG47" i="4"/>
  <c r="AJ47" i="4" s="1"/>
  <c r="AG204" i="4"/>
  <c r="AJ204" i="4" s="1"/>
  <c r="AG45" i="4"/>
  <c r="AJ45" i="4" s="1"/>
  <c r="AG205" i="4"/>
  <c r="AJ205" i="4" s="1"/>
  <c r="AG94" i="4"/>
  <c r="AJ94" i="4" s="1"/>
  <c r="AG92" i="4"/>
  <c r="AJ92" i="4" s="1"/>
  <c r="AG102" i="4"/>
  <c r="AJ102" i="4" s="1"/>
  <c r="AG30" i="4"/>
  <c r="AJ30" i="4" s="1"/>
  <c r="M30" i="4"/>
  <c r="M29" i="4"/>
  <c r="C29" i="4"/>
  <c r="A29" i="4"/>
  <c r="A30" i="4"/>
  <c r="M187" i="4"/>
  <c r="M19" i="4"/>
  <c r="M159" i="4"/>
  <c r="A159" i="4"/>
  <c r="M54" i="4"/>
  <c r="A54" i="4"/>
  <c r="M200" i="4"/>
  <c r="M141" i="4"/>
  <c r="A141" i="4"/>
  <c r="M93" i="4"/>
  <c r="A93" i="4"/>
  <c r="M91" i="4"/>
  <c r="A91" i="4"/>
  <c r="M226" i="4"/>
  <c r="M225" i="4"/>
  <c r="AF29" i="4" l="1"/>
  <c r="AG29" i="4" s="1"/>
  <c r="AJ29" i="4" s="1"/>
  <c r="AA191" i="4"/>
  <c r="AA13" i="4"/>
  <c r="AA121" i="4"/>
  <c r="AA122" i="4"/>
  <c r="AA27" i="4"/>
  <c r="AA126" i="4"/>
  <c r="AG126" i="4" s="1"/>
  <c r="AJ126" i="4" s="1"/>
  <c r="AA78" i="4"/>
  <c r="AA130" i="4"/>
  <c r="AA137" i="4"/>
  <c r="AG137" i="4" s="1"/>
  <c r="AJ137" i="4" s="1"/>
  <c r="AA144" i="4"/>
  <c r="AA223" i="4"/>
  <c r="AG223" i="4" s="1"/>
  <c r="AJ223" i="4" s="1"/>
  <c r="M191" i="4"/>
  <c r="M13" i="4"/>
  <c r="M120" i="4"/>
  <c r="M12" i="4"/>
  <c r="M192" i="4"/>
  <c r="M145" i="4"/>
  <c r="M151" i="4"/>
  <c r="M106" i="4"/>
  <c r="M14" i="4"/>
  <c r="M121" i="4"/>
  <c r="M122" i="4"/>
  <c r="M15" i="4"/>
  <c r="M181" i="4"/>
  <c r="M27" i="4"/>
  <c r="M123" i="4"/>
  <c r="M126" i="4"/>
  <c r="M78" i="4"/>
  <c r="M130" i="4"/>
  <c r="M88" i="4"/>
  <c r="M137" i="4"/>
  <c r="M90" i="4"/>
  <c r="M77" i="4"/>
  <c r="M144" i="4"/>
  <c r="M223" i="4"/>
  <c r="C191" i="4"/>
  <c r="C13" i="4"/>
  <c r="C120" i="4"/>
  <c r="C12" i="4"/>
  <c r="C106" i="4"/>
  <c r="C121" i="4"/>
  <c r="C122" i="4"/>
  <c r="C15" i="4"/>
  <c r="C181" i="4"/>
  <c r="C27" i="4"/>
  <c r="C123" i="4"/>
  <c r="C78" i="4"/>
  <c r="C130" i="4"/>
  <c r="C88" i="4"/>
  <c r="C90" i="4"/>
  <c r="C144" i="4"/>
  <c r="A191" i="4"/>
  <c r="A13" i="4"/>
  <c r="A120" i="4"/>
  <c r="A12" i="4"/>
  <c r="A192" i="4"/>
  <c r="A145" i="4"/>
  <c r="A151" i="4"/>
  <c r="A106" i="4"/>
  <c r="A14" i="4"/>
  <c r="A121" i="4"/>
  <c r="A122" i="4"/>
  <c r="A15" i="4"/>
  <c r="A181" i="4"/>
  <c r="A27" i="4"/>
  <c r="A123" i="4"/>
  <c r="A126" i="4"/>
  <c r="A78" i="4"/>
  <c r="A130" i="4"/>
  <c r="A88" i="4"/>
  <c r="A137" i="4"/>
  <c r="A90" i="4"/>
  <c r="A77" i="4"/>
  <c r="A144" i="4"/>
  <c r="A223" i="4"/>
  <c r="A31" i="4"/>
  <c r="A226" i="4"/>
  <c r="AF27" i="4" l="1"/>
  <c r="AG27" i="4" s="1"/>
  <c r="AJ27" i="4" s="1"/>
  <c r="AF181" i="4"/>
  <c r="AG181" i="4" s="1"/>
  <c r="AJ181" i="4" s="1"/>
  <c r="AF15" i="4"/>
  <c r="AG15" i="4" s="1"/>
  <c r="AJ15" i="4" s="1"/>
  <c r="AF122" i="4"/>
  <c r="AG122" i="4" s="1"/>
  <c r="AJ122" i="4" s="1"/>
  <c r="AF121" i="4"/>
  <c r="AG121" i="4" s="1"/>
  <c r="AJ121" i="4" s="1"/>
  <c r="AF106" i="4"/>
  <c r="AG106" i="4" s="1"/>
  <c r="AJ106" i="4" s="1"/>
  <c r="AF12" i="4"/>
  <c r="AG12" i="4" s="1"/>
  <c r="AJ12" i="4" s="1"/>
  <c r="AF120" i="4"/>
  <c r="AG120" i="4" s="1"/>
  <c r="AJ120" i="4" s="1"/>
  <c r="AF13" i="4"/>
  <c r="AG13" i="4" s="1"/>
  <c r="AJ13" i="4" s="1"/>
  <c r="AF90" i="4"/>
  <c r="AG90" i="4" s="1"/>
  <c r="AJ90" i="4" s="1"/>
  <c r="AF130" i="4"/>
  <c r="AG130" i="4" s="1"/>
  <c r="AJ130" i="4" s="1"/>
  <c r="AF123" i="4"/>
  <c r="AG123" i="4" s="1"/>
  <c r="AJ123" i="4" s="1"/>
  <c r="AF144" i="4"/>
  <c r="AG144" i="4" s="1"/>
  <c r="AJ144" i="4" s="1"/>
  <c r="AF88" i="4"/>
  <c r="AG88" i="4" s="1"/>
  <c r="AJ88" i="4" s="1"/>
  <c r="AF191" i="4"/>
  <c r="AG191" i="4" s="1"/>
  <c r="AJ191" i="4" s="1"/>
  <c r="AF78" i="4"/>
  <c r="AG78" i="4" s="1"/>
  <c r="AJ78" i="4" s="1"/>
  <c r="D23" i="4"/>
  <c r="AM23" i="4" s="1"/>
  <c r="AA161" i="4"/>
  <c r="M52" i="4"/>
  <c r="M182" i="4"/>
  <c r="M11" i="4"/>
  <c r="M108" i="4"/>
  <c r="M86" i="4"/>
  <c r="M25" i="4"/>
  <c r="M26" i="4"/>
  <c r="M154" i="4"/>
  <c r="M208" i="4"/>
  <c r="M36" i="4"/>
  <c r="M34" i="4"/>
  <c r="M18" i="4"/>
  <c r="M207" i="4"/>
  <c r="M64" i="4"/>
  <c r="M177" i="4"/>
  <c r="M39" i="4"/>
  <c r="M42" i="4"/>
  <c r="M43" i="4"/>
  <c r="M197" i="4"/>
  <c r="M147" i="4"/>
  <c r="M210" i="4"/>
  <c r="M148" i="4"/>
  <c r="M211" i="4"/>
  <c r="M212" i="4"/>
  <c r="M218" i="4"/>
  <c r="M20" i="4"/>
  <c r="M180" i="4"/>
  <c r="C52" i="4"/>
  <c r="C182" i="4"/>
  <c r="C86" i="4"/>
  <c r="C25" i="4"/>
  <c r="C154" i="4"/>
  <c r="C208" i="4"/>
  <c r="C36" i="4"/>
  <c r="C34" i="4"/>
  <c r="C18" i="4"/>
  <c r="C207" i="4"/>
  <c r="C64" i="4"/>
  <c r="C177" i="4"/>
  <c r="C39" i="4"/>
  <c r="C187" i="4"/>
  <c r="C42" i="4"/>
  <c r="A52" i="4"/>
  <c r="A182" i="4"/>
  <c r="A11" i="4"/>
  <c r="A108" i="4"/>
  <c r="A86" i="4"/>
  <c r="A25" i="4"/>
  <c r="A26" i="4"/>
  <c r="A154" i="4"/>
  <c r="A208" i="4"/>
  <c r="A36" i="4"/>
  <c r="A34" i="4"/>
  <c r="A18" i="4"/>
  <c r="A19" i="4"/>
  <c r="A207" i="4"/>
  <c r="A64" i="4"/>
  <c r="A177" i="4"/>
  <c r="A39" i="4"/>
  <c r="A187" i="4"/>
  <c r="A42" i="4"/>
  <c r="A43" i="4"/>
  <c r="A197" i="4"/>
  <c r="A147" i="4"/>
  <c r="A210" i="4"/>
  <c r="A148" i="4"/>
  <c r="A211" i="4"/>
  <c r="A212" i="4"/>
  <c r="A218" i="4"/>
  <c r="A20" i="4"/>
  <c r="A180" i="4"/>
  <c r="A161" i="4"/>
  <c r="A21" i="4"/>
  <c r="A17" i="4"/>
  <c r="A84" i="4"/>
  <c r="A149" i="4"/>
  <c r="AF52" i="4" l="1"/>
  <c r="AG52" i="4" s="1"/>
  <c r="AJ52" i="4" s="1"/>
  <c r="AF19" i="4"/>
  <c r="AG19" i="4" s="1"/>
  <c r="AJ19" i="4" s="1"/>
  <c r="AF18" i="4"/>
  <c r="AG18" i="4" s="1"/>
  <c r="AJ18" i="4" s="1"/>
  <c r="AF34" i="4"/>
  <c r="AG34" i="4" s="1"/>
  <c r="AJ34" i="4" s="1"/>
  <c r="AF182" i="4"/>
  <c r="AG182" i="4" s="1"/>
  <c r="AJ182" i="4" s="1"/>
  <c r="AF36" i="4"/>
  <c r="AG36" i="4" s="1"/>
  <c r="AJ36" i="4" s="1"/>
  <c r="AF208" i="4"/>
  <c r="AG208" i="4" s="1"/>
  <c r="AJ208" i="4" s="1"/>
  <c r="AF154" i="4"/>
  <c r="AG154" i="4" s="1"/>
  <c r="AJ154" i="4" s="1"/>
  <c r="AF207" i="4"/>
  <c r="AG207" i="4" s="1"/>
  <c r="AJ207" i="4" s="1"/>
  <c r="AF25" i="4"/>
  <c r="AG25" i="4" s="1"/>
  <c r="AJ25" i="4" s="1"/>
  <c r="AF42" i="4"/>
  <c r="AG42" i="4" s="1"/>
  <c r="AJ42" i="4" s="1"/>
  <c r="AF86" i="4"/>
  <c r="AG86" i="4" s="1"/>
  <c r="AJ86" i="4" s="1"/>
  <c r="AF108" i="4"/>
  <c r="AG108" i="4" s="1"/>
  <c r="AJ108" i="4" s="1"/>
  <c r="AF64" i="4"/>
  <c r="AG64" i="4" s="1"/>
  <c r="AJ64" i="4" s="1"/>
  <c r="AF187" i="4"/>
  <c r="AG187" i="4" s="1"/>
  <c r="AJ187" i="4" s="1"/>
  <c r="AF39" i="4"/>
  <c r="AG39" i="4" s="1"/>
  <c r="AJ39" i="4" s="1"/>
  <c r="AF177" i="4"/>
  <c r="AG177" i="4" s="1"/>
  <c r="AJ177" i="4" s="1"/>
  <c r="C104" i="4"/>
  <c r="AF104" i="4" l="1"/>
  <c r="AE23" i="4"/>
  <c r="Z23" i="4"/>
  <c r="Y23" i="4"/>
  <c r="V23" i="4"/>
  <c r="U23" i="4"/>
  <c r="T23" i="4"/>
  <c r="AA53" i="4"/>
  <c r="AA168" i="4"/>
  <c r="AA59" i="4"/>
  <c r="AA188" i="4"/>
  <c r="AA103" i="4"/>
  <c r="AA104" i="4"/>
  <c r="AG104" i="4" s="1"/>
  <c r="AJ104" i="4" s="1"/>
  <c r="AA87" i="4"/>
  <c r="AA152" i="4"/>
  <c r="AA24" i="4"/>
  <c r="AA32" i="4"/>
  <c r="AA33" i="4"/>
  <c r="AA37" i="4"/>
  <c r="AA41" i="4"/>
  <c r="AA105" i="4"/>
  <c r="AA127" i="4"/>
  <c r="AA134" i="4"/>
  <c r="AA135" i="4"/>
  <c r="AA179" i="4"/>
  <c r="AA195" i="4"/>
  <c r="AA209" i="4"/>
  <c r="AA215" i="4"/>
  <c r="AA219" i="4"/>
  <c r="AA216" i="4"/>
  <c r="AA62" i="4"/>
  <c r="AA155" i="4"/>
  <c r="AA63" i="4"/>
  <c r="AA110" i="4"/>
  <c r="AA48" i="4"/>
  <c r="AA162" i="4"/>
  <c r="AA21" i="4"/>
  <c r="AA17" i="4"/>
  <c r="P23" i="4"/>
  <c r="M58" i="4"/>
  <c r="M53" i="4"/>
  <c r="M196" i="4"/>
  <c r="M111" i="4"/>
  <c r="M112" i="4"/>
  <c r="M56" i="4"/>
  <c r="M168" i="4"/>
  <c r="M59" i="4"/>
  <c r="M60" i="4"/>
  <c r="M61" i="4"/>
  <c r="M113" i="4"/>
  <c r="M169" i="4"/>
  <c r="M171" i="4"/>
  <c r="M170" i="4"/>
  <c r="M188" i="4"/>
  <c r="M189" i="4"/>
  <c r="M190" i="4"/>
  <c r="M156" i="4"/>
  <c r="M49" i="4"/>
  <c r="M50" i="4"/>
  <c r="M51" i="4"/>
  <c r="M114" i="4"/>
  <c r="M115" i="4"/>
  <c r="M163" i="4"/>
  <c r="M164" i="4"/>
  <c r="M165" i="4"/>
  <c r="M166" i="4"/>
  <c r="M185" i="4"/>
  <c r="M186" i="4"/>
  <c r="M184" i="4"/>
  <c r="M103" i="4"/>
  <c r="M104" i="4"/>
  <c r="M107" i="4"/>
  <c r="M214" i="4"/>
  <c r="M87" i="4"/>
  <c r="M152" i="4"/>
  <c r="M24" i="4"/>
  <c r="M32" i="4"/>
  <c r="M23" i="4"/>
  <c r="M33" i="4"/>
  <c r="M37" i="4"/>
  <c r="M41" i="4"/>
  <c r="M105" i="4"/>
  <c r="M127" i="4"/>
  <c r="M128" i="4"/>
  <c r="M132" i="4"/>
  <c r="M134" i="4"/>
  <c r="M135" i="4"/>
  <c r="M146" i="4"/>
  <c r="M179" i="4"/>
  <c r="M195" i="4"/>
  <c r="M209" i="4"/>
  <c r="M215" i="4"/>
  <c r="M219" i="4"/>
  <c r="M216" i="4"/>
  <c r="M220" i="4"/>
  <c r="M133" i="4"/>
  <c r="M16" i="4"/>
  <c r="M35" i="4"/>
  <c r="M178" i="4"/>
  <c r="M28" i="4"/>
  <c r="M40" i="4"/>
  <c r="M62" i="4"/>
  <c r="M167" i="4"/>
  <c r="M155" i="4"/>
  <c r="M63" i="4"/>
  <c r="M110" i="4"/>
  <c r="M48" i="4"/>
  <c r="M162" i="4"/>
  <c r="M206" i="4"/>
  <c r="M205" i="4"/>
  <c r="M119" i="4"/>
  <c r="E23" i="4"/>
  <c r="AL23" i="4" s="1"/>
  <c r="C53" i="4"/>
  <c r="C111" i="4"/>
  <c r="C56" i="4"/>
  <c r="C168" i="4"/>
  <c r="C59" i="4"/>
  <c r="C169" i="4"/>
  <c r="C188" i="4"/>
  <c r="C156" i="4"/>
  <c r="C49" i="4"/>
  <c r="C163" i="4"/>
  <c r="C185" i="4"/>
  <c r="C103" i="4"/>
  <c r="C214" i="4"/>
  <c r="C87" i="4"/>
  <c r="C152" i="4"/>
  <c r="C24" i="4"/>
  <c r="C32" i="4"/>
  <c r="C23" i="4"/>
  <c r="C33" i="4"/>
  <c r="C37" i="4"/>
  <c r="C41" i="4"/>
  <c r="C105" i="4"/>
  <c r="C127" i="4"/>
  <c r="C128" i="4"/>
  <c r="C132" i="4"/>
  <c r="C134" i="4"/>
  <c r="C135" i="4"/>
  <c r="C146" i="4"/>
  <c r="C179" i="4"/>
  <c r="C195" i="4"/>
  <c r="C209" i="4"/>
  <c r="C215" i="4"/>
  <c r="C219" i="4"/>
  <c r="C216" i="4"/>
  <c r="C220" i="4"/>
  <c r="C133" i="4"/>
  <c r="C16" i="4"/>
  <c r="C35" i="4"/>
  <c r="C178" i="4"/>
  <c r="C28" i="4"/>
  <c r="C40" i="4"/>
  <c r="C62" i="4"/>
  <c r="C167" i="4"/>
  <c r="C155" i="4"/>
  <c r="C63" i="4"/>
  <c r="C110" i="4"/>
  <c r="C48" i="4"/>
  <c r="C162" i="4"/>
  <c r="C119" i="4"/>
  <c r="C158" i="4"/>
  <c r="A58" i="4"/>
  <c r="A53" i="4"/>
  <c r="A55" i="4"/>
  <c r="A196" i="4"/>
  <c r="A111" i="4"/>
  <c r="A112" i="4"/>
  <c r="A56" i="4"/>
  <c r="A168" i="4"/>
  <c r="A59" i="4"/>
  <c r="A60" i="4"/>
  <c r="A61" i="4"/>
  <c r="A113" i="4"/>
  <c r="A169" i="4"/>
  <c r="A171" i="4"/>
  <c r="A170" i="4"/>
  <c r="A188" i="4"/>
  <c r="A189" i="4"/>
  <c r="A190" i="4"/>
  <c r="A156" i="4"/>
  <c r="A49" i="4"/>
  <c r="A50" i="4"/>
  <c r="A51" i="4"/>
  <c r="A114" i="4"/>
  <c r="A115" i="4"/>
  <c r="A163" i="4"/>
  <c r="A164" i="4"/>
  <c r="A165" i="4"/>
  <c r="A166" i="4"/>
  <c r="A185" i="4"/>
  <c r="A186" i="4"/>
  <c r="A184" i="4"/>
  <c r="A103" i="4"/>
  <c r="A104" i="4"/>
  <c r="A107" i="4"/>
  <c r="A214" i="4"/>
  <c r="A87" i="4"/>
  <c r="A152" i="4"/>
  <c r="A24" i="4"/>
  <c r="A32" i="4"/>
  <c r="A23" i="4"/>
  <c r="A33" i="4"/>
  <c r="A37" i="4"/>
  <c r="A41" i="4"/>
  <c r="A105" i="4"/>
  <c r="A127" i="4"/>
  <c r="A128" i="4"/>
  <c r="A132" i="4"/>
  <c r="A134" i="4"/>
  <c r="A135" i="4"/>
  <c r="A146" i="4"/>
  <c r="A179" i="4"/>
  <c r="A195" i="4"/>
  <c r="A209" i="4"/>
  <c r="A215" i="4"/>
  <c r="A219" i="4"/>
  <c r="A216" i="4"/>
  <c r="A220" i="4"/>
  <c r="A133" i="4"/>
  <c r="A16" i="4"/>
  <c r="A35" i="4"/>
  <c r="A178" i="4"/>
  <c r="A28" i="4"/>
  <c r="A40" i="4"/>
  <c r="A62" i="4"/>
  <c r="A167" i="4"/>
  <c r="A155" i="4"/>
  <c r="A63" i="4"/>
  <c r="A110" i="4"/>
  <c r="A48" i="4"/>
  <c r="A162" i="4"/>
  <c r="A206" i="4"/>
  <c r="A205" i="4"/>
  <c r="A119" i="4"/>
  <c r="A158" i="4"/>
  <c r="A160" i="4"/>
  <c r="A138" i="4"/>
  <c r="A157" i="4"/>
  <c r="AF214" i="4" l="1"/>
  <c r="AG214" i="4" s="1"/>
  <c r="AJ214" i="4" s="1"/>
  <c r="AF128" i="4"/>
  <c r="AG128" i="4" s="1"/>
  <c r="AJ128" i="4" s="1"/>
  <c r="AF56" i="4"/>
  <c r="AG56" i="4" s="1"/>
  <c r="AJ56" i="4" s="1"/>
  <c r="AF63" i="4"/>
  <c r="AG63" i="4" s="1"/>
  <c r="AJ63" i="4" s="1"/>
  <c r="AF220" i="4"/>
  <c r="AG220" i="4" s="1"/>
  <c r="AJ220" i="4" s="1"/>
  <c r="AF127" i="4"/>
  <c r="AG127" i="4" s="1"/>
  <c r="AJ127" i="4" s="1"/>
  <c r="AF103" i="4"/>
  <c r="AG103" i="4" s="1"/>
  <c r="AJ103" i="4" s="1"/>
  <c r="AF111" i="4"/>
  <c r="AG111" i="4" s="1"/>
  <c r="AJ111" i="4" s="1"/>
  <c r="AF155" i="4"/>
  <c r="AG155" i="4" s="1"/>
  <c r="AJ155" i="4" s="1"/>
  <c r="AF216" i="4"/>
  <c r="AG216" i="4" s="1"/>
  <c r="AJ216" i="4" s="1"/>
  <c r="AF105" i="4"/>
  <c r="AG105" i="4" s="1"/>
  <c r="AJ105" i="4" s="1"/>
  <c r="AF185" i="4"/>
  <c r="AG185" i="4" s="1"/>
  <c r="AJ185" i="4" s="1"/>
  <c r="AF53" i="4"/>
  <c r="AG53" i="4" s="1"/>
  <c r="AJ53" i="4" s="1"/>
  <c r="AF219" i="4"/>
  <c r="AG219" i="4" s="1"/>
  <c r="AJ219" i="4" s="1"/>
  <c r="AF41" i="4"/>
  <c r="AG41" i="4" s="1"/>
  <c r="AJ41" i="4" s="1"/>
  <c r="AF163" i="4"/>
  <c r="AG163" i="4" s="1"/>
  <c r="AJ163" i="4" s="1"/>
  <c r="AF133" i="4"/>
  <c r="AG133" i="4" s="1"/>
  <c r="AJ133" i="4" s="1"/>
  <c r="AF215" i="4"/>
  <c r="AG215" i="4" s="1"/>
  <c r="AJ215" i="4" s="1"/>
  <c r="AF37" i="4"/>
  <c r="AG37" i="4" s="1"/>
  <c r="AJ37" i="4" s="1"/>
  <c r="AF114" i="4"/>
  <c r="AG114" i="4" s="1"/>
  <c r="AJ114" i="4" s="1"/>
  <c r="AF209" i="4"/>
  <c r="AG209" i="4" s="1"/>
  <c r="AJ209" i="4" s="1"/>
  <c r="AF33" i="4"/>
  <c r="AG33" i="4" s="1"/>
  <c r="AJ33" i="4" s="1"/>
  <c r="AF49" i="4"/>
  <c r="AG49" i="4" s="1"/>
  <c r="AJ49" i="4" s="1"/>
  <c r="AF167" i="4"/>
  <c r="AG167" i="4" s="1"/>
  <c r="AJ167" i="4" s="1"/>
  <c r="AF195" i="4"/>
  <c r="AG195" i="4" s="1"/>
  <c r="AJ195" i="4" s="1"/>
  <c r="AF23" i="4"/>
  <c r="AF156" i="4"/>
  <c r="AG156" i="4" s="1"/>
  <c r="AJ156" i="4" s="1"/>
  <c r="AF179" i="4"/>
  <c r="AG179" i="4" s="1"/>
  <c r="AJ179" i="4" s="1"/>
  <c r="AF32" i="4"/>
  <c r="AG32" i="4" s="1"/>
  <c r="AJ32" i="4" s="1"/>
  <c r="AF132" i="4"/>
  <c r="AG132" i="4" s="1"/>
  <c r="AJ132" i="4" s="1"/>
  <c r="AF158" i="4"/>
  <c r="AG158" i="4" s="1"/>
  <c r="AJ158" i="4" s="1"/>
  <c r="AF28" i="4"/>
  <c r="AG28" i="4" s="1"/>
  <c r="AJ28" i="4" s="1"/>
  <c r="AF24" i="4"/>
  <c r="AG24" i="4" s="1"/>
  <c r="AJ24" i="4" s="1"/>
  <c r="AF188" i="4"/>
  <c r="AG188" i="4" s="1"/>
  <c r="AJ188" i="4" s="1"/>
  <c r="AF16" i="4"/>
  <c r="AG16" i="4" s="1"/>
  <c r="AJ16" i="4" s="1"/>
  <c r="AF40" i="4"/>
  <c r="AG40" i="4" s="1"/>
  <c r="AJ40" i="4" s="1"/>
  <c r="AF162" i="4"/>
  <c r="AG162" i="4" s="1"/>
  <c r="AJ162" i="4" s="1"/>
  <c r="AF135" i="4"/>
  <c r="AG135" i="4" s="1"/>
  <c r="AJ135" i="4" s="1"/>
  <c r="AF169" i="4"/>
  <c r="AG169" i="4" s="1"/>
  <c r="AJ169" i="4" s="1"/>
  <c r="AF110" i="4"/>
  <c r="AG110" i="4" s="1"/>
  <c r="AJ110" i="4" s="1"/>
  <c r="AF168" i="4"/>
  <c r="AG168" i="4" s="1"/>
  <c r="AJ168" i="4" s="1"/>
  <c r="AF62" i="4"/>
  <c r="AG62" i="4" s="1"/>
  <c r="AJ62" i="4" s="1"/>
  <c r="AF119" i="4"/>
  <c r="AG119" i="4" s="1"/>
  <c r="AJ119" i="4" s="1"/>
  <c r="AF146" i="4"/>
  <c r="AG146" i="4" s="1"/>
  <c r="AJ146" i="4" s="1"/>
  <c r="AF48" i="4"/>
  <c r="AG48" i="4" s="1"/>
  <c r="AJ48" i="4" s="1"/>
  <c r="AF178" i="4"/>
  <c r="AG178" i="4" s="1"/>
  <c r="AJ178" i="4" s="1"/>
  <c r="AF152" i="4"/>
  <c r="AG152" i="4" s="1"/>
  <c r="AJ152" i="4" s="1"/>
  <c r="AF35" i="4"/>
  <c r="AG35" i="4" s="1"/>
  <c r="AJ35" i="4" s="1"/>
  <c r="AF134" i="4"/>
  <c r="AG134" i="4" s="1"/>
  <c r="AJ134" i="4" s="1"/>
  <c r="AF87" i="4"/>
  <c r="AG87" i="4" s="1"/>
  <c r="AJ87" i="4" s="1"/>
  <c r="AF59" i="4"/>
  <c r="AG59" i="4" s="1"/>
  <c r="AJ59" i="4" s="1"/>
  <c r="AA23" i="4"/>
  <c r="AG23" i="4" l="1"/>
  <c r="AJ23" i="4" s="1"/>
  <c r="M203" i="4"/>
  <c r="AA129" i="4"/>
  <c r="C174" i="4" l="1"/>
  <c r="C101" i="4"/>
  <c r="C193" i="4"/>
  <c r="C139" i="4"/>
  <c r="C173" i="4"/>
  <c r="C95" i="4"/>
  <c r="C81" i="4"/>
  <c r="C66" i="4"/>
  <c r="C70" i="4"/>
  <c r="C72" i="4"/>
  <c r="C68" i="4"/>
  <c r="C140" i="4"/>
  <c r="C85" i="4"/>
  <c r="C89" i="4"/>
  <c r="C74" i="4"/>
  <c r="C136" i="4"/>
  <c r="C96" i="4"/>
  <c r="C97" i="4"/>
  <c r="C222" i="4"/>
  <c r="C82" i="4"/>
  <c r="C129" i="4"/>
  <c r="C83" i="4"/>
  <c r="C65" i="4"/>
  <c r="C79" i="4"/>
  <c r="C44" i="4"/>
  <c r="C124" i="4"/>
  <c r="C57" i="4"/>
  <c r="C138" i="4"/>
  <c r="C157" i="4"/>
  <c r="C161" i="4"/>
  <c r="C21" i="4"/>
  <c r="C17" i="4"/>
  <c r="C149" i="4"/>
  <c r="C150" i="4"/>
  <c r="C22" i="4"/>
  <c r="C217" i="4"/>
  <c r="AA139" i="4"/>
  <c r="AA118" i="4"/>
  <c r="AG118" i="4" s="1"/>
  <c r="AJ118" i="4" s="1"/>
  <c r="AA136" i="4"/>
  <c r="AA222" i="4"/>
  <c r="AA213" i="4"/>
  <c r="AG213" i="4" s="1"/>
  <c r="AJ213" i="4" s="1"/>
  <c r="AA124" i="4"/>
  <c r="AA149" i="4"/>
  <c r="AA150" i="4"/>
  <c r="AA22" i="4"/>
  <c r="AA217" i="4"/>
  <c r="Q221" i="4"/>
  <c r="AA221" i="4" s="1"/>
  <c r="AA227" i="4" l="1"/>
  <c r="AF17" i="4"/>
  <c r="AG17" i="4" s="1"/>
  <c r="AJ17" i="4" s="1"/>
  <c r="AF157" i="4"/>
  <c r="AG157" i="4" s="1"/>
  <c r="AJ157" i="4" s="1"/>
  <c r="AF222" i="4"/>
  <c r="AG222" i="4" s="1"/>
  <c r="AJ222" i="4" s="1"/>
  <c r="AF72" i="4"/>
  <c r="AG72" i="4" s="1"/>
  <c r="AJ72" i="4" s="1"/>
  <c r="AF83" i="4"/>
  <c r="AG83" i="4" s="1"/>
  <c r="AJ83" i="4" s="1"/>
  <c r="AF161" i="4"/>
  <c r="AG161" i="4" s="1"/>
  <c r="AJ161" i="4" s="1"/>
  <c r="AF68" i="4"/>
  <c r="AG68" i="4" s="1"/>
  <c r="AJ68" i="4" s="1"/>
  <c r="AF149" i="4"/>
  <c r="AG149" i="4" s="1"/>
  <c r="AJ149" i="4" s="1"/>
  <c r="AF138" i="4"/>
  <c r="AG138" i="4" s="1"/>
  <c r="AJ138" i="4" s="1"/>
  <c r="AF70" i="4"/>
  <c r="AG70" i="4" s="1"/>
  <c r="AJ70" i="4" s="1"/>
  <c r="AF57" i="4"/>
  <c r="AG57" i="4" s="1"/>
  <c r="AJ57" i="4" s="1"/>
  <c r="AF97" i="4"/>
  <c r="AG97" i="4" s="1"/>
  <c r="AJ97" i="4" s="1"/>
  <c r="AF66" i="4"/>
  <c r="AG66" i="4" s="1"/>
  <c r="AJ66" i="4" s="1"/>
  <c r="AF129" i="4"/>
  <c r="AG129" i="4" s="1"/>
  <c r="AJ129" i="4" s="1"/>
  <c r="AF82" i="4"/>
  <c r="AG82" i="4" s="1"/>
  <c r="AJ82" i="4" s="1"/>
  <c r="AF124" i="4"/>
  <c r="AG124" i="4" s="1"/>
  <c r="AJ124" i="4" s="1"/>
  <c r="AF96" i="4"/>
  <c r="AG96" i="4" s="1"/>
  <c r="AJ96" i="4" s="1"/>
  <c r="AF81" i="4"/>
  <c r="AG81" i="4" s="1"/>
  <c r="AJ81" i="4" s="1"/>
  <c r="AF140" i="4"/>
  <c r="AG140" i="4" s="1"/>
  <c r="AJ140" i="4" s="1"/>
  <c r="AF217" i="4"/>
  <c r="AG217" i="4" s="1"/>
  <c r="AJ217" i="4" s="1"/>
  <c r="AF44" i="4"/>
  <c r="AG44" i="4" s="1"/>
  <c r="AJ44" i="4" s="1"/>
  <c r="AF136" i="4"/>
  <c r="AG136" i="4" s="1"/>
  <c r="AJ136" i="4" s="1"/>
  <c r="AF95" i="4"/>
  <c r="AG95" i="4" s="1"/>
  <c r="AJ95" i="4" s="1"/>
  <c r="AF21" i="4"/>
  <c r="AG21" i="4" s="1"/>
  <c r="AJ21" i="4" s="1"/>
  <c r="AF22" i="4"/>
  <c r="AG22" i="4" s="1"/>
  <c r="AJ22" i="4" s="1"/>
  <c r="AF74" i="4"/>
  <c r="AG74" i="4" s="1"/>
  <c r="AJ74" i="4" s="1"/>
  <c r="AF173" i="4"/>
  <c r="AG173" i="4" s="1"/>
  <c r="AJ173" i="4" s="1"/>
  <c r="AF150" i="4"/>
  <c r="AG150" i="4" s="1"/>
  <c r="AJ150" i="4" s="1"/>
  <c r="AF79" i="4"/>
  <c r="AG79" i="4" s="1"/>
  <c r="AJ79" i="4" s="1"/>
  <c r="AF89" i="4"/>
  <c r="AG89" i="4" s="1"/>
  <c r="AJ89" i="4" s="1"/>
  <c r="AF139" i="4"/>
  <c r="AG139" i="4" s="1"/>
  <c r="AJ139" i="4" s="1"/>
  <c r="AF65" i="4"/>
  <c r="AG65" i="4" s="1"/>
  <c r="AJ65" i="4" s="1"/>
  <c r="AF85" i="4"/>
  <c r="AG85" i="4" s="1"/>
  <c r="AJ85" i="4" s="1"/>
  <c r="AF193" i="4"/>
  <c r="AG193" i="4" s="1"/>
  <c r="AJ193" i="4" s="1"/>
  <c r="AF101" i="4"/>
  <c r="AG101" i="4" s="1"/>
  <c r="AJ101" i="4" s="1"/>
  <c r="AF174" i="4"/>
  <c r="AG174" i="4" s="1"/>
  <c r="AJ174" i="4" s="1"/>
  <c r="M174" i="4"/>
  <c r="A174" i="4"/>
  <c r="M221" i="4" l="1"/>
  <c r="C221" i="4"/>
  <c r="C227" i="4" s="1"/>
  <c r="A221" i="4"/>
  <c r="AF221" i="4" l="1"/>
  <c r="AG221" i="4" s="1"/>
  <c r="AJ221" i="4" s="1"/>
  <c r="AJ227" i="4" s="1"/>
  <c r="M129" i="4"/>
  <c r="A129" i="4"/>
  <c r="M202" i="4" l="1"/>
  <c r="A202" i="4"/>
  <c r="M201" i="4"/>
  <c r="A201" i="4"/>
  <c r="M98" i="4"/>
  <c r="M99" i="4"/>
  <c r="A98" i="4"/>
  <c r="A99" i="4"/>
  <c r="M116" i="4"/>
  <c r="M117" i="4"/>
  <c r="M172" i="4"/>
  <c r="M97" i="4"/>
  <c r="M198" i="4"/>
  <c r="M199" i="4"/>
  <c r="A116" i="4"/>
  <c r="A117" i="4"/>
  <c r="A172" i="4"/>
  <c r="A97" i="4"/>
  <c r="A198" i="4"/>
  <c r="A199" i="4"/>
  <c r="M21" i="4" l="1"/>
  <c r="M17" i="4"/>
  <c r="M84" i="4"/>
  <c r="M149" i="4"/>
  <c r="M150" i="4"/>
  <c r="A150" i="4"/>
  <c r="A200" i="4" l="1"/>
  <c r="M204" i="4" l="1"/>
  <c r="M194" i="4"/>
  <c r="M102" i="4"/>
  <c r="M158" i="4" l="1"/>
  <c r="M46" i="4"/>
  <c r="M118" i="4"/>
  <c r="M193" i="4"/>
  <c r="M131" i="4"/>
  <c r="M143" i="4"/>
  <c r="M153" i="4"/>
  <c r="M68" i="4"/>
  <c r="M139" i="4"/>
  <c r="M217" i="4"/>
  <c r="M83" i="4"/>
  <c r="M161" i="4"/>
  <c r="M79" i="4"/>
  <c r="M224" i="4"/>
  <c r="M69" i="4"/>
  <c r="M142" i="4"/>
  <c r="M85" i="4"/>
  <c r="M138" i="4"/>
  <c r="M96" i="4"/>
  <c r="M136" i="4"/>
  <c r="M82" i="4"/>
  <c r="M173" i="4"/>
  <c r="M22" i="4"/>
  <c r="M47" i="4"/>
  <c r="M66" i="4"/>
  <c r="M176" i="4"/>
  <c r="M94" i="4"/>
  <c r="M95" i="4"/>
  <c r="M213" i="4"/>
  <c r="M65" i="4"/>
  <c r="M81" i="4"/>
  <c r="M67" i="4"/>
  <c r="M73" i="4"/>
  <c r="M157" i="4"/>
  <c r="M101" i="4"/>
  <c r="M75" i="4"/>
  <c r="M76" i="4"/>
  <c r="M70" i="4"/>
  <c r="M222" i="4"/>
  <c r="M124" i="4"/>
  <c r="M109" i="4"/>
  <c r="M140" i="4"/>
  <c r="M89" i="4"/>
  <c r="M175" i="4"/>
  <c r="M71" i="4"/>
  <c r="M72" i="4"/>
  <c r="M80" i="4"/>
  <c r="M57" i="4"/>
  <c r="M74" i="4"/>
  <c r="M44" i="4"/>
  <c r="A46" i="4" l="1"/>
  <c r="A118" i="4"/>
  <c r="A193" i="4"/>
  <c r="A131" i="4"/>
  <c r="A143" i="4"/>
  <c r="A153" i="4"/>
  <c r="A68" i="4"/>
  <c r="A139" i="4"/>
  <c r="A217" i="4"/>
  <c r="A83" i="4"/>
  <c r="A79" i="4"/>
  <c r="A224" i="4"/>
  <c r="A96" i="4"/>
  <c r="A82" i="4"/>
  <c r="A22" i="4"/>
  <c r="A47" i="4"/>
  <c r="A66" i="4"/>
  <c r="A176" i="4"/>
  <c r="A94" i="4"/>
  <c r="A95" i="4"/>
  <c r="A102" i="4"/>
  <c r="A213" i="4"/>
  <c r="A65" i="4"/>
  <c r="A203" i="4"/>
  <c r="A81" i="4"/>
  <c r="A67" i="4"/>
  <c r="A73" i="4"/>
  <c r="A101" i="4"/>
  <c r="A75" i="4"/>
  <c r="A76" i="4"/>
  <c r="A204" i="4"/>
  <c r="A70" i="4"/>
  <c r="A222" i="4"/>
  <c r="A124" i="4"/>
  <c r="A109" i="4"/>
  <c r="A140" i="4"/>
  <c r="A89" i="4"/>
  <c r="A175" i="4"/>
  <c r="A71" i="4"/>
  <c r="A72" i="4"/>
  <c r="A80" i="4"/>
  <c r="A92" i="4"/>
  <c r="A57" i="4"/>
  <c r="A74" i="4"/>
  <c r="A44" i="4"/>
  <c r="A136" i="4"/>
  <c r="A194" i="4"/>
  <c r="A69" i="4"/>
  <c r="A142" i="4"/>
  <c r="A85" i="4"/>
  <c r="A173" i="4"/>
  <c r="A45" i="4"/>
  <c r="A125" i="4"/>
  <c r="E50" i="7" l="1"/>
  <c r="B50" i="7"/>
  <c r="E43" i="7"/>
  <c r="B43" i="7"/>
  <c r="G35" i="7"/>
  <c r="F35" i="7"/>
  <c r="B34" i="7"/>
  <c r="G24" i="7"/>
  <c r="F24" i="7"/>
  <c r="D24" i="7"/>
  <c r="C24" i="7"/>
  <c r="F19" i="7"/>
  <c r="F18" i="7"/>
  <c r="F17" i="7"/>
  <c r="F16" i="7"/>
  <c r="F11" i="7"/>
  <c r="B11" i="7"/>
  <c r="F9" i="7"/>
  <c r="B9" i="7"/>
  <c r="AI61" i="6"/>
  <c r="H59" i="6"/>
  <c r="AI48" i="6"/>
  <c r="H44" i="6"/>
  <c r="G34" i="6"/>
  <c r="AN23" i="6"/>
  <c r="AJ23" i="6"/>
  <c r="P23" i="6"/>
  <c r="C9" i="5" s="1"/>
  <c r="AP18" i="6"/>
  <c r="AP17" i="6"/>
  <c r="AP16" i="6"/>
  <c r="AP15" i="6"/>
  <c r="K9" i="6"/>
  <c r="AP8" i="6"/>
  <c r="K7" i="6"/>
  <c r="AP6" i="6"/>
  <c r="H38" i="5"/>
  <c r="C38" i="5"/>
  <c r="F36" i="5"/>
  <c r="B36" i="5"/>
  <c r="E9" i="5"/>
  <c r="H7" i="5"/>
  <c r="N241" i="4"/>
  <c r="C241" i="4"/>
  <c r="N234" i="4"/>
  <c r="C234" i="4"/>
  <c r="M45" i="4"/>
  <c r="M125" i="4"/>
  <c r="N7" i="4"/>
  <c r="T5" i="4"/>
  <c r="AN34" i="6" l="1"/>
  <c r="AS34" i="6" s="1"/>
  <c r="AS37" i="6" s="1"/>
  <c r="AS38" i="6" s="1"/>
  <c r="G37" i="7" s="1"/>
  <c r="AJ228" i="4" l="1"/>
  <c r="AJ229" i="4" s="1"/>
  <c r="AS39" i="6"/>
  <c r="AH28" i="6" s="1"/>
  <c r="E32" i="7"/>
  <c r="F32" i="7" s="1"/>
  <c r="G32" i="7" s="1"/>
  <c r="G36" i="7" s="1"/>
  <c r="E34" i="7" l="1"/>
  <c r="G34" i="7" s="1"/>
  <c r="G38" i="7"/>
  <c r="F34" i="7" l="1"/>
</calcChain>
</file>

<file path=xl/sharedStrings.xml><?xml version="1.0" encoding="utf-8"?>
<sst xmlns="http://schemas.openxmlformats.org/spreadsheetml/2006/main" count="15777" uniqueCount="4314">
  <si>
    <t>Заполнить</t>
  </si>
  <si>
    <t>Договор №</t>
  </si>
  <si>
    <t>ТО-ЭСТ-РО-2025</t>
  </si>
  <si>
    <t>Договор от</t>
  </si>
  <si>
    <t>Период</t>
  </si>
  <si>
    <t>ИСПОЛНИТЕЛЬ</t>
  </si>
  <si>
    <t>Доп название</t>
  </si>
  <si>
    <t>Начало</t>
  </si>
  <si>
    <t>Организация 
исполнителя</t>
  </si>
  <si>
    <t>Конец</t>
  </si>
  <si>
    <t>ООО "ЭСТ", 350005, Краснодарский край, г. Краснодар, ул. им. Александра Покрышкина д.  25/А, корп.2, помещ.  21,22,23</t>
  </si>
  <si>
    <t>Автозаполнение</t>
  </si>
  <si>
    <t>ООО "ЮСТК-Энергострой", 350000, г. Краснодар, ул. Сливовая, 33</t>
  </si>
  <si>
    <t xml:space="preserve">Азаренко Р. Г. </t>
  </si>
  <si>
    <t>ЗАКАЗЧИК</t>
  </si>
  <si>
    <t>Представитель исполнителя</t>
  </si>
  <si>
    <t>Представитель заказчика</t>
  </si>
  <si>
    <t>Мотлях К.Г.</t>
  </si>
  <si>
    <t>Нестеренко Е.В.</t>
  </si>
  <si>
    <t>Должность 
заказчика</t>
  </si>
  <si>
    <t>Директор макрорегионального филиала "Юг" ОOO "Т2 Мобайл"</t>
  </si>
  <si>
    <t>Организация 
заказчика</t>
  </si>
  <si>
    <t>Должность 
исполнителя</t>
  </si>
  <si>
    <t>ООО "Т2 Мобайл", 108811, г. Москва, Киевское шоссе 22-й километр, домовладение 6, строение 1, этаж 5, комната 33</t>
  </si>
  <si>
    <t>ОКПО Заказчика</t>
  </si>
  <si>
    <t>Директор  ООО "ЭСТ"</t>
  </si>
  <si>
    <t>ОКПО Исполнителя</t>
  </si>
  <si>
    <t>№ п/п</t>
  </si>
  <si>
    <t>Наименование работ*</t>
  </si>
  <si>
    <t>Ед. Изм.</t>
  </si>
  <si>
    <t>Цена за единицу в рублях без НДС</t>
  </si>
  <si>
    <t>1. Антенно - фидерное устройство Объекта </t>
  </si>
  <si>
    <t>.1.1.</t>
  </si>
  <si>
    <t>Диагностика, измерение потерь оптической линии между аппаратной и оборудованием на АМС рефлектометром (длина линии, расстояние до повреждения, затухание)</t>
  </si>
  <si>
    <t> шт.</t>
  </si>
  <si>
    <t>1.2.</t>
  </si>
  <si>
    <t>Диагностика и устранение дефектов АФУ сектора БС (локализация неисправности или перепуток Net Monitor'ом, проверка/ремонт разъёмов, соединительных джемперов, проверка КСВ)</t>
  </si>
  <si>
    <t> Объект</t>
  </si>
  <si>
    <t>1.3.</t>
  </si>
  <si>
    <t>Замена RF кабеля БС 1/2, RF кабеля РРЛ (с установкой креплений, заземлением, включая крепёжные элементы)</t>
  </si>
  <si>
    <t>м.п.</t>
  </si>
  <si>
    <t>6.18.</t>
  </si>
  <si>
    <t>1.4.</t>
  </si>
  <si>
    <t>Замена RF кабеля БС 7/8 (с установкой креплений, заземлением, включая крепёжные элементы)</t>
  </si>
  <si>
    <t>Замена антивандальной защиты (работы, с учетом стоимости расходных материалов, без учета стоимости металла)</t>
  </si>
  <si>
    <t>1.5.</t>
  </si>
  <si>
    <t>Замена RF кабеля GPS антенны</t>
  </si>
  <si>
    <t>тонна</t>
  </si>
  <si>
    <t>1.6.</t>
  </si>
  <si>
    <t>Диагностика, замена или ремонт RF разъёмов БС и RF разъёмов РРЛ N-type на АМС</t>
  </si>
  <si>
    <t>шт.</t>
  </si>
  <si>
    <t>1.7.</t>
  </si>
  <si>
    <t>Диагностика, замена или ремонт RF разъёмов БС и RF разъёмов РРЛ N-type в аппаратной</t>
  </si>
  <si>
    <t>1.8.</t>
  </si>
  <si>
    <t>Замена стеллажа для размещения одной группы АКБ (включая подключение к ИБП, не включая монтаж кабельной трассы между стеллажом и ИБП)</t>
  </si>
  <si>
    <t>Диагностика и замена outdoor джамперов 1/2"</t>
  </si>
  <si>
    <t>комплект</t>
  </si>
  <si>
    <t>1.9.</t>
  </si>
  <si>
    <t>Диагностика и замена indoor джамперов 1/2"</t>
  </si>
  <si>
    <t>1.10.</t>
  </si>
  <si>
    <t>Диагностика и замена кабеля управления RET</t>
  </si>
  <si>
    <t>1.11.</t>
  </si>
  <si>
    <t>Диагностика и замена устройств регулировки угла наклона (RET)</t>
  </si>
  <si>
    <t>Замена климатического шкафа для аккумуляторных батарей (включая: подключение к ИБП, подключение и настройку внешних аварий, не включая монтаж кабельной трассы между КШ АКБ и ИБП)</t>
  </si>
  <si>
    <t>1.12.</t>
  </si>
  <si>
    <t>Замена, подключение и юстировка антенн базовых станций (вкл. джамперы, заземления, грозоразрядники)</t>
  </si>
  <si>
    <t>1.13.</t>
  </si>
  <si>
    <t>Изменение механического угла наклона или азимута одной антенны</t>
  </si>
  <si>
    <t>1.14.</t>
  </si>
  <si>
    <t>Замена основания под размещение КШ АКБ на грунт</t>
  </si>
  <si>
    <t>Изменение электрических углов наклона на одной антенне вне зависимости от количества механизмов регулировки углов</t>
  </si>
  <si>
    <t>1.15.</t>
  </si>
  <si>
    <t>Замена антенны GPS</t>
  </si>
  <si>
    <t>1.16.</t>
  </si>
  <si>
    <t>Сверка АФУ с данными RDB с предоставлением фотоотчёта</t>
  </si>
  <si>
    <t>сектор</t>
  </si>
  <si>
    <t>1.17.</t>
  </si>
  <si>
    <t>Замена основания под размещение КШ АКБ на стену</t>
  </si>
  <si>
    <t>Приведение АФУ в соответствие RDB (коррекция азимута, механического и электрических углов наклона, фотоотчёт)</t>
  </si>
  <si>
    <t>1.18.</t>
  </si>
  <si>
    <t>Замена ОВ кабеля до 48 волокон по зданиям включая, но не ограничиваясь: пробивка/сверление/заделка отверстий, герметизация каналов (при необходимости), прокладка кабеля в существующих кабель-ростах, трубах, коробах, кабель-каналах и проч., крепление кабеля, установка защиты в опасных местах, измерение характеристик ОВ кабеля после монтажа (без учёта стоимости материалов)</t>
  </si>
  <si>
    <t>1.19.</t>
  </si>
  <si>
    <t>Сварка оптических волокон включая измерения характеристик волокон после сварки</t>
  </si>
  <si>
    <t>волокно</t>
  </si>
  <si>
    <t>Замена основания под размещение КШ АКБ на готовое основание</t>
  </si>
  <si>
    <t>1.20.</t>
  </si>
  <si>
    <t>Замена муфты оптической, включая сварку волокон (до 16 ОВ)</t>
  </si>
  <si>
    <t>1.21.</t>
  </si>
  <si>
    <t>Замена кросса оптического, включая варку волокон в разъёмы (до 16 ОВ)</t>
  </si>
  <si>
    <t>7. Помещения Объекта </t>
  </si>
  <si>
    <t>1.22.</t>
  </si>
  <si>
    <t>Замена аттенюатора (включая интеграцию и настройку)</t>
  </si>
  <si>
    <t>1.23.</t>
  </si>
  <si>
    <t>Измерение мощности оптического сигнала</t>
  </si>
  <si>
    <t>7.1.</t>
  </si>
  <si>
    <t xml:space="preserve">2. Оборудование Объекта </t>
  </si>
  <si>
    <t>Замена перегоревших ламп и неисправных светильников в помещениях базовых станций</t>
  </si>
  <si>
    <t>2.1.</t>
  </si>
  <si>
    <t>Диагностика и замена модуля передатчиков БС в аппаратной, включая монтаж всех крепёжных элементов и кабелей, переключение джемперов и созданием логических объектов на стороне БС</t>
  </si>
  <si>
    <t>2.2.</t>
  </si>
  <si>
    <t>Диагностика и замена модуля передатчиков БС на АМС, включая монтаж всех крепёжных элементов и кабелей, переключение джамперов и созданием логических объектов на стороне БС</t>
  </si>
  <si>
    <t>8. Работы в отношении охранно-пожарной сигнализации</t>
  </si>
  <si>
    <t>2.3.</t>
  </si>
  <si>
    <t>Диагностика и замена системного модуля БС в аппаратной или ниже 10м на Объекте (включая монтаж всех крепёжных элементов и кабелей и создание логических объектов на стороне БС)</t>
  </si>
  <si>
    <t>8.1.</t>
  </si>
  <si>
    <t>2.4.</t>
  </si>
  <si>
    <t>Диагностика и замена системного модуля БС на АМС (включая монтаж всех крепёжных элементов и кабелей, переключение джамперов и созданием логических объектов на стороне БС)</t>
  </si>
  <si>
    <t>Диагностика и замена ОПС (комплект, включая извещатели, кодовые панели, укладку кабелей, пуско-наладку и проверку прохождения сигналов в NOC)  (без учета стоимости материалов)</t>
  </si>
  <si>
    <t>2.5.</t>
  </si>
  <si>
    <t>Диагностика и замена модуля в корзине БС (TCU, FIQB, FTIF, FIQA, или аналогичного) или платы расширения системы (FBBA и аналогичного) в аппаратной или ниже 10 метров на Объекте, включая монтаж всех крепёжных элементов и кабелей. Создание логических объектов на стороне БС</t>
  </si>
  <si>
    <t>2.6.</t>
  </si>
  <si>
    <t>Диагностика и замена модуля в корзине БС (TCU, FIQB, FTIF, FIQA, или аналогичного) или платы расширения системы (FBBA и аналогичного) на АМС, выше 10 метров, включая монтаж всех крепёжных элементов и кабелей. Создание логических объектов на стороне БС</t>
  </si>
  <si>
    <t>8.2.</t>
  </si>
  <si>
    <t>2.7.</t>
  </si>
  <si>
    <t>Диагностика и замена корзины питания модулей DUW/DUS/TCU или аналогичных</t>
  </si>
  <si>
    <t>Замена аккумулятора для пожароохранной сигнализации в приёмо-контрольный прибор (без учета стоимости материалов)</t>
  </si>
  <si>
    <t>2.8.</t>
  </si>
  <si>
    <t>Диагностика и замена оптического модуля SFP в оборудование, смонтированное в аппаратной или ниже 10 метров</t>
  </si>
  <si>
    <t>2.9.</t>
  </si>
  <si>
    <t>Диагностика и замена оптического модуля SFP в оборудование, смонтированное на АМС, выше 10 метров</t>
  </si>
  <si>
    <t>8.3.</t>
  </si>
  <si>
    <t>2.10.</t>
  </si>
  <si>
    <t xml:space="preserve">Замена и подключение кабелей питания DC 48В между системой питания и оборудованием БС или трансмиссии в аппаратной </t>
  </si>
  <si>
    <t>Диагностика, замена прибора приемно-контрольного (включая кодовые панели, настройку и пуско-наладку) (без учета стоимости материалов)</t>
  </si>
  <si>
    <t>2.11.</t>
  </si>
  <si>
    <t>Диагностика, замена FAN-модуля (вентиляторов в EXDA, FXEA, FXEB или аналогичных модулях)</t>
  </si>
  <si>
    <t>2.12.</t>
  </si>
  <si>
    <t>Диагностика, замена соединительных кабелей на АМС (Power, заземление)</t>
  </si>
  <si>
    <t>8.4.</t>
  </si>
  <si>
    <t>2.13.</t>
  </si>
  <si>
    <t xml:space="preserve">Монтаж шлейфа сигнализации (кабель КСПВ) </t>
  </si>
  <si>
    <t>Диагностика, замена кабеля (оптического и UTP/FTP) между оборудованием в аппаратной и оборудованием на АМС</t>
  </si>
  <si>
    <t>2.14.</t>
  </si>
  <si>
    <t>Диагностика, замена аттенюатора, делителя, сумматора, комбайнера, антенн для indoor АФТ</t>
  </si>
  <si>
    <t>2.15.</t>
  </si>
  <si>
    <t>8.5.</t>
  </si>
  <si>
    <t>Замена кабеля питания DC (СИП 4*35, 4*50) по кабельному мосту, включая заземление, зажимы, наконечники, колпачки, ПВЗ (без учёта стоимости материала)</t>
  </si>
  <si>
    <t xml:space="preserve">Замена извещателя ОПС (дымового, инфракрасного, магнитоконтактного, без стоимости материалов) </t>
  </si>
  <si>
    <t>2.16.</t>
  </si>
  <si>
    <t>Замена ПВ З кабеля 1*25 / 1*35/ 1*10, включая крепления (трасса до 5 метров)</t>
  </si>
  <si>
    <t>2.17.</t>
  </si>
  <si>
    <t xml:space="preserve">Замена прокалывающего зажима </t>
  </si>
  <si>
    <t>9. Драйв-тесты (Работы по радиоизмерению качества и покрытия сети)***</t>
  </si>
  <si>
    <t>2.18.</t>
  </si>
  <si>
    <t xml:space="preserve">Ремонт, замена распределительной коробки электропитания на АМС </t>
  </si>
  <si>
    <t>2.19.</t>
  </si>
  <si>
    <t>Замена репитера для indoor БС</t>
  </si>
  <si>
    <t>9.1.</t>
  </si>
  <si>
    <t>2.20.</t>
  </si>
  <si>
    <t>Диагностика, замена температурного датчика, включая прокладку кабеля (без учёта материалов)</t>
  </si>
  <si>
    <t>Стоимость Работ по проведению Драйв-теста Indoor продолжительностью Работ до 5 часов на одном Объекте тестирования</t>
  </si>
  <si>
    <t>2.21.</t>
  </si>
  <si>
    <t>Объект тестирования</t>
  </si>
  <si>
    <t xml:space="preserve">Замена indoor 19" стойки (включая стоимость материалов, демонтажа/монтажа и смещения блоков, не включая стоимость стойки 19") </t>
  </si>
  <si>
    <t>2.22.</t>
  </si>
  <si>
    <t>Установка температурных режимов на оборудовании Объекта</t>
  </si>
  <si>
    <t>Объект</t>
  </si>
  <si>
    <t>9.2.</t>
  </si>
  <si>
    <t>2.23.</t>
  </si>
  <si>
    <t>Работы по монтажу системы мониторинга оборудования связи в климатическом шкафу</t>
  </si>
  <si>
    <t>Стоимость Работ по проведению Драйв-теста Indoor, свыше  5 часов на одном Объекте тестирования. Ставка применяется по истечению 5 (пятого) часа выполнения Работ</t>
  </si>
  <si>
    <t>2.24.</t>
  </si>
  <si>
    <t>час</t>
  </si>
  <si>
    <t>Диагностика, расшивка внешних аварий на одном Объекте (питание Power, отсутствие фазы rectifier, низкая температура, высокая температура, датчик двери, пожар) включая монтаж кабеля Alarm</t>
  </si>
  <si>
    <t>2.25.</t>
  </si>
  <si>
    <t>9.3.</t>
  </si>
  <si>
    <t>Установка или замена программного обеспечения (софт или конфигурационный файл) без замены блоков на одной единице оборудования</t>
  </si>
  <si>
    <t>Стоимость Работ по проведению Драйв-теста Outdoor, независимо от времени выполнения Работ</t>
  </si>
  <si>
    <t>2.26.</t>
  </si>
  <si>
    <t>Чистка оптических коннекторов, портов, типа SC, FC, LC (методом сухой, влажной чистки при помощи чистящей ручки, салфетки со спиртом)</t>
  </si>
  <si>
    <t>км</t>
  </si>
  <si>
    <t>2.27.</t>
  </si>
  <si>
    <t>Чистка от загрязнения вентиляторов выпрямителей, внутренних модулей БС, трансмиссии</t>
  </si>
  <si>
    <t>модуль</t>
  </si>
  <si>
    <t>3. Работы в отношении антенно - фидерного устройства радиорелейной линии (РРЛ)</t>
  </si>
  <si>
    <t>10. Иные Работы </t>
  </si>
  <si>
    <t>3.1.</t>
  </si>
  <si>
    <t>Замена антенны РРЛ 0,3 м (в комплекте с радиомодулем), заземление</t>
  </si>
  <si>
    <t>3.2.</t>
  </si>
  <si>
    <t>10.1.</t>
  </si>
  <si>
    <t>Замена антенны РРЛ 0,6 (0,9) м (в комплекте с радиомодулем), заземление</t>
  </si>
  <si>
    <t>Покос травы, вырубка поросли, обработка реагентами, уборка на территории размещения Объекта</t>
  </si>
  <si>
    <t>3.3.</t>
  </si>
  <si>
    <t>Замена антенны РРЛ 1,2 – 1,8 м (в комплекте с радиомодулем), заземление</t>
  </si>
  <si>
    <t>м.кв.</t>
  </si>
  <si>
    <t>3.4.</t>
  </si>
  <si>
    <t>Юстировка РРЛ пролёта (диам. от 0,3 до 0,9м)</t>
  </si>
  <si>
    <t> пролёт</t>
  </si>
  <si>
    <t>10.2.</t>
  </si>
  <si>
    <t>3.5.</t>
  </si>
  <si>
    <t>Юстировка РРЛ пролёта (диам. от 1м до 1,8)</t>
  </si>
  <si>
    <t>3.6.</t>
  </si>
  <si>
    <t>Оказание содействия при проведении государственного контроля (надзора), муниципального контроля организации и проведения проверок на территории размещения Объектов органами, уполномоченными на осуществление государственного контроля (надзора), муниципального контроля, либо оперативных - розыскных мероприятий уполномоченными органами по факту хищения оборудования Объектов</t>
  </si>
  <si>
    <t>Юстировка РРЛ полупролета (диам. от 0,3 до 0,9м)</t>
  </si>
  <si>
    <t> полупролёт</t>
  </si>
  <si>
    <t>3.7.</t>
  </si>
  <si>
    <t>Юстировка РРЛ полупролета (диам. от 1м до 1,8)</t>
  </si>
  <si>
    <t>3.8.</t>
  </si>
  <si>
    <t>10.3.</t>
  </si>
  <si>
    <t>Диагностика, замена, ремонт заземления РРЛ-фидера (Комплект на один фидер)</t>
  </si>
  <si>
    <t> комплект</t>
  </si>
  <si>
    <t>3.9.</t>
  </si>
  <si>
    <t>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</t>
  </si>
  <si>
    <t>Восстановление крепления кабелей РРЛ, оптических кабелей, цифровых кабелей (1xAlarm, 1xLMP, 4xE1, 2xEthernet), кабелей питания DC (СИП 4*35, 4*50, ВБбШв2*25) по кабельному мосту, АМС включая зажимы, стяжки</t>
  </si>
  <si>
    <t> м.п.</t>
  </si>
  <si>
    <t>3.10.</t>
  </si>
  <si>
    <t>Герметизация соединения оптического кабеля (между системным блоком и радиоблоком) включая материал лента VM, лента 88Т</t>
  </si>
  <si>
    <t>3.11.</t>
  </si>
  <si>
    <t>10.4.</t>
  </si>
  <si>
    <t>Диагностика АФУ РРЛ (проверка/ремонт разъёмов, осмотр Ground Kit`ов, соединительных джамперов, КСВ фидерной трассы, поиск неисправности средствами диагностики РРЛ)</t>
  </si>
  <si>
    <t> линия</t>
  </si>
  <si>
    <t>Работы по осмотру и проверке работоспособности нового Объекта. Оплата Работ по Драйв-тесту, выполняемых в ходе осмотра и проверки работоспособности нового Объекта, осуществляется отдельно в соответствии с условиями пункта 9 настоящего Приложения №10.3</t>
  </si>
  <si>
    <t>3.12.</t>
  </si>
  <si>
    <t>Замена радио-блока (ODU) РРЛ с настройкой параметров магазина и внутренних блоков РРС одного полукомплекта РРС включая герметизацию RF разъёма</t>
  </si>
  <si>
    <t>4. Работы в отношении оборудования радиорелейной линии, трансмиссионного оборудования</t>
  </si>
  <si>
    <t>4.1.</t>
  </si>
  <si>
    <t>Диагностика, замена, настройка и интеграция трансмиссионного оборудования (полукомлект РРЛ, MUX, модем, MBH, CWDM, оптический медиаконвертер (преобразователь FOL-ETH))</t>
  </si>
  <si>
    <t>10.5.</t>
  </si>
  <si>
    <t>4.2.</t>
  </si>
  <si>
    <t>Обследование с целью определения схем монтажа комплекта радиоретранслятора, small-cell, пико-соты и т.д.</t>
  </si>
  <si>
    <t>Замена корзины РРЛ, внутренних блоков РРЛ, узла доступа, узла агрегации, включая перенос блоков, монтаж всех крепежных элементов, кабелей и интеграцию</t>
  </si>
  <si>
    <t>4.3.</t>
  </si>
  <si>
    <t>Настройка параметров трансмиссионного оборудования (полукомлект РРЛ, MUX, модем, MBH)</t>
  </si>
  <si>
    <t xml:space="preserve">шт. </t>
  </si>
  <si>
    <t>4.4.</t>
  </si>
  <si>
    <t>10.6.</t>
  </si>
  <si>
    <t>Замена indoor плат на трансмиссионном оборудовании (включая интеграцию)</t>
  </si>
  <si>
    <t>Организация минерализованной полосы шириной до 1,5 м.</t>
  </si>
  <si>
    <t>4.5.</t>
  </si>
  <si>
    <t>Замена оптического или медного патч-корда</t>
  </si>
  <si>
    <t>4.6.</t>
  </si>
  <si>
    <t>Кроссировка, маршрутизация и проверка потоков (независимо от кол-ва потоков)</t>
  </si>
  <si>
    <t>10.7.</t>
  </si>
  <si>
    <t xml:space="preserve">5. Работы в отношении энергопринимающего устройства </t>
  </si>
  <si>
    <t>5.1.</t>
  </si>
  <si>
    <t>Маркировка РЭС в соответствии с требованиями законодательства РФ (расклейка маркировочных табличек)</t>
  </si>
  <si>
    <t>Диагностика и замена управляющего блока стойки питания (включая подключение и конфигурацию)</t>
  </si>
  <si>
    <t>5.2.</t>
  </si>
  <si>
    <t>Диагностика и замена выпрямительного модуля (включая подключение и конфигурацию)</t>
  </si>
  <si>
    <t>5.3.</t>
  </si>
  <si>
    <t>11. Материалы </t>
  </si>
  <si>
    <t>Осмотр и тестирование аккумуляторов источников бесперебойного питания (ИБП) по упрощенной методике (разряд на штатную нагрузку ИБП до 2 (двух) часов с измерением их параметров)</t>
  </si>
  <si>
    <t>ИБП</t>
  </si>
  <si>
    <t>5.4.</t>
  </si>
  <si>
    <t>Замена одной аккумуляторной батареи в группе</t>
  </si>
  <si>
    <t>11.1.</t>
  </si>
  <si>
    <t>5.5.</t>
  </si>
  <si>
    <t>Замена группы аккумуляторных батарей</t>
  </si>
  <si>
    <t>Кабель питания DC (СИП 4*35)</t>
  </si>
  <si>
    <t>5.6.</t>
  </si>
  <si>
    <t xml:space="preserve">Замена, ремонт кабеля соединения с заземляющим устройством ГЗШ </t>
  </si>
  <si>
    <t xml:space="preserve">м.п. </t>
  </si>
  <si>
    <t>5.7.</t>
  </si>
  <si>
    <t xml:space="preserve">Замена, ремонт вводного кабеля, кабелей электропитания оборудования </t>
  </si>
  <si>
    <t>11.2.</t>
  </si>
  <si>
    <t>5.8.</t>
  </si>
  <si>
    <t>Кабель питания DC (СИП 4*50)</t>
  </si>
  <si>
    <t>Замена, ремонт распределительного щита (outdoor, indoor)</t>
  </si>
  <si>
    <t>5.9.</t>
  </si>
  <si>
    <t>Диагностика и замена контактора/пускателя в щите автоматического включения резерва (АВР) (без учета стоимости контактора/пускателя)</t>
  </si>
  <si>
    <t>5.10.</t>
  </si>
  <si>
    <t>Диагностика и замена АСКУЭ</t>
  </si>
  <si>
    <t>11.3.</t>
  </si>
  <si>
    <t>5.11.</t>
  </si>
  <si>
    <t>Кабель ПВ3 1*25мм2</t>
  </si>
  <si>
    <t xml:space="preserve">Замена электросчетчика </t>
  </si>
  <si>
    <t>5.12.</t>
  </si>
  <si>
    <t>Замена автоматического выключателя (АВВ или аналог) или элемента устройства защиты от импульсных перенапряжений (УЗИП) или плавкой вставки или устройства защитного отключения (УЗО) или перемещение фазы подключения (без учета стоимости материалов)</t>
  </si>
  <si>
    <t>5.13.</t>
  </si>
  <si>
    <t>11.4.</t>
  </si>
  <si>
    <t xml:space="preserve">Замена вводного автоматического выключателя, рубильника </t>
  </si>
  <si>
    <t>Кабель ПВ3 1*16мм2</t>
  </si>
  <si>
    <t>5.14.</t>
  </si>
  <si>
    <t>Снятие показаний электросчётчика</t>
  </si>
  <si>
    <t>5.15.</t>
  </si>
  <si>
    <t>Замена стойки питания БС (Eltek, Huawei, PowerOne, Энергомера, Интеркросс или любые аналоги)  - включая: заземление, подключение к сети 220VAC, подключение нагрузки к 48VDC и специальных кабелей, настройку ИБП. - не включая: замену АКБ (осмечивается отдельным пунктом прайса)</t>
  </si>
  <si>
    <t>11.5.</t>
  </si>
  <si>
    <t>5.16.</t>
  </si>
  <si>
    <t>Замена ИБП (в составе стойки энергопитания или климатическом шкафу)</t>
  </si>
  <si>
    <t>Кабель ПВ3 1*10мм2</t>
  </si>
  <si>
    <t>5.17.</t>
  </si>
  <si>
    <t>Настройка, прописка ИБП, включая подключение и тестирование внешних аварий</t>
  </si>
  <si>
    <t>5.18.</t>
  </si>
  <si>
    <t>Замена или ремонт узла отключения неприоритетной нагрузки</t>
  </si>
  <si>
    <t>11.6.</t>
  </si>
  <si>
    <t>5.19.</t>
  </si>
  <si>
    <t>Антивандальная защита (без учета стоимости расходных материалов, с учетом стоимости металла)</t>
  </si>
  <si>
    <t>Замена магазина автоматических выключателей 48VDC (DCDU, PDU)</t>
  </si>
  <si>
    <t>6. Общестроительные работы</t>
  </si>
  <si>
    <t>6.1.</t>
  </si>
  <si>
    <t>Замена розетки, выключателя (с учётом стоимости материалов)</t>
  </si>
  <si>
    <t>1. Техническое обслуживание</t>
  </si>
  <si>
    <t>6.2.</t>
  </si>
  <si>
    <t>Ремонт, замена, внутреннего кабель-роста (демонтаж-монтаж кабель-роста и перекладка существующего кабеля)</t>
  </si>
  <si>
    <t>6.3.</t>
  </si>
  <si>
    <t>Ремонт, перемещение и замена наружного кабель-роста (демонтаж-монтаж кабель-роста и перекладка существующего кабеля)</t>
  </si>
  <si>
    <t>1.1.</t>
  </si>
  <si>
    <t>6.4.</t>
  </si>
  <si>
    <t>Техническое обслуживание БС</t>
  </si>
  <si>
    <t>Устранение протечек (изготовление/восстановление кровли контейнера, с учетом стоимости материалов)</t>
  </si>
  <si>
    <t>шт</t>
  </si>
  <si>
    <t>6.5.</t>
  </si>
  <si>
    <t>Изготовление ключа (с учетом стоимости материалов)</t>
  </si>
  <si>
    <t>6.6.</t>
  </si>
  <si>
    <t>3. Аварийно-восстановительные работы </t>
  </si>
  <si>
    <t>Устранение нарушений конструкций обеспечивающих безопасность объектов (антивандальные ограждение и т.п., без учета стоимости материалов)</t>
  </si>
  <si>
    <t>6.7.</t>
  </si>
  <si>
    <t>Ремонт и замена несущих антенных конструкций, трубостойки</t>
  </si>
  <si>
    <t>3.1. Аварийно-восстановительные работы до 5 часов:</t>
  </si>
  <si>
    <t>6.8.</t>
  </si>
  <si>
    <t>Изготовление несущих антенных конструкций, трубостойки</t>
  </si>
  <si>
    <t>6.9.</t>
  </si>
  <si>
    <t>Ремонт и замена двери (демонтаж-монтаж с расходным материалом без стоимости двери)</t>
  </si>
  <si>
    <t>- включают любые виды работ, необходимые для устранения аварийной ситуации указанной Заказчиком;</t>
  </si>
  <si>
    <t>6.10.</t>
  </si>
  <si>
    <t>Ремонт стен, потолка, пола, включая покраску</t>
  </si>
  <si>
    <t>6.11.</t>
  </si>
  <si>
    <t>- не включают работы по обеспечению временного энергоснабжения Объекта с помощью автономной генераторной установки.</t>
  </si>
  <si>
    <t>Покраска металлоконструкций</t>
  </si>
  <si>
    <t>6.12.</t>
  </si>
  <si>
    <t xml:space="preserve">Ремонт антистатического линолеума </t>
  </si>
  <si>
    <t>3.1.1.</t>
  </si>
  <si>
    <t>6.13.</t>
  </si>
  <si>
    <t>Вскрытие либо замена замка двери контейнера БС и климат. шкафа, калитки ограждения, люка АМС</t>
  </si>
  <si>
    <r>
      <t xml:space="preserve">Стоимость аварийно-восстановительных работ, заявка по которым получена в течение </t>
    </r>
    <r>
      <rPr>
        <b/>
        <sz val="10"/>
        <color rgb="FF000000"/>
        <rFont val="Arial"/>
        <family val="2"/>
        <charset val="204"/>
      </rPr>
      <t>рабочего времени</t>
    </r>
  </si>
  <si>
    <t>6.14.</t>
  </si>
  <si>
    <t>Восстановление герметизации контейнера (дверь, фидерный ввод, вентиляция) (с учетом стоимости материалов)</t>
  </si>
  <si>
    <t>выезд</t>
  </si>
  <si>
    <t>6.15.</t>
  </si>
  <si>
    <t>Ремонт неисправного светильника СОМ (плафон/патрон/лампа), в том числе на АМС (без учёта стоимости материалов)</t>
  </si>
  <si>
    <t>6.16.</t>
  </si>
  <si>
    <t>Перенос существующей трубостойки на 1 сайте (без учета демонтажа/монтажа навешенного оборудования)</t>
  </si>
  <si>
    <t>3.1.2.</t>
  </si>
  <si>
    <t>6.17.</t>
  </si>
  <si>
    <t>Стоимость аварийно-восстановительных работ, заявка по которым получена во внерабочее время</t>
  </si>
  <si>
    <t>Перенос существующей пригруженной трубостойки на 1 сайте (без учета демонтажа/монтажа навешенного оборудования)</t>
  </si>
  <si>
    <t>Стоимость аренды специальной техники - автовышка до 28 метров, автокран и прочее</t>
  </si>
  <si>
    <t>Стоимость аренды специальной техники - автовышка свыше 28 метров</t>
  </si>
  <si>
    <t>3.2. Аварийно-восстановительные работы свыше 5 часов:</t>
  </si>
  <si>
    <t>Стоимость аренды специальной техники - автовышка повышенной проходимости до 28 метров</t>
  </si>
  <si>
    <t>Стоимость аренды специальной техники - автовышка повышенной проходимости свыше 28 метров</t>
  </si>
  <si>
    <t>Стоимость проведения инвентаризации Объекта.</t>
  </si>
  <si>
    <t>Фиксированная ставка на компенсацию длительного (более 24-х часов) пребывания в населенных пунктах с Объектами, требующими для проезда к ним авиа, железнодорожный и прочий спецтранспорт, соответствующим образом отмеченными в Приложении №11 к Договору (применяется единоразово для всех участников длительного пребывания)</t>
  </si>
  <si>
    <t>сутки (24 часа)</t>
  </si>
  <si>
    <t>5. Работы в отношении мобильной базовой станции</t>
  </si>
  <si>
    <t>Стоимость Работ по развёртыванию и свёртыванию Мобильной базовой станции без замены оборудования, входящего в состав Мобильной базовой станции</t>
  </si>
  <si>
    <t>Ставка применяется по истечению 5 часа выполнения Аварийно-восстановительных работ.</t>
  </si>
  <si>
    <t>Один Объект</t>
  </si>
  <si>
    <t>Стоимость Работ по замене оборудования базовой станции одного производителя на оборудование другого, входящего в состав Мобильной базовой станции</t>
  </si>
  <si>
    <t>3.2.1.</t>
  </si>
  <si>
    <t>Стоимость Работ по сопровождению функционирования Мобильной базовой станции, включая организацию и обеспечение бесперебойного временного электроснабжения, охрану и контроль состояния Мобильной базовой станции. Стоимость работ включает расходы на приобретение топлива для работы автономной генераторной установки.</t>
  </si>
  <si>
    <t>Стоимость аварийно-восстановительных работ, заявка по которым получена в течение рабочего времени</t>
  </si>
  <si>
    <t>Стоимость работ определяется п.3.3. Приложения №10</t>
  </si>
  <si>
    <t>6. Ставка компенсации транспортных расходов при работах в отношении мобильной базовой станции</t>
  </si>
  <si>
    <r>
      <t xml:space="preserve">Компенсация расходов </t>
    </r>
    <r>
      <rPr>
        <sz val="10"/>
        <color theme="1"/>
        <rFont val="Arial"/>
        <family val="2"/>
        <charset val="204"/>
      </rPr>
      <t>на проезд от местонахождения Подрядчика к местонахождению Мобильной базовой станции</t>
    </r>
    <r>
      <rPr>
        <sz val="10"/>
        <color rgb="FF000000"/>
        <rFont val="Arial"/>
        <family val="2"/>
        <charset val="204"/>
      </rPr>
      <t xml:space="preserve">, на транспортировку Мобильной базовой станции к месту установки, указанному в Заказе на выполнение работ, и обратно, </t>
    </r>
    <r>
      <rPr>
        <sz val="10"/>
        <color theme="1"/>
        <rFont val="Arial"/>
        <family val="2"/>
        <charset val="204"/>
      </rPr>
      <t>а также на проезд до позиции монтажа/юстировки/демонтажа ответной части транспортного канала и обратно.</t>
    </r>
  </si>
  <si>
    <t>Стоимость работ определяется п.1.1 Приложения №10.1</t>
  </si>
  <si>
    <t>3.2.2.</t>
  </si>
  <si>
    <t xml:space="preserve">Ставки для компенсации Транспортных расходов: </t>
  </si>
  <si>
    <t>1.1</t>
  </si>
  <si>
    <t>Стоимость Аварийно-восстановительных работ, заявка по которым получена во внерабочее время</t>
  </si>
  <si>
    <t>Стоимость Километро - вызова до Объекта*</t>
  </si>
  <si>
    <t>Стоимость Километро - вызова до Объекта транспортом грузоподъёмностью от 3,5 тонн**</t>
  </si>
  <si>
    <t>Компенсация расходов на проезд к Объектам, находящимся в труднодоступной местности (с отметкой об этом в Перечне Объектов к Договору) ***.</t>
  </si>
  <si>
    <t>вызов</t>
  </si>
  <si>
    <t>3.3. Аварийно-восстановительные работы исключительно по обеспечению временного энергоснабжения Объекта с помощью автономной генераторной установки (Стоимость работ включает расходы на приобретение топлива для работы автономной генераторной установки).</t>
  </si>
  <si>
    <t xml:space="preserve">Компенсация прямых расходов на оплату авиа-, железнодорожного и прочего транспорта, использованного представителями Подрядчика для проезда к Объектам ***. </t>
  </si>
  <si>
    <t>3.4. Оплата вызова Подрядчика на Аварийно-восстановительные работы, в случае отмены Заказчиком заявки на их выполнение</t>
  </si>
  <si>
    <t>3.3.1.</t>
  </si>
  <si>
    <t>3.4.1.</t>
  </si>
  <si>
    <t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t>
  </si>
  <si>
    <t>Стоимость отменённого вызова на Аварийно-восстановительные работы, заявка по которым получена в рабочее время</t>
  </si>
  <si>
    <t>3.4.2.</t>
  </si>
  <si>
    <t>Стоимость отменённого вызова на Аварийно-восстановительные работы, заявка по которым получена во внерабочее время</t>
  </si>
  <si>
    <t>4. Иное</t>
  </si>
  <si>
    <t>3.3.2.</t>
  </si>
  <si>
    <t>3.3.3.</t>
  </si>
  <si>
    <t>Стоимость Аварийно-восстановительных работ по обеспечению временного электроснабжения продолжительностью 24 часа. (Ставка применяется с 1 по 72 час выполнения Работ, для оплаты каждых полных суток (24 часа) выполнения Работ)</t>
  </si>
  <si>
    <t>Стоимость Аварийно-восстановительных работ по обеспечению временного электроснабжения продолжительностью более 72 часов. (Ставка применяется по истечению 72 часа выполнения Работ, для оплаты каждых полных суток (24 часа) выполнения Работ)</t>
  </si>
  <si>
    <t>Сутки (24 часа)</t>
  </si>
  <si>
    <t>№ пп</t>
  </si>
  <si>
    <t>№ Объекта (БС)</t>
  </si>
  <si>
    <t>Тип Объекта *</t>
  </si>
  <si>
    <t>Адрес БС (ДС от 15.08.2023)</t>
  </si>
  <si>
    <t>Срок реагирования, в часах</t>
  </si>
  <si>
    <t>Объект
находится в труднодоступной местности
(ДА / НЕТ)</t>
  </si>
  <si>
    <t>Требуется авиа-/жд транспорт или иное
(ДА / НЕТ, УКАЗАТЬ ВИД)</t>
  </si>
  <si>
    <t>Возможность компенсации длительного пребывания (ДА / НЕТ)</t>
  </si>
  <si>
    <t>Место нахождения комплекта ключей</t>
  </si>
  <si>
    <t>Расстояние до Объекта, км</t>
  </si>
  <si>
    <t>Осн./Доп.</t>
  </si>
  <si>
    <t>GPS-широта</t>
  </si>
  <si>
    <t>GPS-долгота</t>
  </si>
  <si>
    <t>RO0305</t>
  </si>
  <si>
    <t>22:собст. АМС выше 10 м на крыше</t>
  </si>
  <si>
    <t>Егорлыкский район, станица Егорлыкская, улица Чапаева, 144</t>
  </si>
  <si>
    <t>нет</t>
  </si>
  <si>
    <t xml:space="preserve">Сальск </t>
  </si>
  <si>
    <t>осн.</t>
  </si>
  <si>
    <t>RO0306</t>
  </si>
  <si>
    <t>21:собст. АМС до 10 м на крыше</t>
  </si>
  <si>
    <t>Целинский район, поселок Целина, 1-я линия, №1</t>
  </si>
  <si>
    <t>RO0901</t>
  </si>
  <si>
    <t>52:индорсайт</t>
  </si>
  <si>
    <t>г. Ростов-на-Дону, проспект 40-летия Победы, 340</t>
  </si>
  <si>
    <t>RO0307</t>
  </si>
  <si>
    <t>Сальский район, г. Сальск, улица Промышленная, 1</t>
  </si>
  <si>
    <t>Ростов</t>
  </si>
  <si>
    <t>RO0308</t>
  </si>
  <si>
    <t>32:трубостойки/АМС на: трубе, элеваторе, водонап.башне</t>
  </si>
  <si>
    <t>Район Сальский, Город Сальск, Улица Николая Островского 6-е</t>
  </si>
  <si>
    <t>доп.</t>
  </si>
  <si>
    <t>RO0309</t>
  </si>
  <si>
    <t>31:трубостойки на чужой АМС на земле/крыше</t>
  </si>
  <si>
    <t>Сальский район, поселок Конезавод им. Буденного, улица Сальская, 53</t>
  </si>
  <si>
    <t>RO0902</t>
  </si>
  <si>
    <t>50:транспортная точка без АМС и без оборудования БС</t>
  </si>
  <si>
    <t>г. Ростов-на-Дону, улица Пойменная, 1</t>
  </si>
  <si>
    <t>RO0310</t>
  </si>
  <si>
    <t>Пролетарский район, г. Пролетарск, улица Чкалова, 12</t>
  </si>
  <si>
    <t>RO0311</t>
  </si>
  <si>
    <t>Сальский район, поселок Гигант, улица Автодорожная, 66</t>
  </si>
  <si>
    <t>RO0312</t>
  </si>
  <si>
    <t>Сальский район, село Новый Егорлык, улица Советская, 17А</t>
  </si>
  <si>
    <t>RO0904</t>
  </si>
  <si>
    <t>г. Ростов-на-Дону, проспект Космонавтов, 21. (свечка, ЗАГС)</t>
  </si>
  <si>
    <t>RO0313</t>
  </si>
  <si>
    <t>Орловский район, поселок Орловский, улица Ленина, 252</t>
  </si>
  <si>
    <t>RO0317</t>
  </si>
  <si>
    <t>13:собст. железобетонный столб с заглубленным фундаментом</t>
  </si>
  <si>
    <t>Сальский район, г. Сальск, улица Павлова, 2</t>
  </si>
  <si>
    <t>RO0318</t>
  </si>
  <si>
    <t>RO0909</t>
  </si>
  <si>
    <t>Сальский район, г. Сальск, улица Юннатов, 3/2</t>
  </si>
  <si>
    <t>Ростовская Область, Ростов-на-Дону Город, ул.Орская 25</t>
  </si>
  <si>
    <t>RO0319</t>
  </si>
  <si>
    <t>Пролетарский район, г. Пролетарск, улица 50 лет Октября, 24</t>
  </si>
  <si>
    <t>RO0321</t>
  </si>
  <si>
    <t>Сальский район, г. Сальск, улица Свободы, 302А/2</t>
  </si>
  <si>
    <t>RO0912</t>
  </si>
  <si>
    <t>RO0322</t>
  </si>
  <si>
    <t>Сальский район, посело Гигант, улица Красная, 13А</t>
  </si>
  <si>
    <t>г. Ростов-на-Дону, ул. Золотистая 118</t>
  </si>
  <si>
    <t>RO0323</t>
  </si>
  <si>
    <t>Егорлыкский район, станица Егорлыкская, улица Ворошилова, 69А</t>
  </si>
  <si>
    <t>RO0324</t>
  </si>
  <si>
    <t>Целинский район, поселок Целина, улица Калинина, 18</t>
  </si>
  <si>
    <t>RO0913</t>
  </si>
  <si>
    <t>33:трубостойки, АМС инфраструктурного оператора</t>
  </si>
  <si>
    <t>RO0327</t>
  </si>
  <si>
    <t>Пролетарский р-н, г Пролетарск, ул Московская, д. 6.</t>
  </si>
  <si>
    <t>Область Ростовская, Район Азовский, Село Кагальник, Улица Сторожакова\ул. Сторожкова, 46, вышка НБК</t>
  </si>
  <si>
    <t>RO0331</t>
  </si>
  <si>
    <t>15:собст. башня с заглубленным фундаментом до 61м</t>
  </si>
  <si>
    <t>Егорлыкский район, хутор Изобильный, улица Ростовская, 14А</t>
  </si>
  <si>
    <t>RO0332</t>
  </si>
  <si>
    <t>Песчанокопский район, село Жуковское, улица К.Маркса, 134А</t>
  </si>
  <si>
    <t>RO0914</t>
  </si>
  <si>
    <t>г. Азов, Черноморский пер. 75а</t>
  </si>
  <si>
    <t>RO0334</t>
  </si>
  <si>
    <t>Егорлыкский район, хутор Шаумяновский, улица Шаумяна, 21</t>
  </si>
  <si>
    <t>RO0336</t>
  </si>
  <si>
    <t>Песчанокопский район, село Песчанокопское, улица Энгельса, 222а</t>
  </si>
  <si>
    <t>RO0337</t>
  </si>
  <si>
    <t>Песчанокопский район, село Развильное, улица Шоссейная, 1</t>
  </si>
  <si>
    <t>RO0940</t>
  </si>
  <si>
    <t xml:space="preserve"> г Новочеркасск, ул Энгельса, д. 65 (9).</t>
  </si>
  <si>
    <t>RO0339</t>
  </si>
  <si>
    <t>Целинский район, село Средний Егорлык, улица Молодежная</t>
  </si>
  <si>
    <t>RO0342</t>
  </si>
  <si>
    <t>Сальский район, г. Сальск, улица Октябрьская, 5</t>
  </si>
  <si>
    <t>RO0343</t>
  </si>
  <si>
    <t>RO0942</t>
  </si>
  <si>
    <t>Сальский район, г. Сальск, улица Смирнова, 43</t>
  </si>
  <si>
    <t>Область Ростовская, Район Аксайский, Город Аксай, Улица Объездная, Дом 3</t>
  </si>
  <si>
    <t>RO0344</t>
  </si>
  <si>
    <t>Пролетарский район, г. Пролетарск, проспект Мира, 7/1</t>
  </si>
  <si>
    <t>RO0345</t>
  </si>
  <si>
    <t>Пролетарский район, г. Пролетарск, Промышленное шоссе, 39А</t>
  </si>
  <si>
    <t>RO0943</t>
  </si>
  <si>
    <t>RO0347</t>
  </si>
  <si>
    <t>Орловский район, поселок Красноармейский</t>
  </si>
  <si>
    <t>Область Ростовская, Район Аксайский, Город Аксай, Улица Речников</t>
  </si>
  <si>
    <t>RO0351</t>
  </si>
  <si>
    <t>Песчанокопский район, село Красная Поляна, улица Северная, 78а</t>
  </si>
  <si>
    <t>RO0352</t>
  </si>
  <si>
    <t>Сальский район, село Сандата, переулок Путилина, 2</t>
  </si>
  <si>
    <t>RO0954</t>
  </si>
  <si>
    <t>RO0353</t>
  </si>
  <si>
    <t>Сальский район, село Екатериновка, улица Мира 28</t>
  </si>
  <si>
    <t>Ростов-на-Дону Город, Большая Садовая Улица, дом 121</t>
  </si>
  <si>
    <t>RO0358</t>
  </si>
  <si>
    <t>Егорлыкский район, станица Новороговская, улица 1-я Ревкомовская 41 а</t>
  </si>
  <si>
    <t>RO0359</t>
  </si>
  <si>
    <t>Пролетарский район, станица Буденновская, улица Комсомольская, 67</t>
  </si>
  <si>
    <t>RO0985</t>
  </si>
  <si>
    <t>RO0365</t>
  </si>
  <si>
    <t>Область Ростовская, Район Багаевский, Станица Багаевская, Улица Семашко, Дом 46Б</t>
  </si>
  <si>
    <t xml:space="preserve">Пролетарский район, х. Сухой, ул. Советская 6 </t>
  </si>
  <si>
    <t>RO0366</t>
  </si>
  <si>
    <t>Сальский район, п. Юловский, ул. Западная, 27А</t>
  </si>
  <si>
    <t>RO0368</t>
  </si>
  <si>
    <t>Песчанокопский район, село Летник, улица Пушкина, 1а</t>
  </si>
  <si>
    <t>RO0993</t>
  </si>
  <si>
    <t>30:трубостойки на АМС БК Пилар</t>
  </si>
  <si>
    <t>Аксайский район, п.Щепкин, Улица 50 лет Октября</t>
  </si>
  <si>
    <t>RO0369</t>
  </si>
  <si>
    <t>Целинский район,  поселок Вороново</t>
  </si>
  <si>
    <t>RO1008</t>
  </si>
  <si>
    <t>г. Ростов-на-Дону, проспект Театральный, 60</t>
  </si>
  <si>
    <t>RO1009</t>
  </si>
  <si>
    <t>Область Ростовская, Город Шахты, Улица Текстильная\55а</t>
  </si>
  <si>
    <t>RO0373</t>
  </si>
  <si>
    <t>Орловский район, поселок Орловский , переулок Кировский, 2</t>
  </si>
  <si>
    <t>RO1010</t>
  </si>
  <si>
    <t>г. Ростов-на-Дону, улица Социалистическая 110</t>
  </si>
  <si>
    <t>RO1011</t>
  </si>
  <si>
    <t>г. Ростов-на-Дону, улица Тургеневская 10</t>
  </si>
  <si>
    <t>RO1012</t>
  </si>
  <si>
    <t>г. Ростов-на-Дону просп. Ставского 1/5</t>
  </si>
  <si>
    <t>RO0384</t>
  </si>
  <si>
    <t>Орловский район, хутор Островянский</t>
  </si>
  <si>
    <t>RO1013</t>
  </si>
  <si>
    <t>г. Ростов-на-Дону, улица Щеболдаева 20</t>
  </si>
  <si>
    <t>RO1018</t>
  </si>
  <si>
    <t xml:space="preserve">Область Ростовская, Город Ростов-на-Дону, Переулок Днепровский  119  </t>
  </si>
  <si>
    <t>RO1023</t>
  </si>
  <si>
    <t>г. Ростов-на-Дону, проспект Шолохова 264</t>
  </si>
  <si>
    <t>RO0386</t>
  </si>
  <si>
    <t>Пролетарский Район, Вербный Поселок, Угловой Переулок, дом 1\Б</t>
  </si>
  <si>
    <t>RO1024</t>
  </si>
  <si>
    <t>г. Ростов-на-Дону , 1-я Пролетарская Улица, 95/54</t>
  </si>
  <si>
    <t>RO1025</t>
  </si>
  <si>
    <t>г. Ростов-на-Дону, Трудовой пер., 32</t>
  </si>
  <si>
    <t>RO1030</t>
  </si>
  <si>
    <t>г. Ростов-на-Дону, улица Туполева 11</t>
  </si>
  <si>
    <t>RO0389</t>
  </si>
  <si>
    <t>Сальский район, село Ивановка</t>
  </si>
  <si>
    <t>RO1040</t>
  </si>
  <si>
    <t>г. Аксай, улица Западная 33</t>
  </si>
  <si>
    <t>RO1044</t>
  </si>
  <si>
    <t>Область Ростовская, Город Ростов-на-Дону, Проспект Чехова, Дом 29а</t>
  </si>
  <si>
    <t>RO1046</t>
  </si>
  <si>
    <t>Ростов-на-Дону Город, Вересаева Улица, дом 103/1</t>
  </si>
  <si>
    <t>RO0394</t>
  </si>
  <si>
    <t xml:space="preserve"> Область Ростовская, Район Песчанокопский, Село Рассыпное, Улица Котовского</t>
  </si>
  <si>
    <t>RO1059</t>
  </si>
  <si>
    <t>г. Ростов-на-Дону, улица Страны Советов 44</t>
  </si>
  <si>
    <t>RO1062</t>
  </si>
  <si>
    <t>г. Ростов-на-Дону, улица Б. Садовая 188</t>
  </si>
  <si>
    <t>RO1066</t>
  </si>
  <si>
    <t>Область Ростовская, Город Ростов-на-Дону, Улица Криворожская, Дом 56</t>
  </si>
  <si>
    <t>RO0395</t>
  </si>
  <si>
    <t>Сальский район, поселок Белозерный, улица Центральная 9</t>
  </si>
  <si>
    <t>RO1068</t>
  </si>
  <si>
    <t>г. Область Ростовская, Город Ростов-на-Дону, Улица Механизаторов, Дом 7</t>
  </si>
  <si>
    <t>RO1069</t>
  </si>
  <si>
    <t>г. Ростов-на-Дону, улица Горсоветская 57</t>
  </si>
  <si>
    <t>RO1074</t>
  </si>
  <si>
    <t>г. Ростов-на-Дону, пер. Сальский 26/1</t>
  </si>
  <si>
    <t>RO0939</t>
  </si>
  <si>
    <t>Орловский Район, Камышевка Хутор\примерно на юго-запад от здания пекарни по ул. Муравина - 33,6 м. и на юго-запад от КТП 1021 - 16,3 м., АМС ФГУП "РТРС"</t>
  </si>
  <si>
    <t>RO1076</t>
  </si>
  <si>
    <t>Аксайский район, поселок Янтарный, улица Малое Зеленое Кольцо 3-а</t>
  </si>
  <si>
    <t>RO1088</t>
  </si>
  <si>
    <t>Ростовская Область, Батайск Город, Красноярская Улица\6а</t>
  </si>
  <si>
    <t>RO1100</t>
  </si>
  <si>
    <t>RO0967</t>
  </si>
  <si>
    <t>Область Ростовская, Город Новошахтинск, Улица Харьковская, в районе жилого дома №58К</t>
  </si>
  <si>
    <t>Сальский район, поселок Степной Курган</t>
  </si>
  <si>
    <t>RO1103</t>
  </si>
  <si>
    <t>г. Ростов-на-Дону, ул. М.Горького, 245/26</t>
  </si>
  <si>
    <t>RO1104</t>
  </si>
  <si>
    <t>г. Батайск, улица Минская 71 г</t>
  </si>
  <si>
    <t>RO1106</t>
  </si>
  <si>
    <t>RO0968</t>
  </si>
  <si>
    <t>г. Батайск, улица Авиагородок 19 а</t>
  </si>
  <si>
    <t>Сальский район, село Романовка</t>
  </si>
  <si>
    <t>RO1115</t>
  </si>
  <si>
    <t>Область Ростовская, Город Ростов-на-Дону, Улица Серафимовича\23</t>
  </si>
  <si>
    <t>RO1117</t>
  </si>
  <si>
    <t>Азовский район, поселок Красный Сад, улица Заводская 15</t>
  </si>
  <si>
    <t>RO1120</t>
  </si>
  <si>
    <t>43:железобетонный столб - проект УЦН</t>
  </si>
  <si>
    <t>RO0969</t>
  </si>
  <si>
    <t>Область Ростовская, Район Багаевский, Поселок Задонский, Улица Атаманская\примерно 465 м по направлению на юго-запад от границы участка по адресу: ул. Атаманская, д. 1-а</t>
  </si>
  <si>
    <t>Сальский район, село Бараники</t>
  </si>
  <si>
    <t>RO1125</t>
  </si>
  <si>
    <t>Область Ростовская, Район Октябрьский, Хутор Озерки, Улица Школьная\примерно 40 м по направлению на запад от границы участка по адресу: ул. Школьная д. 8 кв. 1</t>
  </si>
  <si>
    <t>RO1131</t>
  </si>
  <si>
    <t>г. Батайск улица Воровского 49А</t>
  </si>
  <si>
    <t>RO1133</t>
  </si>
  <si>
    <t>RO0970</t>
  </si>
  <si>
    <t>г. Ростов-на-Дону, проспект Шолохова 11 б</t>
  </si>
  <si>
    <t>Сальский район, поселок Сеятель Северный</t>
  </si>
  <si>
    <t>RO1141</t>
  </si>
  <si>
    <t>г. Ростов-на-Дону, ул. Солидарности, 2А</t>
  </si>
  <si>
    <t>RO1142</t>
  </si>
  <si>
    <t>Область Ростовская, Город Ростов-на-Дону, Улица Клубная\вблизи д.17</t>
  </si>
  <si>
    <t>RO1143</t>
  </si>
  <si>
    <t>RO0971</t>
  </si>
  <si>
    <t>Ростов-на-Дону Город, Менжинского Улица, дом 4</t>
  </si>
  <si>
    <t>Сальский район, село Березовка</t>
  </si>
  <si>
    <t>RO1154</t>
  </si>
  <si>
    <t>Ростов-на-Дону Город\пр-т Королева, д 22 г</t>
  </si>
  <si>
    <t>RO1155</t>
  </si>
  <si>
    <t>Аксайский Район, Камышеваха Хутор, Таймырская Улица\32</t>
  </si>
  <si>
    <t>RO1058</t>
  </si>
  <si>
    <t>RO1159</t>
  </si>
  <si>
    <t>г. Ростов-на-Дону проспект Нагибина 14 А</t>
  </si>
  <si>
    <t>Сальский Район, Новый Егорлык Село, Советская Улица\Краснодонский пер</t>
  </si>
  <si>
    <t>RO1161</t>
  </si>
  <si>
    <t>Область Ростовская, Район Аксайский\Трасса "М4 Дон", 1060 км. (в районе х. Махин)</t>
  </si>
  <si>
    <t>RO1162</t>
  </si>
  <si>
    <t>Ростов-на-Дону Город, Днепровский Переулок, дом 124и</t>
  </si>
  <si>
    <t>RO1121</t>
  </si>
  <si>
    <t>RO1168</t>
  </si>
  <si>
    <t>Ростов-на-Дону г, Семашко Переулок, дом 117</t>
  </si>
  <si>
    <t>Сальский р-н, г Сальск, ул Чернышевского, д. 32 (ул. Чернышевского, 32 К).</t>
  </si>
  <si>
    <t>RO1170</t>
  </si>
  <si>
    <t>Область Ростовская, Район Аксайский\Трасса "М4 Дон" 1046 км. (в районе песчаного карьера Реконструктор)</t>
  </si>
  <si>
    <t>RO1176</t>
  </si>
  <si>
    <t>Ростов-на-Дону г, 26-го Июня ул, Дом 47/87</t>
  </si>
  <si>
    <t>RO1124</t>
  </si>
  <si>
    <t>RO1177</t>
  </si>
  <si>
    <t>г. Ростов-на-Дону , пл. Страны Советов 5А</t>
  </si>
  <si>
    <t>Поселок Целина, Улица 7-я линия\245 г</t>
  </si>
  <si>
    <t>RO1178</t>
  </si>
  <si>
    <t>г. Ростов-на-Дону, ул. Петрожицкого, 8</t>
  </si>
  <si>
    <t>RO1179</t>
  </si>
  <si>
    <t>г. Аксай, ул. Речников, 25</t>
  </si>
  <si>
    <t>RO1252</t>
  </si>
  <si>
    <t>RO1183</t>
  </si>
  <si>
    <t>Ростовская Область, Новочеркасск Город, Фрунзе Улица, дом 143\16</t>
  </si>
  <si>
    <t>Область Ростовская, Район Сальский, Город Сальск, Улица 8 Марта, Дом 86</t>
  </si>
  <si>
    <t>RO1184</t>
  </si>
  <si>
    <t>Ростов-на-Дону , 12-я линия Улица, дом 16/33</t>
  </si>
  <si>
    <t>RO1185</t>
  </si>
  <si>
    <t>69:тип 69 RANsharing</t>
  </si>
  <si>
    <t>Азовский р-н, х Городище, ул Придорожная (50 м южнее дома №51).</t>
  </si>
  <si>
    <t>RO1313</t>
  </si>
  <si>
    <t>RO1189</t>
  </si>
  <si>
    <t>Ростовская область, г Шахты (ул. Володарского, 47-а, АМС ФГУП РТРС).</t>
  </si>
  <si>
    <t>Орловский район, хутор Луганский</t>
  </si>
  <si>
    <t>RO1190</t>
  </si>
  <si>
    <t>Ростовская Область, Шахты Город, Индустриальная Улица, дом 5\Индустриальная Улица, дом 5 - б</t>
  </si>
  <si>
    <t>RO1193</t>
  </si>
  <si>
    <t>Ростовская область, г Ростов-на-Дону, ул Гранитная 64</t>
  </si>
  <si>
    <t>RO1329</t>
  </si>
  <si>
    <t>RO1197</t>
  </si>
  <si>
    <t>Сальский Район, Сальск Город, Васильковая Улица\2 А</t>
  </si>
  <si>
    <t>Область Ростовская, Город Ростов-на-Дону, Улица Лермонтовская\177 Б</t>
  </si>
  <si>
    <t>RO1199</t>
  </si>
  <si>
    <t>Ростовская область, г Батайск, ул Заводская, д. 262 (8 м. южнее участка).</t>
  </si>
  <si>
    <t>RO1200</t>
  </si>
  <si>
    <t>Город Батайск, Улица Дружбы 81</t>
  </si>
  <si>
    <t>RO1381</t>
  </si>
  <si>
    <t>RO1201</t>
  </si>
  <si>
    <t>Ростовская область, г Ростов-на-Дону (ул. Самшитовая (в районе участка №85)).</t>
  </si>
  <si>
    <t>Ростовская область, Сальский р-н, с Сандата (ул. Красная, 2 а).</t>
  </si>
  <si>
    <t>RO1205</t>
  </si>
  <si>
    <t>Азовский район, село Кулешовка, переулок Кулагина 9 а</t>
  </si>
  <si>
    <t>RO1214</t>
  </si>
  <si>
    <t>Азовский район, село Самарское, улица Мира 1</t>
  </si>
  <si>
    <t>RO1475</t>
  </si>
  <si>
    <t>RO1216</t>
  </si>
  <si>
    <t>Область Ростовская, Район Целинский, Село Хлебодарное, Улица Центральная</t>
  </si>
  <si>
    <t xml:space="preserve">г Ростов-на-Дону, пр-кт 40-летия Победы, д. 85 </t>
  </si>
  <si>
    <t>RO1224</t>
  </si>
  <si>
    <t>г. Ростов-на-Дону , пер. Автомобильный 25</t>
  </si>
  <si>
    <t>RO1225</t>
  </si>
  <si>
    <t>Ростовская Область, Ростов-на-Дону Город, Ворошиловский Проспект, дом 60</t>
  </si>
  <si>
    <t>RO1655</t>
  </si>
  <si>
    <t>69:УЦН РТК</t>
  </si>
  <si>
    <t>RO1226</t>
  </si>
  <si>
    <t>Егорлыкский р-н, х Заря (45 м южнее от пересечения ул. Фермерская и ул. Заречная).</t>
  </si>
  <si>
    <t>Ростовская Область, Ростов-на-Дону Город, Лермонтовская Улица, дом 154.</t>
  </si>
  <si>
    <t>RO1227</t>
  </si>
  <si>
    <t>14:собст. пригруз(мачта, башня, столб) с земли</t>
  </si>
  <si>
    <t>Ростовская Область, Азовский Район, Самарское Село, Колодезный Переулок\47.</t>
  </si>
  <si>
    <t>RO1228</t>
  </si>
  <si>
    <t>г. Батайск, Северный массив, 10</t>
  </si>
  <si>
    <t>RO1698</t>
  </si>
  <si>
    <t>Ростовская Область, Сальский Район, Гигант Поселок</t>
  </si>
  <si>
    <t>RO1229</t>
  </si>
  <si>
    <t>Ростовская Область, Батайск Город, Артемовская Улица, дом 168/9-и</t>
  </si>
  <si>
    <t>RO1236</t>
  </si>
  <si>
    <t>Ростов-на-Дону Город, Пойменная Улица, дом 1, ТЦ Мегамаг</t>
  </si>
  <si>
    <t>RO1237</t>
  </si>
  <si>
    <t>RO1734</t>
  </si>
  <si>
    <t>Ростовская область, Орловский р-н, х Успенский, ул Молодежная.</t>
  </si>
  <si>
    <t>RO1239</t>
  </si>
  <si>
    <t>Ростовская Область, Ростов-на-Дону Город, Космонавтов Проспект, дом 19А/28Ж ТЦ ПАРК</t>
  </si>
  <si>
    <t>RO1293</t>
  </si>
  <si>
    <t>г. Ростов-на-Дону, ул. Думенко, 3/3</t>
  </si>
  <si>
    <t>RO1301</t>
  </si>
  <si>
    <t>Ростовская Область, Аксайский Район, Грушевская Станица</t>
  </si>
  <si>
    <t>RO1735</t>
  </si>
  <si>
    <t>Орловский р-н, х Веселый, ул Степная (210 м южнее от мемориала Воинам освободителям);</t>
  </si>
  <si>
    <t>RO1304</t>
  </si>
  <si>
    <t>Область Ростовская, Город Ростов-на-Дону, Улица Максима Горького, Дом 51</t>
  </si>
  <si>
    <t>RO1306</t>
  </si>
  <si>
    <t>Область Ростовская, Город Новошахтинск, Улица Стахановская, Дом 40\Литер А</t>
  </si>
  <si>
    <t>RO1317</t>
  </si>
  <si>
    <t>Кагальницкий р-н, с. Иваново-Шамшево, ул. Пионерская,  29</t>
  </si>
  <si>
    <t>RO1736</t>
  </si>
  <si>
    <t>Пролетарский р-н, х Хирный;</t>
  </si>
  <si>
    <t>RO1320</t>
  </si>
  <si>
    <t>Октябрьский р-н , п. Кадамовский\район полигона "Кадамовский", примерно 1890м на восток от здания администрации Персиановского сельского поселения</t>
  </si>
  <si>
    <t>RO1330</t>
  </si>
  <si>
    <t>Ростовская Область, Ростов-на-Дону Город, Михаила Нагибина Проспект, дом 32/2\корпус 3</t>
  </si>
  <si>
    <t>RO1336</t>
  </si>
  <si>
    <t>RO1745</t>
  </si>
  <si>
    <t>Багаевский р-н, поселок Ясный</t>
  </si>
  <si>
    <t>Ростовская область, Целинский р-н, х Свободный (ул. Зеленая).</t>
  </si>
  <si>
    <t>RO1339</t>
  </si>
  <si>
    <t>Ростовская область, г Новочеркасск, ул Мацоты С.В., д. 11.</t>
  </si>
  <si>
    <t>RO1345</t>
  </si>
  <si>
    <t>Ростовская Область, Ростов-на-Дону Город, 40-летия Победы Проспект, дом 69/3</t>
  </si>
  <si>
    <t>RO1346</t>
  </si>
  <si>
    <t>RO1747</t>
  </si>
  <si>
    <t>– Ростовская Область, Ростов-на-Дону Город, Ленина Проспект\Проспект Ленина, 221</t>
  </si>
  <si>
    <t>Ростовская область, Целинский р-н, х Самарский (ул. Садовая);</t>
  </si>
  <si>
    <t>RO1353</t>
  </si>
  <si>
    <t>Область Ростовская, Город Новошахтинск, Улица 10-я Шахтерская, Дом 9</t>
  </si>
  <si>
    <t>RO1355</t>
  </si>
  <si>
    <t>Батайск Город\мк-р Северный массив, д.2\8</t>
  </si>
  <si>
    <t>RO1359</t>
  </si>
  <si>
    <t>RO1749</t>
  </si>
  <si>
    <t>Область Ростовская, Город Ростов-на-Дону, Улица Менжинского\2/1/13</t>
  </si>
  <si>
    <t>Ростовская область, Целинский р-н, х Ивановка, ул Интернациональная, двлд. 22 (примерно 220 м. на запад от строения);</t>
  </si>
  <si>
    <t>RO1360</t>
  </si>
  <si>
    <t>Ростов-на-Дону Город, Михаила Нагибина Проспект, дом 32/2\корпус 3</t>
  </si>
  <si>
    <t>RO1370</t>
  </si>
  <si>
    <t xml:space="preserve">Новошахтинск, Улица Тургенева, Дом 5А </t>
  </si>
  <si>
    <t>RO1391</t>
  </si>
  <si>
    <t>Ростов-на-Дону, Улица 45-я линия, Дом 1г</t>
  </si>
  <si>
    <t>RO1754</t>
  </si>
  <si>
    <t>Ростовская область, Сальский р-н, п Тальники, ул Ленина (рядом с земельным участком с кадастровым номером 61:34:0100501:98);</t>
  </si>
  <si>
    <t>RO1394</t>
  </si>
  <si>
    <t>Область Ростовская, Город Батайск, Улица Урицкого, Дом 7</t>
  </si>
  <si>
    <t>RO1396</t>
  </si>
  <si>
    <t>Ростовская Область, Азовский Район, Койсуг Поселок, Малый Переулок\3.</t>
  </si>
  <si>
    <t>RO1397</t>
  </si>
  <si>
    <t>Область Ростовская, Район Аксайский, Поселок Реконструктор, Улица Садовая, Дом 1</t>
  </si>
  <si>
    <t>RO1758</t>
  </si>
  <si>
    <t>Ростовская область, Сальский р-н, п Клены (пересечение ул. Пруцакова и ул. Солнечная);</t>
  </si>
  <si>
    <t>RO1440</t>
  </si>
  <si>
    <t>г. Аксай, улица Вартанова 15а</t>
  </si>
  <si>
    <t>RO1443</t>
  </si>
  <si>
    <t>Ростов-на-Дону, пер. Нахичеванский, 40/229</t>
  </si>
  <si>
    <t>RO1503</t>
  </si>
  <si>
    <t>г. Новочеркасск, улица Шоссе Нового гаража 20</t>
  </si>
  <si>
    <t>RO1782</t>
  </si>
  <si>
    <t>Орловский Район, Романовский Хутор, Луговая Улица</t>
  </si>
  <si>
    <t>RO1505</t>
  </si>
  <si>
    <t>г. Новочеркасск, пересечение улицы Щорса и переулка Криничного</t>
  </si>
  <si>
    <t>RO1508</t>
  </si>
  <si>
    <t>г. Новочеркасск, улица Трамвайная 61 а</t>
  </si>
  <si>
    <t>RO1510</t>
  </si>
  <si>
    <t>RO1795</t>
  </si>
  <si>
    <t>г. Новочеркасск, улица Грушевская 17</t>
  </si>
  <si>
    <t>Пролетарский р-н, х Татнинов (пер. Красный 11);</t>
  </si>
  <si>
    <t>RO1514</t>
  </si>
  <si>
    <t>г. Новочеркасск, улица Александровская 109</t>
  </si>
  <si>
    <t>RO1515</t>
  </si>
  <si>
    <t>г. Новочеркасск, улица Троицкая 97/157/114</t>
  </si>
  <si>
    <t>RO1516</t>
  </si>
  <si>
    <t>RO1796</t>
  </si>
  <si>
    <t>г. Новочеркасск, улица Московская 24-б</t>
  </si>
  <si>
    <t>Пролетарский р-н, х Привольный (пересечение пер. Вольный и ул. Цветочная);</t>
  </si>
  <si>
    <t>RO1599</t>
  </si>
  <si>
    <t>г. Шахты, Ильюшина 9</t>
  </si>
  <si>
    <t>RO1610</t>
  </si>
  <si>
    <t xml:space="preserve"> Область Ростовская, Город Шахты, Улица Баррикадная, Дом 1</t>
  </si>
  <si>
    <t>RO1797</t>
  </si>
  <si>
    <t>RO1621</t>
  </si>
  <si>
    <t>г. Шахты, ул. Искра, 57</t>
  </si>
  <si>
    <t>Ростовская область, Пролетарский р-н, х Наумовский.</t>
  </si>
  <si>
    <t>RO1622</t>
  </si>
  <si>
    <t>Батайск Город, Б.Хмельницкого Улица, дом 34</t>
  </si>
  <si>
    <t>RO1624</t>
  </si>
  <si>
    <t>Область Ростовская, Район Азовский, Поселок Овощной, Улица Кравченко</t>
  </si>
  <si>
    <t>RO1815</t>
  </si>
  <si>
    <t>RO1628</t>
  </si>
  <si>
    <t>г. Шахты, переулок Тамбовский 26а</t>
  </si>
  <si>
    <t>Ростовская область, Сальский р-н, п Загорье, ул Урожайная.</t>
  </si>
  <si>
    <t>RO1633</t>
  </si>
  <si>
    <t>Ростовская область, Азовский р-н, х Харьковский, ул Центральная (20 (АТС));</t>
  </si>
  <si>
    <t>RO1634</t>
  </si>
  <si>
    <t>Аксайский р-н, п Возрожденный, ул Школьная (40 м южнее от дома №2).</t>
  </si>
  <si>
    <t>RO1817</t>
  </si>
  <si>
    <t>RO1635</t>
  </si>
  <si>
    <t>Аксайский р-н, п Элитный (ул. Аксайская 10 (40 метров на восток)).</t>
  </si>
  <si>
    <t>Ростовская область, Сальский р-н, п Логвиновский (60 м северо восточнее от ул. Гагарина 39А).</t>
  </si>
  <si>
    <t>RO1642</t>
  </si>
  <si>
    <t>г. Шахты, улица Шишкина 162</t>
  </si>
  <si>
    <t>RO1651</t>
  </si>
  <si>
    <t>Кагальницкий р-н, х Родники (100 м от ДК (ул.Школьная 27) на Северо-Восток</t>
  </si>
  <si>
    <t>RO1818</t>
  </si>
  <si>
    <t>RO1671</t>
  </si>
  <si>
    <t>Азовский р-н, Разъезд Койсугский, Улица Солнечная, Дом 53\примерно 250 м. на юго-запад от жилого дома</t>
  </si>
  <si>
    <t>Ростовская область, Сальский р-н, п Роща, ул Октябрьская, д. 17 (70 м на север);</t>
  </si>
  <si>
    <t>RO1684</t>
  </si>
  <si>
    <t>Азовский район, Станица Елизаветинская, Улица Береговая\на юг через дорогу от д 19А</t>
  </si>
  <si>
    <t>RO1700</t>
  </si>
  <si>
    <t>55:мобильная БС</t>
  </si>
  <si>
    <t>Мобильная БС</t>
  </si>
  <si>
    <t>RO1819</t>
  </si>
  <si>
    <t>RO1703</t>
  </si>
  <si>
    <t>Багаевский район, станица Багаевская, улица Мичурина 7</t>
  </si>
  <si>
    <t>Ростовская область, Сальский р-н, п Прогресс, ул Свободы, д. 7.</t>
  </si>
  <si>
    <t>RO1710</t>
  </si>
  <si>
    <t>Ростовская область, г Шахты, ул Шевченко, д. 124.</t>
  </si>
  <si>
    <t>RO1718</t>
  </si>
  <si>
    <t>Область Ростовская, Район Азовский, Поселок Васильево-Петровский\примерно 45 м. по направлению на северо-восток от границы участка по ул. Строителей, 21</t>
  </si>
  <si>
    <t>RO1820</t>
  </si>
  <si>
    <t>RO1722</t>
  </si>
  <si>
    <t>Ростовская область, Сальский р-н, п Поливной, ул Строительная</t>
  </si>
  <si>
    <t>Область Ростовская, Город Азов\ул.Калинина, 15</t>
  </si>
  <si>
    <t>RO1723</t>
  </si>
  <si>
    <t>Новочеркасск Город, Высоковольтная Улица, дом 22Б</t>
  </si>
  <si>
    <t>RO1743</t>
  </si>
  <si>
    <t>Область Ростовская, Город Новочеркасск, Улица Ященко А.А.\1А</t>
  </si>
  <si>
    <t>RO1836</t>
  </si>
  <si>
    <t>Ростовская область, Пролетарский р-н, х Красный Скотовод.</t>
  </si>
  <si>
    <t>RO1770</t>
  </si>
  <si>
    <t>Район Азовский, Село Самарское, ул. Казачья, в районе д1</t>
  </si>
  <si>
    <t>RO1783</t>
  </si>
  <si>
    <t>Багаевский район, станица Багаевская, улица Мельничная</t>
  </si>
  <si>
    <t>RO1785</t>
  </si>
  <si>
    <t>Октябрьский р-н, х Ягодинка;</t>
  </si>
  <si>
    <t>RO1842</t>
  </si>
  <si>
    <t>Орловский р-н, х Кундрюченский (45 м севернее пересечения ул. Волгоградская и пер.  Почтовый);</t>
  </si>
  <si>
    <t>RO1788</t>
  </si>
  <si>
    <t>Октябрьский Район, Шевченко Хутор, Суворова Улица</t>
  </si>
  <si>
    <t>RO1789</t>
  </si>
  <si>
    <t>Новочеркасск г, Машиностроителей ул (д.7-а ЦЕХ№44)</t>
  </si>
  <si>
    <t>RO1801</t>
  </si>
  <si>
    <t>стадион Ростов Арена</t>
  </si>
  <si>
    <t>RO1852</t>
  </si>
  <si>
    <t>Ростовская область, Целинский р-н, п Холодные Родники</t>
  </si>
  <si>
    <t>RO1816</t>
  </si>
  <si>
    <t>Багаевский Район, Калинин Хутор\ул. Широкая, 54а, примерно 10 м по направлению на юго-восток</t>
  </si>
  <si>
    <t>RO1821</t>
  </si>
  <si>
    <t>Семикаракорский р-н, х Новоромановский, ул Фрунзе (между 2-й переулок и 3-й переулок);</t>
  </si>
  <si>
    <t>RO1843</t>
  </si>
  <si>
    <t>Кагальницкий р-н, п Березовая Роща (возвышенность между ул. Бирюкова и ул. Цветочная).</t>
  </si>
  <si>
    <t>RO1903</t>
  </si>
  <si>
    <t>53:репитер</t>
  </si>
  <si>
    <t>Ростовская Область, Сальский Район, Сальск Город, Пушкина Улица</t>
  </si>
  <si>
    <t>RO1847</t>
  </si>
  <si>
    <t>Усть-Донецкий р-н, х Ольховский, ул Садовая;</t>
  </si>
  <si>
    <t>RO1849</t>
  </si>
  <si>
    <t>Октябрьский р-н, х Марьевка, ул Парковая;</t>
  </si>
  <si>
    <t>RO1850</t>
  </si>
  <si>
    <t>Усть-Донецкий р-н, х Коныгин, пер Соборный.</t>
  </si>
  <si>
    <t>RO1906</t>
  </si>
  <si>
    <t>Целинский Район, Целина Поселок, 4-я линия Улица, дом 2</t>
  </si>
  <si>
    <t>RO1856</t>
  </si>
  <si>
    <t>Азовский р-н, п Южный (125 метров на юг от ул. Гагарина по ул. Мичурина);</t>
  </si>
  <si>
    <t>RO1860</t>
  </si>
  <si>
    <t>Октябрьский р-н, х Калиновка;</t>
  </si>
  <si>
    <t>RO1862</t>
  </si>
  <si>
    <t>г. Новошахтинск, поселок Юбилейный</t>
  </si>
  <si>
    <t>RO1921</t>
  </si>
  <si>
    <t>Станица Егорлыкская, Улица Октябрьская, Домовладение 131</t>
  </si>
  <si>
    <t>RO1865</t>
  </si>
  <si>
    <t>Ростов-на-Дону, ул.2-я линия, Дом 53-73</t>
  </si>
  <si>
    <t>RO1867</t>
  </si>
  <si>
    <t>Область Ростовская, Район Красносулинский, Город Красный Сулин, Улица Ленина, Дом 28</t>
  </si>
  <si>
    <t>RO1875</t>
  </si>
  <si>
    <t>Азовский район, поселок Ленинский Лесхоз</t>
  </si>
  <si>
    <t>RO1922</t>
  </si>
  <si>
    <t>Ростовская Область, Орловский Район, Красноармейский Поселок, Школьная Улица, дом 25</t>
  </si>
  <si>
    <t>RO1882</t>
  </si>
  <si>
    <t>Область Ростовская, Город Батайск, Улица Котова\0,05 км севернее дома №24 корп. 1</t>
  </si>
  <si>
    <t>RO1884</t>
  </si>
  <si>
    <t xml:space="preserve">Ростовская Область, Октябрьский Район, Красюковская Слобода, Цветочная Улица            </t>
  </si>
  <si>
    <t>RO1886</t>
  </si>
  <si>
    <t>Область Ростовская, Район Аксайский, Поселок Верхнетемерницкий, Переулок Фобоса, Домовладение 1/24</t>
  </si>
  <si>
    <t>RO2000</t>
  </si>
  <si>
    <t>станица  Егорлытская улица Буденного 4</t>
  </si>
  <si>
    <t>RO1892</t>
  </si>
  <si>
    <t>Область Ростовская, Район Аксайский\Трасса "М4 Дон" 1078 км.</t>
  </si>
  <si>
    <t>RO1900</t>
  </si>
  <si>
    <t>Ростовская Область, Ростов-на-Дону Город, Шаумяна Улица, дом 48</t>
  </si>
  <si>
    <t>RO1901</t>
  </si>
  <si>
    <t>RO2001</t>
  </si>
  <si>
    <t>Область Ростовская, Город Азов, Улица Привокзальная, Дом 21</t>
  </si>
  <si>
    <t>г. Сальск, улица Промышленная 9</t>
  </si>
  <si>
    <t>RO1904</t>
  </si>
  <si>
    <t>Область Ростовская, Город Ростов-на-Дону, Улица Молодежная, Дом 53/12</t>
  </si>
  <si>
    <t>RO1905</t>
  </si>
  <si>
    <t>Область Ростовская, Город Ростов-на-Дону, Улица Зои Космодемьянской, Дом 4</t>
  </si>
  <si>
    <t>RO1907</t>
  </si>
  <si>
    <t>Азовский район, хутор Бурхановка</t>
  </si>
  <si>
    <t>RO2002</t>
  </si>
  <si>
    <t>Орловский район, хутор Ребричанский</t>
  </si>
  <si>
    <t>RO1933</t>
  </si>
  <si>
    <t>Ростовская Область, Новочеркасск Город, Бабушкина Улица, дом 116\АМС ФГУП РТРС</t>
  </si>
  <si>
    <t>RO1938</t>
  </si>
  <si>
    <t>Область Ростовская, Район Азовский, Село Александровка, Улица Красная, Дом 21\А, АМС ФГУП РТРС</t>
  </si>
  <si>
    <t>RO1939</t>
  </si>
  <si>
    <t>RO2009</t>
  </si>
  <si>
    <t>Область Ростовская, Город Батайск, Улица 1-й Пятилетки, Дом 12</t>
  </si>
  <si>
    <t>Егорлыкский район, хутор Объединенный</t>
  </si>
  <si>
    <t>RO1942</t>
  </si>
  <si>
    <t>Ростовская Область, Новошахтинск Город, Молодогвардейцев Улица, дом 73\АМС ФГУП РТРС</t>
  </si>
  <si>
    <t>RO1950</t>
  </si>
  <si>
    <t>Область Ростовская, Город Шахты, Улица Первомайская, Домовладение 41</t>
  </si>
  <si>
    <t>RO1955</t>
  </si>
  <si>
    <t>RO2021</t>
  </si>
  <si>
    <t xml:space="preserve"> Область Ростовская, Город Ростов-на-Дону, Проспект Ворошиловский, Дом 35/107</t>
  </si>
  <si>
    <t>Егорлыкский район, хутор Кавалерский, улица Ленина 27</t>
  </si>
  <si>
    <t>RO1957</t>
  </si>
  <si>
    <t>Ростовская область, г Ростов-на-Дону, ул Левобережная.</t>
  </si>
  <si>
    <t>RO1960</t>
  </si>
  <si>
    <t>Ростов-на-Дону Город, Виталия Ходоша Улица 15.</t>
  </si>
  <si>
    <t>RO1990</t>
  </si>
  <si>
    <t>RO2022</t>
  </si>
  <si>
    <t>Район Красносулинский, СПК «Дружба»</t>
  </si>
  <si>
    <t>Егорлыкский район, хутор Кугейский</t>
  </si>
  <si>
    <t>RO1994</t>
  </si>
  <si>
    <t>Кагальницкий район, станица Кировская, улица Ленина 15</t>
  </si>
  <si>
    <t>RO1995</t>
  </si>
  <si>
    <t>Аксайский р-н, ст-ца Грушевская, ул Марсово поле (ул. Марсово поле, земельный участок 5).</t>
  </si>
  <si>
    <t>RO2023</t>
  </si>
  <si>
    <t>RO2020</t>
  </si>
  <si>
    <t>Ростовская Область, Азов Город, Железнодорожная Улица\ул. Железнодорожная 5А</t>
  </si>
  <si>
    <t>Песчанокопский район, село Богородицкое</t>
  </si>
  <si>
    <t>RO2031</t>
  </si>
  <si>
    <t>Область Ростовская, Район Аксайский\Трасса "М4 Дон" 1028 км</t>
  </si>
  <si>
    <t>RO2047</t>
  </si>
  <si>
    <t>Область Ростовская, Город Ростов-на-Дону, Проспект Космонавтов, Дом 41б</t>
  </si>
  <si>
    <t>RO2055</t>
  </si>
  <si>
    <t>г. Новочеркасск г, ул. Спортивная, 2А</t>
  </si>
  <si>
    <t>RO2025</t>
  </si>
  <si>
    <t>Сальский район, село Крученая Балка</t>
  </si>
  <si>
    <t>RO2056</t>
  </si>
  <si>
    <t>г. Новочеркасск, проспект Платовский 77</t>
  </si>
  <si>
    <t>RO2064</t>
  </si>
  <si>
    <t>Багаевский район, станица Манычская, улица Советская 58а</t>
  </si>
  <si>
    <t>RO2122</t>
  </si>
  <si>
    <t>Ростовская Область, Орловский Район, Орловский Поселок, Чапаевский Переулок\85</t>
  </si>
  <si>
    <t>RO2065</t>
  </si>
  <si>
    <t>Багаевский район, хутор Ажинов</t>
  </si>
  <si>
    <t>RO2125</t>
  </si>
  <si>
    <t>Ростовская Область, Сальский Район, Сальск Город, Береговая Улица, дом 2\е</t>
  </si>
  <si>
    <t>RO2066</t>
  </si>
  <si>
    <t>Аксайский район, 1049 км автодороги Москва - Ростов</t>
  </si>
  <si>
    <t>RO2126</t>
  </si>
  <si>
    <t>Ростовская Область, Сальский Район, Сальск Город, Школьная площадь Улица, дом 9-а</t>
  </si>
  <si>
    <t>RO2067</t>
  </si>
  <si>
    <t>г. Новошахтинск, ул. Ленина, 61</t>
  </si>
  <si>
    <t>RO2131</t>
  </si>
  <si>
    <t>Ростовская Область, Целинский Район, Целина Поселок, 1-я линия Улица\134</t>
  </si>
  <si>
    <t>RO2068</t>
  </si>
  <si>
    <t>Новошахтинск Город, Советской Конституции Улица, дом 73А</t>
  </si>
  <si>
    <t>RO2196</t>
  </si>
  <si>
    <t>г. Сальск, ул. Верхняя 89Б</t>
  </si>
  <si>
    <t>RO2069</t>
  </si>
  <si>
    <t>г. Новошахтинск, улица Советской Конституции 1р</t>
  </si>
  <si>
    <t>RO2197</t>
  </si>
  <si>
    <t>г. Сальск, ул. Чкалова 92А</t>
  </si>
  <si>
    <t>RO2073</t>
  </si>
  <si>
    <t xml:space="preserve">г. Новошахтинск улица Трамвайная 3 </t>
  </si>
  <si>
    <t>RO2210</t>
  </si>
  <si>
    <t>Пролетарск Город, Советский Переулок</t>
  </si>
  <si>
    <t>RO2080</t>
  </si>
  <si>
    <t>Красносулинский район, хутор Пролетарка</t>
  </si>
  <si>
    <t>RO2216</t>
  </si>
  <si>
    <t xml:space="preserve">Сальский р-н, х. Маяк </t>
  </si>
  <si>
    <t>RO2082</t>
  </si>
  <si>
    <t>Ростовская Область, Красносулинский Район, Богненко Хутор, Центральная Улица, дом 29</t>
  </si>
  <si>
    <t>RO2226</t>
  </si>
  <si>
    <t>Область Ростовская, Район Сальский, Поселок Сальский Беслан</t>
  </si>
  <si>
    <t>RO2087</t>
  </si>
  <si>
    <t>Область Ростовская, Район Азовский, Поселок Тимирязевский, Улица Молодежная, Земельный участок 6А\45 м на юго восток</t>
  </si>
  <si>
    <t>RO2227</t>
  </si>
  <si>
    <t>Сальский Район, Сысоево-Александровское Село, Молодежная Улица\в р-не ул. Восточной</t>
  </si>
  <si>
    <t>RO2088</t>
  </si>
  <si>
    <t>Азовский район, село Платоно-Петровка</t>
  </si>
  <si>
    <t>RO2252</t>
  </si>
  <si>
    <t>Ростовская область, Егорлыкский р-н, х Ютин.</t>
  </si>
  <si>
    <t>RO2089</t>
  </si>
  <si>
    <t>Область Ростовская, Город Ростов-на-Дону, Проспект 40-летия Победы, Здание 1д</t>
  </si>
  <si>
    <t>RO2328</t>
  </si>
  <si>
    <t>Ростовская Область, Целинский Район, Журавлевка Село\Московская Улица, д. 65 б</t>
  </si>
  <si>
    <t>RO2090</t>
  </si>
  <si>
    <t>Область Ростовская, Район Красносулинский\Пролетарское с.п., р.п. Горный, трасса "Ростов-Воронеж" М-4 "Дон" на въезде в пос. Горный, кадастровый квартал 61:18:0600021</t>
  </si>
  <si>
    <t>RO2639</t>
  </si>
  <si>
    <t xml:space="preserve"> Область Ростовская, Район Сальский, Поселок 25 лет Военконезавода, Улица Урожайная</t>
  </si>
  <si>
    <t>RO2099</t>
  </si>
  <si>
    <t>Ростов-на-Дону Город, Левобережная Улица\дом № 41 А</t>
  </si>
  <si>
    <t>RO2679</t>
  </si>
  <si>
    <t>Ростовская Область, Сальский Район, Шаблиевка Село, Димитрова 26</t>
  </si>
  <si>
    <t>RO2100</t>
  </si>
  <si>
    <t xml:space="preserve"> Ростовская Область, Азовский Район, Головатовка Село, Тельмана Переулок\пересечение с Луговая улица, 50 м на Север</t>
  </si>
  <si>
    <t>RO2693</t>
  </si>
  <si>
    <t>Егорлыкский Район, Мирный Хутор, Шоссейная Улица\7а, АМС ФГУП "РТРС"</t>
  </si>
  <si>
    <t>RO2101</t>
  </si>
  <si>
    <t>Ростовская Область, Азовский Район, Семибалки Село, Спортивный Переулок, дом 11</t>
  </si>
  <si>
    <t>RO2701</t>
  </si>
  <si>
    <t>Целинский р-н, х Северный, ул Молодежная (Молодежная Улица 92).</t>
  </si>
  <si>
    <t>RO2102</t>
  </si>
  <si>
    <t>Ростовская Область, Багаевский Район, Багаевская Станица, Красная Улица\2</t>
  </si>
  <si>
    <t>RO2707</t>
  </si>
  <si>
    <t>Ростовская область, Сальский р-н, п Приречный, ул Школьная (16 б).</t>
  </si>
  <si>
    <t>RO2111</t>
  </si>
  <si>
    <t>Ростовская Область, Кагальницкий Район, Кагальницкая Станица, Калинина Улица, дом 96</t>
  </si>
  <si>
    <t>RO2817</t>
  </si>
  <si>
    <t>Область Ростовская, Район Орловский, Хутор Широкий, Улица Весенняя</t>
  </si>
  <si>
    <t>RO2113</t>
  </si>
  <si>
    <t>Ростовская Область, Кагальницкий Район, Кировская Станица, Черняховского Улица, дом 75</t>
  </si>
  <si>
    <t>RO0401</t>
  </si>
  <si>
    <t>г. Таганрог, улица Петровская, 73</t>
  </si>
  <si>
    <t>Таганрог</t>
  </si>
  <si>
    <t>RO2121</t>
  </si>
  <si>
    <t>Ростовская Область, Октябрьский Район, Каменоломни Рабочий поселок, Калинина Улица, дом 10</t>
  </si>
  <si>
    <t>RO0402</t>
  </si>
  <si>
    <t>г. Таганрог, улица Химическая, 10</t>
  </si>
  <si>
    <t>RO0403</t>
  </si>
  <si>
    <t>RO2160</t>
  </si>
  <si>
    <t>г. Таганрог, улица им село Шило, 243</t>
  </si>
  <si>
    <t>Октябрьский Район, Заозерье Поселок, Центральная Улица</t>
  </si>
  <si>
    <t>RO0404</t>
  </si>
  <si>
    <t>RO2166</t>
  </si>
  <si>
    <t>г. Таганрог, улица Инструментальная, 2-10</t>
  </si>
  <si>
    <t>Область Ростовская, Город Ростов-на-Дону, Улица Мечникова, Дом 110, Строение 1</t>
  </si>
  <si>
    <t>RO0405</t>
  </si>
  <si>
    <t>RO2169</t>
  </si>
  <si>
    <t>Область Ростовская, Город Ростов-на-Дону, Улица Берберовская, Дом 26, Строение 1</t>
  </si>
  <si>
    <t>г. Таганрог, переулок Некрасовский, 44</t>
  </si>
  <si>
    <t>RO2176</t>
  </si>
  <si>
    <t>RO0406</t>
  </si>
  <si>
    <t>Ростов-на-Дону Город, Армянская Улица\пересечение с ул. Боряна, в районе д.29</t>
  </si>
  <si>
    <t>г. Таганрог, улица Александровская, 160</t>
  </si>
  <si>
    <t>RO2177</t>
  </si>
  <si>
    <t>RO0407</t>
  </si>
  <si>
    <t>Область Ростовская, Город Ростов-на-Дону, Переулок Игарский\66</t>
  </si>
  <si>
    <t>г. Таганрог, улица Дзержинского, 161</t>
  </si>
  <si>
    <t>RO0408</t>
  </si>
  <si>
    <t>RO2180</t>
  </si>
  <si>
    <t>г. Таганрог, улица Инициативная, 54</t>
  </si>
  <si>
    <t>Ростов-на-Дону г, 5-я Престижная ул, Дом 6</t>
  </si>
  <si>
    <t>RO0409</t>
  </si>
  <si>
    <t>RO2181</t>
  </si>
  <si>
    <t>г. Таганрог, переулок 1-й Новый, 8</t>
  </si>
  <si>
    <t>Ростов-на-Дону Город, Карбышева Улица пересечение с ул. 12 Декабря</t>
  </si>
  <si>
    <t>RO0410</t>
  </si>
  <si>
    <t>RO2184</t>
  </si>
  <si>
    <t>г. Таганрог, площадь Северная, 3</t>
  </si>
  <si>
    <t>Аксайский Район, Янтарный Поселок, Гвоздиковая Улица\стр.38\43</t>
  </si>
  <si>
    <t>RO0411</t>
  </si>
  <si>
    <t>RO2189</t>
  </si>
  <si>
    <t>г. Таганрог, переулок Добролюбовский, 11</t>
  </si>
  <si>
    <t>Ростовская Область, Шахты Город, Советская Улица, дом 54</t>
  </si>
  <si>
    <t>RO0412</t>
  </si>
  <si>
    <t>RO2190</t>
  </si>
  <si>
    <t>г. Таганрог, улица Водопроводная, 38/4</t>
  </si>
  <si>
    <t>Новочеркасск Город, Флерова А.Ф. Улица, дом 18</t>
  </si>
  <si>
    <t>RO0413</t>
  </si>
  <si>
    <t>RO2203</t>
  </si>
  <si>
    <t>г. Таганрог, улица Заводская, 20</t>
  </si>
  <si>
    <t>Красный Сулин Город, Галатова Улица, дом 95</t>
  </si>
  <si>
    <t>RO0414</t>
  </si>
  <si>
    <t>г. Таганрог, ул Ломоносова, 65</t>
  </si>
  <si>
    <t>RO2217</t>
  </si>
  <si>
    <t>Ростов-на-Дону , Украинская Улица\рядом с д.63</t>
  </si>
  <si>
    <t>RO0415</t>
  </si>
  <si>
    <t>г. Таганрог, улица Александровская, 85Б</t>
  </si>
  <si>
    <t>RO2218</t>
  </si>
  <si>
    <t>Аксайский Район, Щепкин Поселок</t>
  </si>
  <si>
    <t>RO0416</t>
  </si>
  <si>
    <t>Неклиновский район, хутор Дарагановка, улица Центральная, 12</t>
  </si>
  <si>
    <t>RO2219</t>
  </si>
  <si>
    <t>Кагальницкий р-н, Новобатайск с, Илларионова 40а ул (район стадиона)</t>
  </si>
  <si>
    <t>RO0417</t>
  </si>
  <si>
    <t>г. Таганрог, переулок 7-й Новый, 108</t>
  </si>
  <si>
    <t>RO2220</t>
  </si>
  <si>
    <t>Октябрьский Район, Персиановский Поселок, Кадамовская Улица 14а</t>
  </si>
  <si>
    <t>RO0418</t>
  </si>
  <si>
    <t>RO2225</t>
  </si>
  <si>
    <t xml:space="preserve">Неклиновский район, село Самбек, улица Западная 47А </t>
  </si>
  <si>
    <t>Ростовская Область, Батайск Город\ДНТ "Дружба"</t>
  </si>
  <si>
    <t>RO0419</t>
  </si>
  <si>
    <t>RO2229</t>
  </si>
  <si>
    <t>г. Таганрог, улица Ломакина, 57</t>
  </si>
  <si>
    <t>Ростов-на-Дону, Улица Масштабная, Домовладение 82/26.</t>
  </si>
  <si>
    <t>RO0420</t>
  </si>
  <si>
    <t>RO2238</t>
  </si>
  <si>
    <t>г. Таганрог, Поляковское шоссе, 30</t>
  </si>
  <si>
    <t>Ростовская Область, Новочеркасск Город, Пушкинская Улица\д.94\23</t>
  </si>
  <si>
    <t>RO0421</t>
  </si>
  <si>
    <t>RO2239</t>
  </si>
  <si>
    <t>г. Таганрог, Большой проспект, 16</t>
  </si>
  <si>
    <t>Ростов-на-Дону Город, Измаильский Переулок</t>
  </si>
  <si>
    <t>RO0422</t>
  </si>
  <si>
    <t>RO2240</t>
  </si>
  <si>
    <t>г. Таганрог, улица Михайловская, 78Б</t>
  </si>
  <si>
    <t>г. Батайск, ул. Балашова, 51</t>
  </si>
  <si>
    <t>RO0423</t>
  </si>
  <si>
    <t>RO2242</t>
  </si>
  <si>
    <t>г. Таганрог, улица Социалистическая 2</t>
  </si>
  <si>
    <t>Азовский Район, х. Победа, ул. Мостовая \ примерно на 40 м на северо-восток от АЗС</t>
  </si>
  <si>
    <t>RO0424</t>
  </si>
  <si>
    <t>RO2243</t>
  </si>
  <si>
    <t>г. Таганрог, улица Малопочтовая, 54а</t>
  </si>
  <si>
    <t>г. Ростов-на-Дону, ул. Миронова, 12/7</t>
  </si>
  <si>
    <t>RO0425</t>
  </si>
  <si>
    <t>RO2244</t>
  </si>
  <si>
    <t>Неклиновский район, село Приморка, вышка ОАО "МТС"</t>
  </si>
  <si>
    <t>Красносулинский Район, Закордонный Поселок, Железнодорожная Улица, дом 38</t>
  </si>
  <si>
    <t>RO0426</t>
  </si>
  <si>
    <t>RO2274</t>
  </si>
  <si>
    <t>Неклиновский район, село Натальевка, улица Мечникова, 12</t>
  </si>
  <si>
    <t>Кагальницкий Район, Двуречье Поселок, Первомайская Улица</t>
  </si>
  <si>
    <t>RO0427</t>
  </si>
  <si>
    <t>RO2289</t>
  </si>
  <si>
    <t>Неклиновский район, село Александрова Коса</t>
  </si>
  <si>
    <t>Красный Сулин Город, Заводская Улица</t>
  </si>
  <si>
    <t>RO0428</t>
  </si>
  <si>
    <t>RO2301</t>
  </si>
  <si>
    <t>Ростов-на-Дону Город, Красноармейская Улица\в районе д. 166.</t>
  </si>
  <si>
    <t>г. Таганрог, улица Прохладная, 2</t>
  </si>
  <si>
    <t>RO2303</t>
  </si>
  <si>
    <t>RO0429</t>
  </si>
  <si>
    <t>Октябрьский р-н, п Равнинный.</t>
  </si>
  <si>
    <t>г. Таганрог, улица 1-я Широкая, 1</t>
  </si>
  <si>
    <t>RO2306</t>
  </si>
  <si>
    <t>RO0430</t>
  </si>
  <si>
    <t>Семикаракорский р-н, х Балабинка, ул Центральная (между ул. Буденного и ул. Красноармейская).</t>
  </si>
  <si>
    <t>г. Таганрог, пер. Тургеневский, 44</t>
  </si>
  <si>
    <t>RO2309</t>
  </si>
  <si>
    <t>RO0431</t>
  </si>
  <si>
    <t>Ростов-на-Дону Город, Орская Улица, 90</t>
  </si>
  <si>
    <t>г. Таганрог, Поляковское шоссе, 16</t>
  </si>
  <si>
    <t>RO2327</t>
  </si>
  <si>
    <t>RO0432</t>
  </si>
  <si>
    <t>Область Ростовская, Район Кагальницкий, Станица Хомутовская, Улица Казачья, Дом 18</t>
  </si>
  <si>
    <t>г. Таганрог, улица Седова, 1</t>
  </si>
  <si>
    <t>RO2346</t>
  </si>
  <si>
    <t>RO0433</t>
  </si>
  <si>
    <t>Область Ростовская, Район Красносулинский, на землях СПК «Русь»</t>
  </si>
  <si>
    <t>г. Таганрог, улица Маршала г.К.Жукова, 221</t>
  </si>
  <si>
    <t>RO2347</t>
  </si>
  <si>
    <t>Область Ростовская, Район Аксайский\Трасса "М4 Дон" 1091 км.</t>
  </si>
  <si>
    <t>RO0434</t>
  </si>
  <si>
    <t>г. Таганрог, улица Поселковая, 56</t>
  </si>
  <si>
    <t>RO2348</t>
  </si>
  <si>
    <t>Область Ростовская, Район Азовский, Хутор Степнянский, Социалистическая улица</t>
  </si>
  <si>
    <t>RO0435</t>
  </si>
  <si>
    <t>Неклиновский район, село Новобессергеневка, улица Горького, 2</t>
  </si>
  <si>
    <t>RO2351</t>
  </si>
  <si>
    <t>RO0436</t>
  </si>
  <si>
    <t>Октябрьский р-н, х. Веселая Бахмутовка</t>
  </si>
  <si>
    <t>г. Таганрог, улица Щаденко, 62</t>
  </si>
  <si>
    <t>RO2353</t>
  </si>
  <si>
    <t>RO0437</t>
  </si>
  <si>
    <t xml:space="preserve"> Область Ростовская, Район Красносулинский, Хутор Бобров, Улица Школьная, Дом 4а\примерно 11 м по направлению на запад</t>
  </si>
  <si>
    <t>г. Таганрог, улица Базарная, 25</t>
  </si>
  <si>
    <t>RO2355</t>
  </si>
  <si>
    <t>RO0438</t>
  </si>
  <si>
    <t>Область Ростовская, Район Красносулинский, Хутор Украинский, Улица Кооперативная, Дом 23\примерно 108 м по направлению на юго-восток</t>
  </si>
  <si>
    <t>г. Таганрог, улица Чехова, 182</t>
  </si>
  <si>
    <t>RO2356</t>
  </si>
  <si>
    <t>RO0439</t>
  </si>
  <si>
    <t>Область Ростовская, Район Красносулинский, Хутор Черников, Улица Южная, Дом 46\примерно 72 м по направлению на запад</t>
  </si>
  <si>
    <t>г. Таганрог, Мариупольское шоссе, 21</t>
  </si>
  <si>
    <t>RO2402</t>
  </si>
  <si>
    <t>RO0440</t>
  </si>
  <si>
    <t>Область Ростовская, Район Багаевский, Хутор Тузлуков, Улица Центральная</t>
  </si>
  <si>
    <t>Таганрог Город, Кольцовская Улица, дом 52</t>
  </si>
  <si>
    <t>RO2408</t>
  </si>
  <si>
    <t>RO0441</t>
  </si>
  <si>
    <t>Область Ростовская, Район Октябрьский, Поселок Заречный, Улица Центральная\примерно 23 метра на север от дома 14</t>
  </si>
  <si>
    <t>г. Таганрог, улица Чехова, 2</t>
  </si>
  <si>
    <t>RO2409</t>
  </si>
  <si>
    <t>RO0442</t>
  </si>
  <si>
    <t>Область Ростовская, Район Кагальницкий, Поселок Светлый Яр, ул. Парковая, 1а</t>
  </si>
  <si>
    <t>Матвеево-Курганский район, село Латоново</t>
  </si>
  <si>
    <t>RO2422</t>
  </si>
  <si>
    <t>RO0443</t>
  </si>
  <si>
    <t>Город Ростов-на-Дону, Улица Левобережная, Дом 6/6, Строение 1</t>
  </si>
  <si>
    <t>Неклиновский район, поселок Новоприморский, улица Транспортная, 1</t>
  </si>
  <si>
    <t>RO2433</t>
  </si>
  <si>
    <t>RO0444</t>
  </si>
  <si>
    <t>Область Ростовская, Город Батайск, Улица Олимпийское Кольцо\29А</t>
  </si>
  <si>
    <t>16:собст. башня с заглубленным фундаментом выше 61м</t>
  </si>
  <si>
    <t>Неклиновский район, село Синявское, улица Первомайская, 42</t>
  </si>
  <si>
    <t>RO2453</t>
  </si>
  <si>
    <t>RO0445</t>
  </si>
  <si>
    <t>г. Таганрог, улица П. Тольятти, 32</t>
  </si>
  <si>
    <t>Город Ростов-на-Дону, Улица Нансена, Дом 150</t>
  </si>
  <si>
    <t>RO0446</t>
  </si>
  <si>
    <t>RO2457</t>
  </si>
  <si>
    <t>Ростовская Область, Таганрог Город, Инструментальная Улица, дом 45</t>
  </si>
  <si>
    <t>RO2459</t>
  </si>
  <si>
    <t>RO0447</t>
  </si>
  <si>
    <t>Область Ростовская, Город Ростов-на-Дону, Улица Левобережная, Земельный участок 2Б</t>
  </si>
  <si>
    <t>г. Таганрог, площадь Красная, 26 а</t>
  </si>
  <si>
    <t>RO2471</t>
  </si>
  <si>
    <t>RO0449</t>
  </si>
  <si>
    <t>Область Ростовская, Район Аксайский\Трасса "М4 Дон" развязка в района пос. Красный колос</t>
  </si>
  <si>
    <t>г. Таганрог, улица Сергея Шило,182</t>
  </si>
  <si>
    <t>RO2472</t>
  </si>
  <si>
    <t>RO0450</t>
  </si>
  <si>
    <t>Область Ростовская, Район Аксайский\Трасса "М4 Дон" обход Ростова-на-Дону</t>
  </si>
  <si>
    <t>г Таганрог, ул Октябрьская, д. 24 к. 2.</t>
  </si>
  <si>
    <t>RO2473</t>
  </si>
  <si>
    <t>RO0451</t>
  </si>
  <si>
    <t>Аксайский район, трасса "М4 Дон" в районе ст. Ольгинская</t>
  </si>
  <si>
    <t>Неклиновский район, село Николаевка, улица Таганская, 22А</t>
  </si>
  <si>
    <t>RO2474</t>
  </si>
  <si>
    <t>RO0452</t>
  </si>
  <si>
    <t>Область Ростовская, Район Аксайский\Трасса "М4 Дон" в районе песчаного карьера Чистый песок</t>
  </si>
  <si>
    <t>г. Таганрог, улица Морозова, 35</t>
  </si>
  <si>
    <t>RO2482</t>
  </si>
  <si>
    <t>RO0453</t>
  </si>
  <si>
    <t>Район Аксайский, Хутор Ленина</t>
  </si>
  <si>
    <t>г. Таганрог, улица Маршала Жукова, 53Г</t>
  </si>
  <si>
    <t>RO2523</t>
  </si>
  <si>
    <t>Область Ростовская, Район Октябрьский, Поселок Интернациональный, Переулок Гаражный\9</t>
  </si>
  <si>
    <t>RO0454</t>
  </si>
  <si>
    <t>г. Таганрог, улица Вишневая 21а</t>
  </si>
  <si>
    <t>RO2596</t>
  </si>
  <si>
    <t>RO0455</t>
  </si>
  <si>
    <t>Район Аксайский, Поселок Верхнетемерницкий, Переулок Плутона, Дом 12/28, Строение 1</t>
  </si>
  <si>
    <t>Неклиновский район, село Петрушино, улица Энгельса, 35</t>
  </si>
  <si>
    <t>RO2600</t>
  </si>
  <si>
    <t>66:временная не мобильная БС</t>
  </si>
  <si>
    <t>RO0456</t>
  </si>
  <si>
    <t>Область Ростовская, Город Ростов-на-Дону, Улица Большая Садовая, Дом 121</t>
  </si>
  <si>
    <t>Неклиновский район, село Весело-Вознесенка, улица Советская, 1-в</t>
  </si>
  <si>
    <t>RO2601</t>
  </si>
  <si>
    <t>RO0457</t>
  </si>
  <si>
    <t>Неклиновский район, хутор Христофоровка, улица Октябрьская, 26 д</t>
  </si>
  <si>
    <t>RO2625</t>
  </si>
  <si>
    <t>RO0458</t>
  </si>
  <si>
    <t>Область Ростовская, Район Азовский, Хутор Полтава 2-я\примерно 35 м. по направлению на восток от границ участка по ул. Молодежная, 49</t>
  </si>
  <si>
    <t xml:space="preserve">г. Таганрог, улица Чехова, 346 </t>
  </si>
  <si>
    <t>RO2632</t>
  </si>
  <si>
    <t>RO0460</t>
  </si>
  <si>
    <t>Область Ростовская, Район Азовский, Хутор Метелев\примерно 42 м. по направлению на север от границ участка по ул. Мичурина, 30/2</t>
  </si>
  <si>
    <t>г. Таганрог, улица 1-я Котельная, 79А</t>
  </si>
  <si>
    <t>RO2635</t>
  </si>
  <si>
    <t>RO0461</t>
  </si>
  <si>
    <t>Область Ростовская, Район Багаевский, Хутор Сараи, Улица Зеленая, 51 а</t>
  </si>
  <si>
    <t>Неклиновский район, село Федоровка</t>
  </si>
  <si>
    <t>RO2642</t>
  </si>
  <si>
    <t>RO0462</t>
  </si>
  <si>
    <t>Область Ростовская, Район Октябрьский, Хутор Первомайский, Улица Центральная, 12</t>
  </si>
  <si>
    <t>Неклиновский район, село Золотая Коса, улица Октябрьская, 126</t>
  </si>
  <si>
    <t>RO0463</t>
  </si>
  <si>
    <t>RO2647</t>
  </si>
  <si>
    <t>Матвеево-Курганский район, село Екатериновка</t>
  </si>
  <si>
    <t>Область Ростовская, Район Кагальницкий, Поселок Малодубравный, Улица Светлая, Дом 21</t>
  </si>
  <si>
    <t>RO0464</t>
  </si>
  <si>
    <t>RO2821</t>
  </si>
  <si>
    <t>Мясниковский район, хутор Недвиговка, улица Октябрьская, 98/3</t>
  </si>
  <si>
    <t>г. Батайск, улица Полевая 6</t>
  </si>
  <si>
    <t>RO2831</t>
  </si>
  <si>
    <t>RO0465</t>
  </si>
  <si>
    <t>Область Ростовская, Район Азовский, Хутор Павловка, Переулок Павлова</t>
  </si>
  <si>
    <t>Неклиновский район, село Беглица</t>
  </si>
  <si>
    <t>RO2838</t>
  </si>
  <si>
    <t>RO0468</t>
  </si>
  <si>
    <t>Ростовская Область, Азовский Район\2.6 км северо-западнее ПТ "Павло-Очаково", опора МТС</t>
  </si>
  <si>
    <t>Мясниковский район, слобода Петровка</t>
  </si>
  <si>
    <t>RO2839</t>
  </si>
  <si>
    <t>RO0470</t>
  </si>
  <si>
    <t>Новочеркасск Город, Машиностроителей Улица\д.7А (ЦЕХ№56)</t>
  </si>
  <si>
    <t>Мясниковский район, село Чалтырь, улица Красноармейская, 63</t>
  </si>
  <si>
    <t>RO2841</t>
  </si>
  <si>
    <t>RO0471</t>
  </si>
  <si>
    <t>г Батайск, ул Воровского, д. 67.</t>
  </si>
  <si>
    <t>Мясниковский район, село Чалтырь, улица Новостроек, 1</t>
  </si>
  <si>
    <t>RO2843</t>
  </si>
  <si>
    <t>Область Ростовская, Город Ростов-на-Дону, Проспект Ленина, Дом 125</t>
  </si>
  <si>
    <t>RO0472</t>
  </si>
  <si>
    <t>Мясниковский район, село Крым, улица Крестьянская, 1Д</t>
  </si>
  <si>
    <t>RO2850</t>
  </si>
  <si>
    <t>Аксайский район, поселок Дивный Советская 13</t>
  </si>
  <si>
    <t>RO0473</t>
  </si>
  <si>
    <t>Мясниковский район, село Чалтырь, улица Налбандяна 9</t>
  </si>
  <si>
    <t>RO2851</t>
  </si>
  <si>
    <t>Область Ростовская, Город Ростов-на-Дону, Улица Красноармейская\напротив д. 157Д</t>
  </si>
  <si>
    <t>RO0474</t>
  </si>
  <si>
    <t>Мясниковский район, поселок Красный Крым, 5-й км автодороги Ростов-Новошахтинск</t>
  </si>
  <si>
    <t>RO2861</t>
  </si>
  <si>
    <t>Азовский район, поселок Суходольск</t>
  </si>
  <si>
    <t>RO0475</t>
  </si>
  <si>
    <t>Мясниковский район, село Большие Салы, улица Советская, участок 17-В</t>
  </si>
  <si>
    <t>RO2864</t>
  </si>
  <si>
    <t>Область Ростовская, Район Октябрьский, Станица Кривянская, Улица Кирпичная, Дом 88</t>
  </si>
  <si>
    <t>RO0478</t>
  </si>
  <si>
    <t>г. Таганрог, ул. Лесная Биржа 2</t>
  </si>
  <si>
    <t>RO2865</t>
  </si>
  <si>
    <t>Ростовская область, г Ростов-на-Дону, ул Лелюшенко, д. 19/4.</t>
  </si>
  <si>
    <t>RO0480</t>
  </si>
  <si>
    <t>Неклиновский район, село Покровское, переулок Комсомольский, 43/1</t>
  </si>
  <si>
    <t>RO2867</t>
  </si>
  <si>
    <t xml:space="preserve">Ростовская Область, Октябрьский Район, Яново-Грушевский Хутор(напротив дома по ул.Горная 15). </t>
  </si>
  <si>
    <t>RO0481</t>
  </si>
  <si>
    <t>Неклиновский район, село Покровское, улица О. Кошевого, 26</t>
  </si>
  <si>
    <t>RO2868</t>
  </si>
  <si>
    <t>Новочеркасск Город, Московская Улица\д.1/90</t>
  </si>
  <si>
    <t>RO0482</t>
  </si>
  <si>
    <t>Матвеево-Курганский район, село Малокирсановка, пересечение улицы Корниенко и переулка Северный</t>
  </si>
  <si>
    <t>RO2871</t>
  </si>
  <si>
    <t>Ростовская Область, Аксайский Район, Аксай Город, Аксайский Проспект, дом 5Б.</t>
  </si>
  <si>
    <t>RO0483</t>
  </si>
  <si>
    <t>Неклиновский район, село Покровское, переулок Степной, 21А</t>
  </si>
  <si>
    <t>RO2872</t>
  </si>
  <si>
    <t>Ростов-на-Дону Город, Ченцова Улица, дом 12</t>
  </si>
  <si>
    <t>RO0484</t>
  </si>
  <si>
    <t>Неклиновский район, село Троицкое, улица Строителей, 1</t>
  </si>
  <si>
    <t>RO2874</t>
  </si>
  <si>
    <t>Аксайский р-н, ст-ца Грушевская, Революционный переулок, 2</t>
  </si>
  <si>
    <t>RO0485</t>
  </si>
  <si>
    <t>Неклиновский район, село Ефремовка</t>
  </si>
  <si>
    <t>RO2876</t>
  </si>
  <si>
    <t>Ростовская область, г Ростов-на-Дону, пл Привокзальная, д. 3.</t>
  </si>
  <si>
    <t>RO0486</t>
  </si>
  <si>
    <t>Неклиновский район, село Носово</t>
  </si>
  <si>
    <t>RO2878</t>
  </si>
  <si>
    <t>Ростов-на-Дону Город, Михаила Нагибина Проспект, дом 27</t>
  </si>
  <si>
    <t>RO0487</t>
  </si>
  <si>
    <t>Неклиновский район, село Покровское, улица Ленина, 276А</t>
  </si>
  <si>
    <t>RO2881</t>
  </si>
  <si>
    <t>Ростов-на-Дону Город, Шолохова Проспект, дом 85</t>
  </si>
  <si>
    <t>RO0488</t>
  </si>
  <si>
    <t>Матвеево-Курганский район, село  Марфинка</t>
  </si>
  <si>
    <t>RO2882</t>
  </si>
  <si>
    <t>Ростовская Область, Новочеркасск Город, Первомайская Улица\д.142/40</t>
  </si>
  <si>
    <t>RO0489</t>
  </si>
  <si>
    <t>Матвеево-Курганский район, 3км восточнее поселка Матвеев Курган, башня РТПЦ</t>
  </si>
  <si>
    <t>RO2883</t>
  </si>
  <si>
    <t>Красный Сулин Город, Скелеватский 4-й Переулок</t>
  </si>
  <si>
    <t>RO0490</t>
  </si>
  <si>
    <t>Матвеево-Курганский район, поселок Матвеев Курган, улица Славы, 6</t>
  </si>
  <si>
    <t>RO2885</t>
  </si>
  <si>
    <t>Ростов-на-Дону Город, Красноаксайская Улица\2</t>
  </si>
  <si>
    <t>RO0491</t>
  </si>
  <si>
    <t>Матвеево-Курганский район, поселок Матвеев Курган, улица Пугачева, 116</t>
  </si>
  <si>
    <t>RO2886</t>
  </si>
  <si>
    <t>Ростовская область, Октябрьский р-н, п Персиановский, ул Мичурина (Примерно 20м. на запад от границ участка в районе железной дороги, Лит. Г 32)</t>
  </si>
  <si>
    <t>RO0492</t>
  </si>
  <si>
    <t xml:space="preserve">Матвеево-Курганский район, поселок Матвеев-Курган, улица Донецкая 1 </t>
  </si>
  <si>
    <t>RO2888</t>
  </si>
  <si>
    <t xml:space="preserve"> Область Ростовская, Город Ростов-на-Дону, Улица Социалистическая, Дом 74</t>
  </si>
  <si>
    <t>RO0493</t>
  </si>
  <si>
    <t>Куйбышевский район, 2,5 км юго-восточнее села Куйбышево, башня РТПЦ</t>
  </si>
  <si>
    <t>RO2890</t>
  </si>
  <si>
    <t>Область Ростовская, Город Шахты, Улица Объединенная, Здание 1</t>
  </si>
  <si>
    <t>RO0494</t>
  </si>
  <si>
    <t>Куйбышевский район, село Лысогорка</t>
  </si>
  <si>
    <t>RO2891</t>
  </si>
  <si>
    <t>Новочеркасск Город, Макаренко Улица, дом 2</t>
  </si>
  <si>
    <t>RO0495</t>
  </si>
  <si>
    <t>Матвеево-Курганский район, село Авило-Успенка, улица Ленина, 56</t>
  </si>
  <si>
    <t>RO2895</t>
  </si>
  <si>
    <t>Октябрьский р-н, рп Каменоломни, ул Дзержинского, д. 146.</t>
  </si>
  <si>
    <t>RO0496</t>
  </si>
  <si>
    <t>г. Таганрог, ул. Бакинская,65</t>
  </si>
  <si>
    <t>RO2899</t>
  </si>
  <si>
    <t>Область Ростовская, Город Ростов-на-Дону, Переулок Магаданский, Дом 2</t>
  </si>
  <si>
    <t>RO0497</t>
  </si>
  <si>
    <t>Куйбышевский район, село Куйбышево, улица Ростовская, 5</t>
  </si>
  <si>
    <t>RO2905</t>
  </si>
  <si>
    <t>Область Ростовская, Город Ростов-на-Дону, Улица Немировича-Данченко, Дом 21</t>
  </si>
  <si>
    <t>RO0499</t>
  </si>
  <si>
    <t>Неклиновский район, село Андреево-Мелентьево</t>
  </si>
  <si>
    <t>RO2906</t>
  </si>
  <si>
    <t>Ростовская область, г Ростов-на-Дону, ул Ярослава Галана (28).</t>
  </si>
  <si>
    <t>RO0820</t>
  </si>
  <si>
    <t>Миллеровский район, г. Миллерово, улица III Интернационала, 66</t>
  </si>
  <si>
    <t>RO2907</t>
  </si>
  <si>
    <t xml:space="preserve"> 30:трубостойки на АМС БК Пилар</t>
  </si>
  <si>
    <t>Область Ростовская, Город Ростов-на-Дону, Улица Нансена\103и бокс 11</t>
  </si>
  <si>
    <t>RO0822</t>
  </si>
  <si>
    <t>Мясниковский район, с. Чалтырь, ул. Октябрьская, 132Б</t>
  </si>
  <si>
    <t>RO2909</t>
  </si>
  <si>
    <t>Область Ростовская, Город Ростов-на-Дону, Улица Коровкина, Дом 76</t>
  </si>
  <si>
    <t>RO0881</t>
  </si>
  <si>
    <t>Область Ростовская, Город Таганрог, Переулок 18-й 1/1</t>
  </si>
  <si>
    <t>RO2910</t>
  </si>
  <si>
    <t>Область Ростовская, Город Ростов-на-Дону, Улица Донская  34</t>
  </si>
  <si>
    <t>RO0960</t>
  </si>
  <si>
    <t>RO2911</t>
  </si>
  <si>
    <t>Куйбышевский район, село Миллерово</t>
  </si>
  <si>
    <t>Область Ростовская, Город Ростов-на-Дону, Переулок Чувашский\14</t>
  </si>
  <si>
    <t>RO1002</t>
  </si>
  <si>
    <t>RO2913</t>
  </si>
  <si>
    <t>Матвеево-Курганский район, село Новониколаевка</t>
  </si>
  <si>
    <t>Область Ростовская, Город Ростов-на-Дону, Улица 40-я линия, Дом 57/31\Улица 40-я линия/ ул. Буйнакская, Дом 57/31</t>
  </si>
  <si>
    <t>RO1090</t>
  </si>
  <si>
    <t>RO2914</t>
  </si>
  <si>
    <t>Район Неклиновский, Хутор Некрасовка, Улица Центральная</t>
  </si>
  <si>
    <t>Ростовская область, Аксайский р-н, г Аксай, ул Западная, д. 4.</t>
  </si>
  <si>
    <t>RO1092</t>
  </si>
  <si>
    <t>RO2915</t>
  </si>
  <si>
    <t xml:space="preserve">c.Куйбышево, Улица Дмитриевская(примерно 6 метров на восток от здания 31) </t>
  </si>
  <si>
    <t xml:space="preserve"> 21:собст. АМС до 10 м на крыше</t>
  </si>
  <si>
    <t>Область Ростовская, Город Батайск, Улица Родная, Дом 1</t>
  </si>
  <si>
    <t>RO1095</t>
  </si>
  <si>
    <t>RO2918</t>
  </si>
  <si>
    <t>Куйбышевский район, хут. Новобахмутский</t>
  </si>
  <si>
    <t>Область Ростовская, Город Ростов-на-Дону, Улица Коллективная, Дом 72</t>
  </si>
  <si>
    <t>RO1137</t>
  </si>
  <si>
    <t>RO2919</t>
  </si>
  <si>
    <t>Куйбышевский Район, х. Новая Надежда, ул. Юбилейная 26-а</t>
  </si>
  <si>
    <t>Область Ростовская, Город Ростов-на-Дону, Улица Берберовская, Дом 6, Строение 1</t>
  </si>
  <si>
    <t>RO1156</t>
  </si>
  <si>
    <t>RO2920</t>
  </si>
  <si>
    <t>Неклиновский Район, Бессергеновка Село</t>
  </si>
  <si>
    <t>Ростовская область, г Ростов-на-Дону, ул Вятская, д. 39/2 (в районе дома).</t>
  </si>
  <si>
    <t>RO1157</t>
  </si>
  <si>
    <t>RO2921</t>
  </si>
  <si>
    <t>Ростовская Область, Таганрог Город, Педагог Дачный поселок\Северо-Западное шоссе, 3-2</t>
  </si>
  <si>
    <t>Ростов-на-Дону, Проспект Космонавтов, Дом 27/4\рядом с домом</t>
  </si>
  <si>
    <t>RO2922</t>
  </si>
  <si>
    <t>RO1158</t>
  </si>
  <si>
    <t>Ростовская Область, Ростов-на-Дону Город, Комарова Бульвар, дом 20/1</t>
  </si>
  <si>
    <t>Неклиновский Район, Боркин Хутор, Горный Переулок</t>
  </si>
  <si>
    <t>RO2923</t>
  </si>
  <si>
    <t>RO1171</t>
  </si>
  <si>
    <t>Область Ростовская, Город Ростов-на-Дону, Улица Штахановского, Дом 16</t>
  </si>
  <si>
    <t>Область Ростовская, Район Мясниковский, Хутор Веселый, Улица Красноармейская, Земельный участок 19\8 м западнее ул. Красноармейская, 19-а</t>
  </si>
  <si>
    <t>RO2924</t>
  </si>
  <si>
    <t>RO1172</t>
  </si>
  <si>
    <t>Область Ростовская, Город Ростов-на-Дону, Улица Лелюшенко, Дом 13/1</t>
  </si>
  <si>
    <t>Область Ростовская, Район Мясниковский, Село Султан-Салы, Улица Мясникяна, Здание 10а\ул.Мясникяна, 10/1 ЗУ</t>
  </si>
  <si>
    <t>RO2925</t>
  </si>
  <si>
    <t>Ростовская Область, Ростов-на-Дону Город, Думенко Улица, дом 13</t>
  </si>
  <si>
    <t>RO1174</t>
  </si>
  <si>
    <t>Мясниковский р-н, х Хапры, пер Сафьяновский, двлд. 8 (5 м. по направлению на северо-восток).</t>
  </si>
  <si>
    <t>RO2927</t>
  </si>
  <si>
    <t>Область Ростовская, Город Ростов-на-Дону, Улица Оганова 20, Строение 1</t>
  </si>
  <si>
    <t>RO1210</t>
  </si>
  <si>
    <t>Ростовская Область, Таганрог Город, Бабушкина Улица, дом 50</t>
  </si>
  <si>
    <t>RO2934</t>
  </si>
  <si>
    <t>г. Азов, Проезд Объездной\15</t>
  </si>
  <si>
    <t>RO1211</t>
  </si>
  <si>
    <t>Ростовская Область, Таганрог Город, Морозова Улица, дом 6</t>
  </si>
  <si>
    <t>RO2936</t>
  </si>
  <si>
    <t>Азов Город, Васильева Улица\92/1</t>
  </si>
  <si>
    <t>RO1213</t>
  </si>
  <si>
    <t xml:space="preserve">Таганрог Город, Котовского Улица, дом 23 </t>
  </si>
  <si>
    <t>RO2937</t>
  </si>
  <si>
    <t>Область Ростовская, Город Азов, Улица Московская, Дом 76</t>
  </si>
  <si>
    <t>RO1233</t>
  </si>
  <si>
    <t xml:space="preserve">Ростовская Область,г.Таганрог, пл.Мира 7, </t>
  </si>
  <si>
    <t>RO2938</t>
  </si>
  <si>
    <t>Область Ростовская, Район Аксайский, Город Аксай, Улица Подтелкова, Домовладение 38</t>
  </si>
  <si>
    <t>RO1249</t>
  </si>
  <si>
    <t>Район Неклиновский, Хутор Красный Десант, Улица Октябрьская, Здание 10</t>
  </si>
  <si>
    <t>RO2939</t>
  </si>
  <si>
    <t>Ростовская Область, Аксайский Район, Аксай Город, Садовая Улица, дом 20</t>
  </si>
  <si>
    <t>RO1300</t>
  </si>
  <si>
    <t>Ростовская Область, Таганрог Город, Ленина Улица, дом 159</t>
  </si>
  <si>
    <t>RO2944</t>
  </si>
  <si>
    <t>Область Ростовская, Город Батайск, Улица Белорусская вблизи д. 113</t>
  </si>
  <si>
    <t>RO1322</t>
  </si>
  <si>
    <t>Область Ростовская, Район Матвеево-Курганский, Поселок Ленинский, Улица Центральная\29А, примерно 28 м по направлению на запад</t>
  </si>
  <si>
    <t>RO2954</t>
  </si>
  <si>
    <t>Область Ростовская, Город Шахты, Проспект Ленинского Комсомола, Земельный участок 37д</t>
  </si>
  <si>
    <t>RO1324</t>
  </si>
  <si>
    <t>Матвеево-Курганский р-н, с Марьевка (пересечение пер. 40 лет Победы и ул. Парамонова).</t>
  </si>
  <si>
    <t>RO2985</t>
  </si>
  <si>
    <t>Область Ростовская, Город Гуково, Улица Комсомольская, Дом 97а</t>
  </si>
  <si>
    <t>RO1385</t>
  </si>
  <si>
    <t>Матвеево-Курганский р-н, х. Лесной</t>
  </si>
  <si>
    <t>RO2992</t>
  </si>
  <si>
    <t>г Новочеркасск, ул Буденновская, д. 271.</t>
  </si>
  <si>
    <t>RO1387</t>
  </si>
  <si>
    <t>Матвеево-Курганский р-н, х. Красная Горка</t>
  </si>
  <si>
    <t>RO2993</t>
  </si>
  <si>
    <t>г.Новочеркасск пр.Баклановский/ул.Ященко</t>
  </si>
  <si>
    <t>RO1392</t>
  </si>
  <si>
    <t>Таганрог, Улица Дзержинского\между ул.Фрунзе и Привокзальная площадь</t>
  </si>
  <si>
    <t>RO2996</t>
  </si>
  <si>
    <t>Ростовская Область, Новочеркасск Город, Красный Спуск\д.21</t>
  </si>
  <si>
    <t>RO1480</t>
  </si>
  <si>
    <t>Неклиновский район, село Покровское, переулок Вокзальный 74а</t>
  </si>
  <si>
    <t>RO9001</t>
  </si>
  <si>
    <t>Ростовская Область, Новошахтинск Город, Ленина Проспект, дом 4</t>
  </si>
  <si>
    <t>RO1731</t>
  </si>
  <si>
    <t>Матвеево-Курганский р-н, х Малоекатериновка (30 м южнее ул. Центральная 32).</t>
  </si>
  <si>
    <t>RO9005</t>
  </si>
  <si>
    <t>Ростовская Область, Ростов-на-Дону Город, Газетный Переулок, дом 49</t>
  </si>
  <si>
    <t>RO1765</t>
  </si>
  <si>
    <t>Неклиновский р-н, х Родионовка, ул Ленина, влд. 40а (севернее Дома Культуры 50 м);</t>
  </si>
  <si>
    <t>RO9601</t>
  </si>
  <si>
    <t>Область Ростовская, Город Шахты, Проспект Карла Маркса, Владение 106</t>
  </si>
  <si>
    <t>RO1766</t>
  </si>
  <si>
    <t>Неклиновский р-н, х Таврический, ул Мира (30 м на север от дома №36А);</t>
  </si>
  <si>
    <t>RO0554</t>
  </si>
  <si>
    <t>Миллеровский район, 1,5 км юго-западнее слободы Криворожье, вышка ОАО "Вымпелком"</t>
  </si>
  <si>
    <t xml:space="preserve">Каменск </t>
  </si>
  <si>
    <t>RO1774</t>
  </si>
  <si>
    <t>Матвеево-Курганский р-н, х. Иваново-Ясиновка</t>
  </si>
  <si>
    <t>RO0564</t>
  </si>
  <si>
    <t>Каменский район, хутор Волченский</t>
  </si>
  <si>
    <t>RO1848</t>
  </si>
  <si>
    <t>Ростовская область, Матвеево-Курганский р-н, п Крынка, ул Ростовская.</t>
  </si>
  <si>
    <t>RO0567</t>
  </si>
  <si>
    <t>Красносулинский район, хутор Лихой, улица Ленина, 65</t>
  </si>
  <si>
    <t>RO1887</t>
  </si>
  <si>
    <t>Область Ростовская, Город Таганрог, Улица Поляковское Шоссе, Дом 26-1</t>
  </si>
  <si>
    <t>RO0571</t>
  </si>
  <si>
    <t>г. Гуково, улица Комсомольская, 46</t>
  </si>
  <si>
    <t>RO1902</t>
  </si>
  <si>
    <t xml:space="preserve"> Ростовская Область, Таганрог Город, Спартаковский Переулок, дом 3</t>
  </si>
  <si>
    <t>RO0581</t>
  </si>
  <si>
    <t>г. Гуково, поселок Алмазный, улица Школьная, д.8</t>
  </si>
  <si>
    <t>RO1931</t>
  </si>
  <si>
    <t>Ростовская Область, Матвеево-Курганский Район\2 км. Западнее с. Анастасиевка, АМС ФГУП РТРС</t>
  </si>
  <si>
    <t>RO0585</t>
  </si>
  <si>
    <t>г. Донецк, улица Ульянова, д.9а</t>
  </si>
  <si>
    <t>RO1969</t>
  </si>
  <si>
    <t>Область Ростовская, Город Таганрог, Улица Морозова, Земельный участок 20-б</t>
  </si>
  <si>
    <t>RO0587</t>
  </si>
  <si>
    <t>г. Гуково, улица Шахтерская, 69</t>
  </si>
  <si>
    <t>RO1973</t>
  </si>
  <si>
    <t>Область Ростовская, Город Таганрог, Улица 2-я Песочная\примерно 37м.на Восток от д.48А</t>
  </si>
  <si>
    <t>RO0594</t>
  </si>
  <si>
    <t>г. Гуково, улица Волгодонская 9</t>
  </si>
  <si>
    <t>RO2026</t>
  </si>
  <si>
    <t>г. Таганрог, улица Чехова, 334</t>
  </si>
  <si>
    <t>RO0595</t>
  </si>
  <si>
    <t>Красносулинский район, 80 м юго-восточнее пересечения улицы Герцена и улицы Бургустинская г. Гуково</t>
  </si>
  <si>
    <t>RO2027</t>
  </si>
  <si>
    <t>RO0596</t>
  </si>
  <si>
    <t>г. Гуково, улица Ленина, 39А</t>
  </si>
  <si>
    <t>г. Таганрог,улица Москатова, 31</t>
  </si>
  <si>
    <t>RO0597</t>
  </si>
  <si>
    <t>RO2028</t>
  </si>
  <si>
    <t>Каменский район, хутор Красновка, улица Профильная, 123</t>
  </si>
  <si>
    <t>г. Таганрог Николаевское шоссе 30</t>
  </si>
  <si>
    <t>RO0609</t>
  </si>
  <si>
    <t>RO2029</t>
  </si>
  <si>
    <t>г. Гуково, улица Шахтерская, 40</t>
  </si>
  <si>
    <t>г. Таганрог, улица Социалистическая 161</t>
  </si>
  <si>
    <t>RO0611</t>
  </si>
  <si>
    <t>RO2030</t>
  </si>
  <si>
    <t>г. Гуково, улица Маркса, 96</t>
  </si>
  <si>
    <t>Неклиновский район, хутор Максимов</t>
  </si>
  <si>
    <t>RO0612</t>
  </si>
  <si>
    <t>RO2032</t>
  </si>
  <si>
    <t>г. Каменск-Шахтинский, улица Ретрансляторная, 1</t>
  </si>
  <si>
    <t>Ростовская Область, г.Таганрог, ул.Кузнечная 167/8</t>
  </si>
  <si>
    <t>RO0613</t>
  </si>
  <si>
    <t>RO2033</t>
  </si>
  <si>
    <t>г. Каменск-Шахтинский, улица Заводская, 58</t>
  </si>
  <si>
    <t>Неклиновский район, село Синявское</t>
  </si>
  <si>
    <t>RO0617</t>
  </si>
  <si>
    <t>RO2035</t>
  </si>
  <si>
    <t>Каменск-Шахтинский, Микрорайон Лиховской, Переулок Семенкова, Дом 15</t>
  </si>
  <si>
    <t>Неклиновский район, хут. Морской Чулек</t>
  </si>
  <si>
    <t>RO0619</t>
  </si>
  <si>
    <t>RO2036</t>
  </si>
  <si>
    <t>г. Донецк, улица Ленина, д.30</t>
  </si>
  <si>
    <t>Таганрог Город, Комарова Улица, д.7</t>
  </si>
  <si>
    <t>RO0620</t>
  </si>
  <si>
    <t>RO2038</t>
  </si>
  <si>
    <t>г. Зверево, улица Обухова, 7</t>
  </si>
  <si>
    <t>Неклиновский район, хутор Николаево-Козловский</t>
  </si>
  <si>
    <t>RO0622</t>
  </si>
  <si>
    <t>RO2039</t>
  </si>
  <si>
    <t>г. Каменск-Шахтинский  пр.  Карла  Маркса  62</t>
  </si>
  <si>
    <t>Неклиновский район, хутор Русский Колодец</t>
  </si>
  <si>
    <t>RO0623</t>
  </si>
  <si>
    <t>RO2040</t>
  </si>
  <si>
    <t>Тарасовский район, поселок Тарасовский, Рудовская гора, башня ОАО "Вымпелком"</t>
  </si>
  <si>
    <t>Таганрог Город, Нестерова Улица, дом 7</t>
  </si>
  <si>
    <t>RO0625</t>
  </si>
  <si>
    <t>RO2041</t>
  </si>
  <si>
    <t>г. Каменск-Шахтинский, поселок Заводской, улица Заводская, 8</t>
  </si>
  <si>
    <t>Неклиновский район, слобода Советка</t>
  </si>
  <si>
    <t>RO0626</t>
  </si>
  <si>
    <t>RO2043</t>
  </si>
  <si>
    <t>Миллеровский район, г. Миллерово, улица III Интернационала, 60</t>
  </si>
  <si>
    <t>Неклиновский район, село Лакедемоновка</t>
  </si>
  <si>
    <t>RO2046</t>
  </si>
  <si>
    <t>Неклиновский район, село Марьевка</t>
  </si>
  <si>
    <t>RO0627</t>
  </si>
  <si>
    <t>Миллеровский район, г. Миллерово, улица Шолохова, 1</t>
  </si>
  <si>
    <t>RO2049</t>
  </si>
  <si>
    <t>Куйбышевский район, хутор Кринично-Лугский</t>
  </si>
  <si>
    <t>RO0629</t>
  </si>
  <si>
    <t>Каменский район, поселок Глубокий, улица Садовая, 69</t>
  </si>
  <si>
    <t>RO2050</t>
  </si>
  <si>
    <t>Куйбышевский район, 1,5 км на запад от хутора Крюково.</t>
  </si>
  <si>
    <t>RO0630</t>
  </si>
  <si>
    <t>Чертковский район, поселок Чертково, ж/д станция Чертково</t>
  </si>
  <si>
    <t>RO2117</t>
  </si>
  <si>
    <t>Ростовская Область, Куйбышевский Район, Куйбышево Село, Куйбышевская Улица\34</t>
  </si>
  <si>
    <t>RO0632</t>
  </si>
  <si>
    <t>г. Донецк, пересечение улицы Комсомольская и улицы Индустриальная</t>
  </si>
  <si>
    <t>RO2118</t>
  </si>
  <si>
    <t>Ростовская Область, Матвеево-Курганский Район, Матвеев Курган Поселок, Комсомольская Улица\108</t>
  </si>
  <si>
    <t>RO0633</t>
  </si>
  <si>
    <t>г. Зверево, улица Советская, 89</t>
  </si>
  <si>
    <t>RO2186</t>
  </si>
  <si>
    <t>Таганрог Город, Смирновский Переулок, дом 52</t>
  </si>
  <si>
    <t>RO0637</t>
  </si>
  <si>
    <t>Красносулинский Район, Михайловка Хутор, Доброхотских Улица,1км юго-западнее дома 24 по ул. Доброхотских</t>
  </si>
  <si>
    <t>RO2187</t>
  </si>
  <si>
    <t>Таганрог Город, Адмирала Шестакова Улица, дом 25,  5-й переулок</t>
  </si>
  <si>
    <t>RO0638</t>
  </si>
  <si>
    <t>Миллеровский район, 1,5 км северо-восточнее слободы Дегтево, вышка РТПЦ</t>
  </si>
  <si>
    <t>RO2188</t>
  </si>
  <si>
    <t>г. Таганрог, ул. Ленина, 212 к4</t>
  </si>
  <si>
    <t>RO0639</t>
  </si>
  <si>
    <t>Область Ростовская, Город Ростов-на-Дону, Сад Звезда.СП Звезда участок 60</t>
  </si>
  <si>
    <t>RO2241</t>
  </si>
  <si>
    <t>Мясниковский Район, Валуево Село, Бригадная Улица, дом 1\а</t>
  </si>
  <si>
    <t>RO0640</t>
  </si>
  <si>
    <t>Кашарский район, слобода Кашары, башня ОАО "Вымпелком"</t>
  </si>
  <si>
    <t>RO2267</t>
  </si>
  <si>
    <t>Ростовская область, Куйбышевский р-н, с Новиковка, ул Победы, д. 28 (50 м севернее).</t>
  </si>
  <si>
    <t>RO0647</t>
  </si>
  <si>
    <t>г. Донецк, улица Тимирязева, 45</t>
  </si>
  <si>
    <t>RO2268</t>
  </si>
  <si>
    <t>Куйбышевский р-н, с Русское, пер Горный (140 м на юго запад от школы).</t>
  </si>
  <si>
    <t>RO0648</t>
  </si>
  <si>
    <t>г. Каменск-Шахтинский, улица Кирова, 67</t>
  </si>
  <si>
    <t>RO2287</t>
  </si>
  <si>
    <t>Неклиновский р-н, х Приют, ул Космическая (75 м на северо восток от №47А);</t>
  </si>
  <si>
    <t>RO0649</t>
  </si>
  <si>
    <t>Каменский район, хутор Старая станица, улица Буденного, 248</t>
  </si>
  <si>
    <t>RO2292</t>
  </si>
  <si>
    <t>Область Ростовская, Район Неклиновский, Хутор Рожок, Улица Северная, Дом 27\13 м по направлению на запад</t>
  </si>
  <si>
    <t>RO0653</t>
  </si>
  <si>
    <t>г. Каменск-Шахтинский, улица Освобождения, 48А</t>
  </si>
  <si>
    <t>RO2293</t>
  </si>
  <si>
    <t>Матвеево-Курганский Район, Большая Кирсановка Хутор, Советская Улица</t>
  </si>
  <si>
    <t>RO0654</t>
  </si>
  <si>
    <t>г. Донецк, 3-й микрорайон, д. 5</t>
  </si>
  <si>
    <t>RO2338</t>
  </si>
  <si>
    <t>Область Ростовская, Район Неклиновский, Село Николаевка, Сад Арго\15 метров восточнее участка 77</t>
  </si>
  <si>
    <t>RO0663</t>
  </si>
  <si>
    <t>г. Гуково, улица Нахимова, 21</t>
  </si>
  <si>
    <t>RO2401</t>
  </si>
  <si>
    <t>Область Ростовская, Район Матвеево-Курганский, Село Камышевка</t>
  </si>
  <si>
    <t>RO0664</t>
  </si>
  <si>
    <t>г. Гуково, улица Шахтерская, 21</t>
  </si>
  <si>
    <t>RO2419</t>
  </si>
  <si>
    <t>Область Ростовская, Район Матвеево-Курганский, Разъезд Закадычное, Улица Железнодорожная</t>
  </si>
  <si>
    <t>RO0665</t>
  </si>
  <si>
    <t>г. Гуково, улица Свободы,1</t>
  </si>
  <si>
    <t>RO2434</t>
  </si>
  <si>
    <t>Область Ростовская, Район Матвеево-Курганский, Хутор Авило-Федоровка, Улица Победы, Дом 1\20 м на юг</t>
  </si>
  <si>
    <t>RO0667</t>
  </si>
  <si>
    <t>г. Каменск-Шахтинский, поселок Лиховской, улица Советская, 60 В</t>
  </si>
  <si>
    <t>RO2438</t>
  </si>
  <si>
    <t>Ростовская область, Матвеево-Курганский, х. Краснодаровский</t>
  </si>
  <si>
    <t>RO0681</t>
  </si>
  <si>
    <t>Чертковский район, 3,5 км западнее села Алексеево-Лозовское, 801-й км автотрассы М-4</t>
  </si>
  <si>
    <t>RO2795</t>
  </si>
  <si>
    <t>Область Ростовская, Район Матвеево-Курганский, Село Новоандриановка, Улица Школьная 30\2</t>
  </si>
  <si>
    <t>RO0682</t>
  </si>
  <si>
    <t>г. Зверево, улица Обухова, 14</t>
  </si>
  <si>
    <t>RO2887</t>
  </si>
  <si>
    <t>Город Таганрог, Переулок Трудовых Резервов, Дом 10. НА КАЛИТКЕ КОДОВЫЙ ЗАМОК 2887</t>
  </si>
  <si>
    <t>RO0684</t>
  </si>
  <si>
    <t>Миллеровский район, разъезд Бочёнков, ЖДУС</t>
  </si>
  <si>
    <t>RO2892</t>
  </si>
  <si>
    <t xml:space="preserve">Таганрог, Большая Бульварная улица 10-24, </t>
  </si>
  <si>
    <t>RO0685</t>
  </si>
  <si>
    <t>Каменский район, 1,2 км юго-западнее поселка Чистоозерный</t>
  </si>
  <si>
    <t>RO2968</t>
  </si>
  <si>
    <t>Таганрог Город, Петровская Улица, дом 89Б</t>
  </si>
  <si>
    <t>RO0686</t>
  </si>
  <si>
    <t>г. Донецк, поселок Гундоровский, пересечение улицы Калинина и улицы Тельмана</t>
  </si>
  <si>
    <t>RO2971</t>
  </si>
  <si>
    <t>Область Ростовская, Город Таганрог, Улица Дзержинского,вблизи д. 103</t>
  </si>
  <si>
    <t>RO0687</t>
  </si>
  <si>
    <t>Миллеровский район, станица Мальчевская, улица Железнодорожная, 2</t>
  </si>
  <si>
    <t>RO2972</t>
  </si>
  <si>
    <t>Город Таганрог, Проезд Калужский, Дом 3/11</t>
  </si>
  <si>
    <t>RO0688</t>
  </si>
  <si>
    <t>Чертковский район, 2,5 км восточнее села Маньково-Калитвенское, башня ОАО "МТС"</t>
  </si>
  <si>
    <t>RO2974</t>
  </si>
  <si>
    <t>Таганрог Город, Артиллерийский 14-й Переулок, дом 21-А</t>
  </si>
  <si>
    <t>RO0689</t>
  </si>
  <si>
    <t>Чертковский район, село Михайлово-Александровка, улица Большевистская, 36а</t>
  </si>
  <si>
    <t>RO2975</t>
  </si>
  <si>
    <t>Таганрог Город, Ленина Улица, дом 220</t>
  </si>
  <si>
    <t>RO0691</t>
  </si>
  <si>
    <t>Красносулинский район, поселок Углеродовский, улица Восточная, хлебозавод</t>
  </si>
  <si>
    <t>RO2979</t>
  </si>
  <si>
    <t>Ростовская область, г Таганрог, ул Дачная, д. 201.</t>
  </si>
  <si>
    <t>RO0692</t>
  </si>
  <si>
    <t>Тарасовский район, хутор Верхний Митякин, башня ОАО "Вымпелком"</t>
  </si>
  <si>
    <t>RO2980</t>
  </si>
  <si>
    <t>Область Ростовская, Город Таганрог, Улица Шаумяна, Дом 20-1</t>
  </si>
  <si>
    <t>RO0693</t>
  </si>
  <si>
    <t>Миллеровский район, 600 м западнее села Волошино, башня ОАО "Вымпелком"</t>
  </si>
  <si>
    <t>RO2983</t>
  </si>
  <si>
    <t>Область Ростовская, Город Таганрог, Шоссе Северо-Западное, Дом 40\АМС ФГУП "РТРС"</t>
  </si>
  <si>
    <t>RO0695</t>
  </si>
  <si>
    <t>г. Гуково, улица Пригородная, 1г</t>
  </si>
  <si>
    <t>RO9087</t>
  </si>
  <si>
    <t>г. Таганрог, ул. Дзержинского, 144, ЮЗЭС</t>
  </si>
  <si>
    <t>RO0698</t>
  </si>
  <si>
    <t>г. Донецк, улица Краснова, 63</t>
  </si>
  <si>
    <t>RO9401</t>
  </si>
  <si>
    <t>Ростовская Область, Таганрог Город, Фрунзе Улица, дом 38</t>
  </si>
  <si>
    <t>RO0717</t>
  </si>
  <si>
    <t>Белокалитвенский район, поселок Синегорский, улица Маяковского, 20</t>
  </si>
  <si>
    <t>RO0299</t>
  </si>
  <si>
    <t>Ростовская область, Веселовский р-н, п Веселый, пер Комсомольский (2-б, АМС ФГУП "РТРС").</t>
  </si>
  <si>
    <t>RO0720</t>
  </si>
  <si>
    <t>Сальская NEW</t>
  </si>
  <si>
    <t>Белокалитвинский район, г. Белая Калитва, улица Заводская, 20</t>
  </si>
  <si>
    <t>RO0303</t>
  </si>
  <si>
    <t>Зерноградский район, г. Зерноград, улица Чехова, 1</t>
  </si>
  <si>
    <t>RO0721</t>
  </si>
  <si>
    <t>Белокалитвинский район, г. Белая Калитва, улица Крайняя, 4</t>
  </si>
  <si>
    <t>RO0304</t>
  </si>
  <si>
    <t>Зерноградский район, станица Мечетинская, улица Победы, 56</t>
  </si>
  <si>
    <t>RO0722</t>
  </si>
  <si>
    <t>Белокалитвинский район, г. Белая Калитва, улица Калинина, 6Б</t>
  </si>
  <si>
    <t>RO0316</t>
  </si>
  <si>
    <t>Зерноградский район, г. Зерноград, улица Чкалова, 6</t>
  </si>
  <si>
    <t>RO0726</t>
  </si>
  <si>
    <t>Морозовский район, станция Вальково</t>
  </si>
  <si>
    <t>RO0325</t>
  </si>
  <si>
    <t>Зерноградский район, г. Зерноград, переулок Западный, 17</t>
  </si>
  <si>
    <t>RO0727</t>
  </si>
  <si>
    <t>Тацинский район, станица Тацинская, улица Полевая,5</t>
  </si>
  <si>
    <t>RO0326</t>
  </si>
  <si>
    <t>Зерноградский район, станица Мечетинская, улица Советская, 28</t>
  </si>
  <si>
    <t>RO0730</t>
  </si>
  <si>
    <t>Белокалитвенский район, поселок Коксовый, улица Чкалова, 17</t>
  </si>
  <si>
    <t>RO0330</t>
  </si>
  <si>
    <t>Зерноградский район, хутор Гуляй-Борисовка, улица Зеленая, 1Б</t>
  </si>
  <si>
    <t>RO0732</t>
  </si>
  <si>
    <t>Тацинский район, поселок Углегорский, улица Гагарина, 8 А</t>
  </si>
  <si>
    <t>RO0341</t>
  </si>
  <si>
    <t>Зерноградский район, хутор Большая Таловая, улица Буденного, 1в</t>
  </si>
  <si>
    <t>RO0742</t>
  </si>
  <si>
    <t>Белокалитвинский район, поселок Сосны</t>
  </si>
  <si>
    <t>RO0349</t>
  </si>
  <si>
    <t>Зерноградский район, г. Зерноград, пересечение улицы Северная и улицы Пархоменко</t>
  </si>
  <si>
    <t>RO0743</t>
  </si>
  <si>
    <t>Белокалитвинский район, г. Белая Калитва, улица Октябрьская, 36</t>
  </si>
  <si>
    <t>RO0350</t>
  </si>
  <si>
    <t>Зерноградский район, г. Зерноград, улица Тельмана, 61</t>
  </si>
  <si>
    <t>RO0744</t>
  </si>
  <si>
    <t>Белокалитвинский район, г. Белая Калитва, улица Толстого, 95</t>
  </si>
  <si>
    <t>RO0372</t>
  </si>
  <si>
    <t>Зерноградский район, поселок Сорговый, улица Промышленная, 10</t>
  </si>
  <si>
    <t>RO0745</t>
  </si>
  <si>
    <t>Тацинский район, поселок Жирнов, улица Горная, 1</t>
  </si>
  <si>
    <t>RO0381</t>
  </si>
  <si>
    <t>Зерноградский район, поселок Крайний</t>
  </si>
  <si>
    <t>RO0752</t>
  </si>
  <si>
    <t>11:собст. мачта на оттяжках с земли выше 61м</t>
  </si>
  <si>
    <t>Каменский район, станция Репная</t>
  </si>
  <si>
    <t>RO0392</t>
  </si>
  <si>
    <t>RO0754</t>
  </si>
  <si>
    <t>Веселовский район, хутор Красный Октябрь</t>
  </si>
  <si>
    <t>Белокалитвенский район, поселок Шолоховский, улица Октябрьская, 2А</t>
  </si>
  <si>
    <t>RO0737</t>
  </si>
  <si>
    <t>RO0772</t>
  </si>
  <si>
    <t>Веселовский район, поселок Веселый, улица Элеваторная, 13</t>
  </si>
  <si>
    <t>Тацинский район, хутор Михайлов, башня ЗАО "РОСС"</t>
  </si>
  <si>
    <t>RO0784</t>
  </si>
  <si>
    <t>Веселовский район, хутор Верхнесоленый, улица Заречная, 32-а</t>
  </si>
  <si>
    <t>RO0773</t>
  </si>
  <si>
    <t>Белокалитвинский район, поселок Горняцкий, 100 м северо-восточнее д.№4 по улице Берегового</t>
  </si>
  <si>
    <t>RO0930</t>
  </si>
  <si>
    <t>Веселовский район, хутор Красное Знамя</t>
  </si>
  <si>
    <t>RO0775</t>
  </si>
  <si>
    <t>Тацинский район, станица Тацинская, пересечение улицы Калинина и переулка Невский</t>
  </si>
  <si>
    <t>RO0941</t>
  </si>
  <si>
    <t>Зерноградский Район, Чернышевка Хутор, Ленина Улица, дом 2\А</t>
  </si>
  <si>
    <t>RO0782</t>
  </si>
  <si>
    <t>Белокалитвинский район, хутор Рудаков</t>
  </si>
  <si>
    <t>RO1020</t>
  </si>
  <si>
    <t>Зерноградский Район, Донской Хутор, Цветной Бульвар Улица, дом 29\В</t>
  </si>
  <si>
    <t>RO0788</t>
  </si>
  <si>
    <t>Белокалитвинский район, хутор Богураев, 90 м северо-западнее д.№75 по улице Центральная</t>
  </si>
  <si>
    <t>RO1619</t>
  </si>
  <si>
    <t>RO0789</t>
  </si>
  <si>
    <t>Область Ростовская, Район Веселовский, Хутор Казачий, Улица Школьная, Здание 16\Примерно 8 м. на северо-запад от границ участка по у. Школьная, 16.</t>
  </si>
  <si>
    <t>Белокалитвинский район, поселок Коксовый, башня ОАО "МТС"</t>
  </si>
  <si>
    <t>RO1652</t>
  </si>
  <si>
    <t>RO0793</t>
  </si>
  <si>
    <t>Веселовский р-н, х Каракашев, ул Новая, д. 48 (200м на север от частного дома вдоль проселочной дороги);</t>
  </si>
  <si>
    <t>12:собст. металлический столб с заглубленным фундаментом</t>
  </si>
  <si>
    <t>г. Каменск-Шахтинский, улица Башкевича, 90</t>
  </si>
  <si>
    <t>RO1656</t>
  </si>
  <si>
    <t>RO0795</t>
  </si>
  <si>
    <t>Ростовская область, Зерноградский р-н, х Голубовка, ул Центральная</t>
  </si>
  <si>
    <t>Каменский район, хутор Малая Каменка, улица К.Маркса, 32</t>
  </si>
  <si>
    <t>RO1657</t>
  </si>
  <si>
    <t>RO0801</t>
  </si>
  <si>
    <t>Зерноградский Район, Краснюков Хутор, Молодежная Улица</t>
  </si>
  <si>
    <t>Шолоховский район, станица Вешенская, переулок Р.Люксембург, 41А</t>
  </si>
  <si>
    <t>RO1658</t>
  </si>
  <si>
    <t>RO0802</t>
  </si>
  <si>
    <t>Зерноградский Район, Пишванов Хутор, Молодежная Улица</t>
  </si>
  <si>
    <t>Шолоховский Район, Белогорский Хутор, Асфальтная Улица, 150 м. севернее дома №47</t>
  </si>
  <si>
    <t>RO1659</t>
  </si>
  <si>
    <t>RO0803</t>
  </si>
  <si>
    <t>Зерноградский р-н, х Попов (пересечение ул. Тимошенко и ул. 40 лет Победы).</t>
  </si>
  <si>
    <t>Шолоховский район, хутор Калининский, улица Степная, 2</t>
  </si>
  <si>
    <t>RO1662</t>
  </si>
  <si>
    <t>RO0804</t>
  </si>
  <si>
    <t>Ростовская область, Зерноградский р-н, х Средние Хороли, ул Лесная.</t>
  </si>
  <si>
    <t>Боковский район, хутор Земцов, улица Луговая, 83</t>
  </si>
  <si>
    <t>RO1666</t>
  </si>
  <si>
    <t>RO0805</t>
  </si>
  <si>
    <t>Ростовская область, Зерноградский р-н, п Прудовой.</t>
  </si>
  <si>
    <t>Боковский район, 1,6 км севернее станицы Каргинская, 300 м севернее указателя "114 км" автодороги Миллерово-Вешенская</t>
  </si>
  <si>
    <t>RO1844</t>
  </si>
  <si>
    <t>RO0806</t>
  </si>
  <si>
    <t>Веселовский р-н, х Верхний Хомутец (ул. Центральная, 22, 70м на восток от частного дома вдоль улицы).</t>
  </si>
  <si>
    <t>Верхнедонской район, хутор Тубянский, башня МУП РИЦ "Секрет"</t>
  </si>
  <si>
    <t>RO0807</t>
  </si>
  <si>
    <t>RO1976</t>
  </si>
  <si>
    <t>Верхнедонской район, хутор Нижнетиховский, улица Ермака, 14а</t>
  </si>
  <si>
    <t>Зерноградский р-н, село Ленинка</t>
  </si>
  <si>
    <t>RO1997</t>
  </si>
  <si>
    <t>RO0809</t>
  </si>
  <si>
    <t>Зерноградский р-н, п Комсомольский, ул Хлеборобов, д. 2 (Ж)</t>
  </si>
  <si>
    <t>Верхнедонской район, станица Мешковская, улица Сосновая, 1а</t>
  </si>
  <si>
    <t>RO1999</t>
  </si>
  <si>
    <t>RO0810</t>
  </si>
  <si>
    <t>Зерноградский р-он, ст-ца Мечетинская, ул. Ленина 43</t>
  </si>
  <si>
    <t>Верхнедонской район, станица Мигулинская, улица Элеваторная, 22</t>
  </si>
  <si>
    <t>RO0811</t>
  </si>
  <si>
    <t>RO2105</t>
  </si>
  <si>
    <t>Милютинский район, станица Милютинская, пересечение улицы Победы и переулка Надежды</t>
  </si>
  <si>
    <t>Ростовская Область, Веселовский Район, Веселый Поселок, Октябрьская Улица\178</t>
  </si>
  <si>
    <t>RO0812</t>
  </si>
  <si>
    <t>RO2109</t>
  </si>
  <si>
    <t>Чертковский район, хутор Нагибин</t>
  </si>
  <si>
    <t>Ростовская Область, Зерноградский Район, Мечетинская Станица, Ленина Улица\46</t>
  </si>
  <si>
    <t>RO0813</t>
  </si>
  <si>
    <t>RO2208</t>
  </si>
  <si>
    <t>Милютинский район, 2,3 км северо-западнее станицы Селивановская, вышка РТПЦ</t>
  </si>
  <si>
    <t>г. Зерноград, ул. Колодина 31</t>
  </si>
  <si>
    <t>RO0814</t>
  </si>
  <si>
    <t>RO2256</t>
  </si>
  <si>
    <t>Советский район, станица Советская, улица Южная, 3</t>
  </si>
  <si>
    <t>Ростовская область, Зерноградский р-н, х Каменный, ул Новая (в 50 м южнее перекрестка с ул. Мичурина).</t>
  </si>
  <si>
    <t>RO0816</t>
  </si>
  <si>
    <t>RO2307</t>
  </si>
  <si>
    <t>Область Ростовская, Район Миллеровский, Слобода Криворожье, Улица им Овчинникова, Здание 41</t>
  </si>
  <si>
    <t>Веселовский Район, п. Средний Маныч</t>
  </si>
  <si>
    <t>RO0817</t>
  </si>
  <si>
    <t>RO0005</t>
  </si>
  <si>
    <t>Чертковский район, хутор  Артамошкин, башня МРСК Юга.</t>
  </si>
  <si>
    <t>Ростов-на-Дону, улица Таганрогская 175</t>
  </si>
  <si>
    <t>Таганрогская NEW</t>
  </si>
  <si>
    <t>RO0818</t>
  </si>
  <si>
    <t>RO0006</t>
  </si>
  <si>
    <t>Кашарский район, село Каменка, улица Центральная, 15</t>
  </si>
  <si>
    <t>Ростов-на-Дону, улица Тракторная, 50</t>
  </si>
  <si>
    <t>RO0824</t>
  </si>
  <si>
    <t>RO0026</t>
  </si>
  <si>
    <t>Белокалитвинский район, 800м северо-западнее хутора Кононов, башня ОАО "Вымпелком"</t>
  </si>
  <si>
    <t>г. Ростов-на-Дону, улица Литвинова, 4</t>
  </si>
  <si>
    <t>RO0828</t>
  </si>
  <si>
    <t>RO0027</t>
  </si>
  <si>
    <t>Каменский район, станица Калитвенская</t>
  </si>
  <si>
    <t>г. Ростов-на-Дону, улица Разъезд Западный 7</t>
  </si>
  <si>
    <t>RO0829</t>
  </si>
  <si>
    <t>RO0031</t>
  </si>
  <si>
    <t>Область Ростовская, Город Каменск-Шахтинский, пос. Лиховской</t>
  </si>
  <si>
    <t>г. Ростов-на-Дону, улица 2-я Краснодарская, 145а</t>
  </si>
  <si>
    <t>RO0831</t>
  </si>
  <si>
    <t>Чертковский район, село Алексеево-Лозовское</t>
  </si>
  <si>
    <t>RO0033</t>
  </si>
  <si>
    <t>г. Ростов-на-Дону, улица Портовая, 543</t>
  </si>
  <si>
    <t>RO0835</t>
  </si>
  <si>
    <t>Белокалитвинский район, хутор Чапаев, улица Молодежная, 1, столб ОАО "Вымпелком"</t>
  </si>
  <si>
    <t>RO0034</t>
  </si>
  <si>
    <t>г. Ростов-на-Дону, улица Малиновского, 9</t>
  </si>
  <si>
    <t>RO0837</t>
  </si>
  <si>
    <t>Белокалитвинский район, хутор Ильинка</t>
  </si>
  <si>
    <t>RO0035</t>
  </si>
  <si>
    <t>г. Ростов-на-Дону, проспект Стачки, 194/2</t>
  </si>
  <si>
    <t>RO0845</t>
  </si>
  <si>
    <t>Ростовская область, Тацинский р-н, п Быстрогорский, ул Ленина, д. 1а</t>
  </si>
  <si>
    <t>RO0037</t>
  </si>
  <si>
    <t>г. Ростов-на-Дону, улица Доватора, 146</t>
  </si>
  <si>
    <t>RO0848</t>
  </si>
  <si>
    <t>Каменский район, хутор Астахов</t>
  </si>
  <si>
    <t>RO0038</t>
  </si>
  <si>
    <t>г. Ростов-на-Дону, улица Таганрогская, 106</t>
  </si>
  <si>
    <t>RO0849</t>
  </si>
  <si>
    <t>Миллеровский район, поселок Долотинка</t>
  </si>
  <si>
    <t>RO0039</t>
  </si>
  <si>
    <t>г. Ростов-на-Дону, улица Гагринская, 11а</t>
  </si>
  <si>
    <t>RO0851</t>
  </si>
  <si>
    <t>Белокалитвинский район, станица Краснодонецкая</t>
  </si>
  <si>
    <t>RO0043</t>
  </si>
  <si>
    <t>г. Ростов-на-Дону, проспект Коммунистический, 10/1</t>
  </si>
  <si>
    <t>RO0854</t>
  </si>
  <si>
    <t>Белокалитвинский район, хутор Нижнесеребряковский</t>
  </si>
  <si>
    <t>RO0045</t>
  </si>
  <si>
    <t>г. Ростов-на-Дону, улица Вавилова, 74б</t>
  </si>
  <si>
    <t>RO0857</t>
  </si>
  <si>
    <t>Красносулинский район, п. Тополевый, ул. Степная, 40</t>
  </si>
  <si>
    <t>RO0047</t>
  </si>
  <si>
    <t>г. Ростов-на-Дону, улица Мадояна, 205Б</t>
  </si>
  <si>
    <t>RO0859</t>
  </si>
  <si>
    <t>Красносулинский район, хутор Большая Федоровка</t>
  </si>
  <si>
    <t>RO0050</t>
  </si>
  <si>
    <t>г. Ростов-на-Дону, проспект Стачки, 224</t>
  </si>
  <si>
    <t>RO0894</t>
  </si>
  <si>
    <t xml:space="preserve">Шолоховский район, хутор Антиповский </t>
  </si>
  <si>
    <t>RO0051</t>
  </si>
  <si>
    <t>г. Ростов-на-Дону, улица Матросова, д.35</t>
  </si>
  <si>
    <t>RO0991</t>
  </si>
  <si>
    <t>Ростовская обл, Тарасовский р-н, Зеленовка х (Башня РТРС)</t>
  </si>
  <si>
    <t>RO0052</t>
  </si>
  <si>
    <t>г. Ростов-на-Дону, Переулок Радиальный, Дом 2</t>
  </si>
  <si>
    <t>RO0998</t>
  </si>
  <si>
    <t>Каменск-Шахтинский, Микрорайон Заводской, Улица Дорожная\43</t>
  </si>
  <si>
    <t>RO0065</t>
  </si>
  <si>
    <t>г. Ростов-на-Дону, улица Загорская, 24</t>
  </si>
  <si>
    <t>RO0999</t>
  </si>
  <si>
    <t>Чертковский район, 0,6 км к западу от перекрестка а/д М4-Дон - Сохрановка, башня МТС</t>
  </si>
  <si>
    <t>RO0067</t>
  </si>
  <si>
    <t>г. Ростов-на-Дону, улица Мичуринская, 107/36</t>
  </si>
  <si>
    <t>RO1005</t>
  </si>
  <si>
    <t>1км. По направлению на северо-восток от п. Тарасовский РО</t>
  </si>
  <si>
    <t>RO0068</t>
  </si>
  <si>
    <t>г. Ростов-на-Дону, улица Зорге, 19/162</t>
  </si>
  <si>
    <t>RO1021</t>
  </si>
  <si>
    <t>Шолоховский район, х. Кружилинский, ул. Школьная, 22Д</t>
  </si>
  <si>
    <t>RO0070</t>
  </si>
  <si>
    <t>г. Ростов-на-Дону, переулок 1-й Машиностроительный 1Г</t>
  </si>
  <si>
    <t>RO1032</t>
  </si>
  <si>
    <t>Область Ростовская, Район Каменский\АКХ "Колос", участок N 127г</t>
  </si>
  <si>
    <t>RO0079</t>
  </si>
  <si>
    <t>г. Ростов-на-Дону, улица Доватора 215 MTS 61-900</t>
  </si>
  <si>
    <t>RO1071</t>
  </si>
  <si>
    <t>г.Каменск-Шахтинский, снт Химик (земельный участок №396)</t>
  </si>
  <si>
    <t>RO0085</t>
  </si>
  <si>
    <t>Ростовская Область, Ростов-на-Дону Город, Днепроградская Улица</t>
  </si>
  <si>
    <t>RO1083</t>
  </si>
  <si>
    <t>Ростовская область, Шолоховский р-н, х Калининский, ул Центральная, зд. 17 (10 м южнее)</t>
  </si>
  <si>
    <t>RO0089</t>
  </si>
  <si>
    <t>г. Ростов-на-Дону, улица Крупской, 49</t>
  </si>
  <si>
    <t>RO1099</t>
  </si>
  <si>
    <t>Область Ростовская, Район Чертковский, Слобода Семено-Камышенская, Улица Центральная</t>
  </si>
  <si>
    <t>RO0091</t>
  </si>
  <si>
    <t>г. Ростов-на-Дону, улица Пескова, 1</t>
  </si>
  <si>
    <t>RO1110</t>
  </si>
  <si>
    <t xml:space="preserve">Красносулинский Район, х. Божковка, ул. Октябрьская </t>
  </si>
  <si>
    <t>RO0092</t>
  </si>
  <si>
    <t>г. Ростов-на-Дону, улица Монтажная, 6</t>
  </si>
  <si>
    <t>RO1119</t>
  </si>
  <si>
    <t>Область Ростовская, Район Миллеровский, Село Ольховый Рог, Улица Приозерная</t>
  </si>
  <si>
    <t>RO0096</t>
  </si>
  <si>
    <t>г. Ростов-на-Дону, проспект Коммунистический, 27</t>
  </si>
  <si>
    <t>RO1132</t>
  </si>
  <si>
    <t>Тарасовский р-н, ст-ца Митякинская (57 м на юго-запад от здания № 9 по ул. Луначарского).</t>
  </si>
  <si>
    <t>RO0097</t>
  </si>
  <si>
    <t>г. Ростов-на-Дону, улица Проселочная, 113а</t>
  </si>
  <si>
    <t>RO1136</t>
  </si>
  <si>
    <t>Тарасовский Район, Дубы Хутор</t>
  </si>
  <si>
    <t>RO0098</t>
  </si>
  <si>
    <t>г. Ростов-на-Дону, улица Зорге, 28/2, корпус 5Б</t>
  </si>
  <si>
    <t>RO1246</t>
  </si>
  <si>
    <t>Каменск-Шахтинский Город, Володарского Переулок\в южном направлении от д.72</t>
  </si>
  <si>
    <t>RO0099</t>
  </si>
  <si>
    <t>г. Ростов-на-Дону, улица Токарная, 11</t>
  </si>
  <si>
    <t>RO1247</t>
  </si>
  <si>
    <t>г.Каменск-Шахтинский. 200 метров на север от дома №26 по ул.Нижне-Профильная</t>
  </si>
  <si>
    <t>RO0121</t>
  </si>
  <si>
    <t>Ростов-на-Дону Город, Коммунистический Проспект, дом 35/3</t>
  </si>
  <si>
    <t>RO1303</t>
  </si>
  <si>
    <t>Белокалитвинский р-н, рп Шолоховский, ул М.Горького, д. 40.</t>
  </si>
  <si>
    <t>RO0122</t>
  </si>
  <si>
    <t xml:space="preserve">г. Ростов-на-Дону, пр. Стачки , 232 </t>
  </si>
  <si>
    <t>RO1305</t>
  </si>
  <si>
    <t>Ростовская Область, Белокалитвинский Район, Насонтов Хутор, Центральная Улица, дом 49\56 метров на юго-запад от ДК (клуб)</t>
  </si>
  <si>
    <t>RO0123</t>
  </si>
  <si>
    <t>г. Ростов-на-Дону, улица Кулагина 62/45</t>
  </si>
  <si>
    <t>RO1328</t>
  </si>
  <si>
    <t>Миллеровский Район, Дегтево Слобода, Российская Улица, дом 1</t>
  </si>
  <si>
    <t>RO0124</t>
  </si>
  <si>
    <t>г. Ростов-на-Дону, улица Лесопарковая, 23</t>
  </si>
  <si>
    <t>RO1333</t>
  </si>
  <si>
    <t>Донецк Город, Карла Маркса Улица\75м восточнее от участка по адресу ул. Карла Маркса 100</t>
  </si>
  <si>
    <t>RO0126</t>
  </si>
  <si>
    <t>г. Ростов-на-Дону, улица Таганрогская, 139/9</t>
  </si>
  <si>
    <t>RO1342</t>
  </si>
  <si>
    <t>Город Батайск, Улица Индустриальная, Здание 5</t>
  </si>
  <si>
    <t>RO0135</t>
  </si>
  <si>
    <t>г. Ростов-на-Дону, улица Зорге, 46</t>
  </si>
  <si>
    <t>RO1344</t>
  </si>
  <si>
    <t>Область Ростовская, Город Каменск-Шахтинский, Улица Красная, Дом 91\в юго-восточном направлении</t>
  </si>
  <si>
    <t>RO0148</t>
  </si>
  <si>
    <t>г. Ростов-на-Дону, улица Кручинина 69</t>
  </si>
  <si>
    <t>RO1369</t>
  </si>
  <si>
    <t>Ростовская Область, Тарасовский Район, Тарасовский Поселок, Донская Улица</t>
  </si>
  <si>
    <t>RO0164</t>
  </si>
  <si>
    <t>г. Ростов-на-Дону, улица Доватора, 156/1</t>
  </si>
  <si>
    <t>RO1376</t>
  </si>
  <si>
    <t>Область Ростовская, Район Миллеровский, Слобода Никольская, Улица Российская</t>
  </si>
  <si>
    <t>RO0165</t>
  </si>
  <si>
    <t>г. Ростов-на-Дону, улица Семипалатинская, 24/39</t>
  </si>
  <si>
    <t>RO1377</t>
  </si>
  <si>
    <t>Каменский Район, Верхний Пиховкин Хутор</t>
  </si>
  <si>
    <t>RO0171</t>
  </si>
  <si>
    <t>г. Ростов-на-Дону, улица Доватора  2 д</t>
  </si>
  <si>
    <t>RO1388</t>
  </si>
  <si>
    <t>Ростовская Область, Красносулинский Район, Чернецов Хутор, Щаденко Улица, дом 5\32 м по направлению на юго-восток от границ участка</t>
  </si>
  <si>
    <t>RO0172</t>
  </si>
  <si>
    <t>г. Ростов-на-Дону, улица Рахманинова, 24</t>
  </si>
  <si>
    <t>RO1389</t>
  </si>
  <si>
    <t>Каменск-Шахтинский Город, Сапрыгина Улица, дом 13\б, в 60 м. на запад от строения</t>
  </si>
  <si>
    <t>RO0174</t>
  </si>
  <si>
    <t>г. Ростов-на-Дону, улица Каширская, 9/53</t>
  </si>
  <si>
    <t>RO1390</t>
  </si>
  <si>
    <t>Красносулинский р-н, с. Ребриковка</t>
  </si>
  <si>
    <t>RO0175</t>
  </si>
  <si>
    <t>г. Ростов-на-Дону, улица Портовая, 372</t>
  </si>
  <si>
    <t>RO1538</t>
  </si>
  <si>
    <t>Ростовская Область, Боковский Район, Каргинская Станица, Совхозная Улица д.7 15 м севернее от строения.</t>
  </si>
  <si>
    <t>RO0177</t>
  </si>
  <si>
    <t>г. Ростов-на-Дону, Таганрогское шоссе, 114</t>
  </si>
  <si>
    <t>RO1556</t>
  </si>
  <si>
    <t>Область Ростовская, Район Тацинский, Хутор Свободный, Улица Восточная, Домовладение 18\а РТРС</t>
  </si>
  <si>
    <t>RO0199</t>
  </si>
  <si>
    <t>Мясниковский район, поселок Ленинаван, улица Шаумяна, 51</t>
  </si>
  <si>
    <t>RO1609</t>
  </si>
  <si>
    <t>г. Гуково, улица Советская 62</t>
  </si>
  <si>
    <t>RO0251</t>
  </si>
  <si>
    <t>г. Ростов-на-Дону, ул. Осенняя 29</t>
  </si>
  <si>
    <t>RO1626</t>
  </si>
  <si>
    <t>г. Миллерово, улица Седова 22</t>
  </si>
  <si>
    <t>RO0254</t>
  </si>
  <si>
    <t>г. Ростов-на-Дону, улица Содружества, 82 А</t>
  </si>
  <si>
    <t>RO1627</t>
  </si>
  <si>
    <t>г. Миллерово, улица Сурикова 30</t>
  </si>
  <si>
    <t>RO0257</t>
  </si>
  <si>
    <t>RO1637</t>
  </si>
  <si>
    <t>г. Ростов-на-Дону, улица Пескова, 17</t>
  </si>
  <si>
    <t>Ростовская Область, Белокалитвинский Район, Марьевка Хутор, Ленина Переулок, дом 4\34 метрf на северо-восток от ДК (клуб)</t>
  </si>
  <si>
    <t>RO0264</t>
  </si>
  <si>
    <t>RO1638</t>
  </si>
  <si>
    <t>г. Ростов-на-Дону, улица Оганова 33</t>
  </si>
  <si>
    <t>Ростовская область, Белокалитвинский р-н, х Семимаячный, ул Хрящевка.</t>
  </si>
  <si>
    <t>RO0265</t>
  </si>
  <si>
    <t>RO1639</t>
  </si>
  <si>
    <t>г. Ростов-на-Дону, улица Зорге, 33</t>
  </si>
  <si>
    <t>Ростовская Область, Белокалитвинский Район, Чернышев Хутор, Центральная Улица, дом 41\83 метра на восток от ДК(клуб)</t>
  </si>
  <si>
    <t>RO0268</t>
  </si>
  <si>
    <t>RO1640</t>
  </si>
  <si>
    <t>Ростов-на-Дону Город, Судостроительная Улица\31</t>
  </si>
  <si>
    <t>Ростовская Область, Белокалитвинский Район, Головка Хутор, Центральная Улица, дом 25\182 метров на северо-запад от магазина</t>
  </si>
  <si>
    <t>RO0269</t>
  </si>
  <si>
    <t>RO1641</t>
  </si>
  <si>
    <t>Ростовская Область, Боковский Район, Верхнечирский Хутор\90 м севернее от Мемориала ВОВ</t>
  </si>
  <si>
    <t>г. Ростов-на-Дону, Рабочая площадь, 23</t>
  </si>
  <si>
    <t>RO1643</t>
  </si>
  <si>
    <t>RO0270</t>
  </si>
  <si>
    <t>Ростовская область, Боковский р-н, с Пономаревка (ул. Школьная 34, 35 метров по направлению на север);</t>
  </si>
  <si>
    <t>г. Ростов-на-Дону, улица Малиновского, 25</t>
  </si>
  <si>
    <t>RO0279</t>
  </si>
  <si>
    <t>RO1644</t>
  </si>
  <si>
    <t>Мясниковский район, хутор Калинин, улица 1-я Советская, 31</t>
  </si>
  <si>
    <t>Боковский р-н, х Попов, ул Заречная, двлд. 5 (180 метров по направлению на восток);</t>
  </si>
  <si>
    <t>RO0295</t>
  </si>
  <si>
    <t>RO1645</t>
  </si>
  <si>
    <t>54:пикосота</t>
  </si>
  <si>
    <t>Ростовская Область, Ростов-на-Дону Город, Туполева Улица, дом 16ж</t>
  </si>
  <si>
    <t>Ростовская область, Верхнедонской р-н, х Алексеевский, ул Центральная, д. 11 (110 м юго западнее от Дома Культуры);</t>
  </si>
  <si>
    <t>RO0320</t>
  </si>
  <si>
    <t>RO1646</t>
  </si>
  <si>
    <t>Ростов-на-Дону Город, ул. Еременко 81/1</t>
  </si>
  <si>
    <t>Ростовская область, Верхнедонской р-н, х Быковский, ул Быковская (45 м южнее Мемориала Воинам, павшим в годы Великой Отечественной войны);</t>
  </si>
  <si>
    <t>RO0375</t>
  </si>
  <si>
    <t>RO1647</t>
  </si>
  <si>
    <t>Ростовская Область, Ростов-на-Дону Город, проспект Маршала Жукова, 32</t>
  </si>
  <si>
    <t>Ростовская область, Верхнедонской р-н, х Казанская Лопатина, ул Лопатинская, д. 66;</t>
  </si>
  <si>
    <t>RO1649</t>
  </si>
  <si>
    <t>RO0378</t>
  </si>
  <si>
    <t>Каменский район, хутор Лесной, улица Янтарная 1</t>
  </si>
  <si>
    <t>Родионово-Несветайский Район, Хутор Юдино, Улица Новоселов\7А, примерно 7 м по направлению на запад от границ участка</t>
  </si>
  <si>
    <t>RO1650</t>
  </si>
  <si>
    <t>RO0399</t>
  </si>
  <si>
    <t>Ростовская область, Верхнедонской р-н, х Солонцовский (100 м восточнее от Мемориала павшим воинам);</t>
  </si>
  <si>
    <t>Ростов-на-Дону Город, Стабильная Улица, дом 9</t>
  </si>
  <si>
    <t>RO1654</t>
  </si>
  <si>
    <t>RO0476</t>
  </si>
  <si>
    <t>Ростовская область, Каменский р-н, х Груцинов, ул Школьная, двлд. 22 (80 м на север).</t>
  </si>
  <si>
    <t>Мясниковский район, 1-й км автодороги Ростов-Новошахтинск, участок 4/1</t>
  </si>
  <si>
    <t>RO1660</t>
  </si>
  <si>
    <t>RO0500</t>
  </si>
  <si>
    <t>Ростовская Область, Боковский Район, Белавин Хутор\ул. Степная 33, 130 метров по направлению на северо-восток</t>
  </si>
  <si>
    <t>Ростов-на-Дону Город, Лесопарковая Улица, дом 90б</t>
  </si>
  <si>
    <t>RO1661</t>
  </si>
  <si>
    <t>RO0635</t>
  </si>
  <si>
    <t>Ростовская Область, Каменский Район, Васильевский Поселок, Майская Улица, дом 12</t>
  </si>
  <si>
    <t>Родионово-Несветайский район, 3 км юго-западнее станицы Родионово-Несветайская, башня ОАО "Ростелеком"</t>
  </si>
  <si>
    <t>RO1663</t>
  </si>
  <si>
    <t>RO0636</t>
  </si>
  <si>
    <t>Город Гуково, Улица Средняя</t>
  </si>
  <si>
    <t>Родионово-Несветайский район, станица Большекрепинская, СПК "Рассвет"</t>
  </si>
  <si>
    <t>RO1664</t>
  </si>
  <si>
    <t>RO0680</t>
  </si>
  <si>
    <t>Область Ростовская, Город Гуково, Улица Милицейская 48</t>
  </si>
  <si>
    <t>Мясниковский район, хутор Несветай, c/т "Поднятая целина", улица Центральная</t>
  </si>
  <si>
    <t>RO1667</t>
  </si>
  <si>
    <t>RO0808</t>
  </si>
  <si>
    <t>Каменский р-н, х Данилов, ул Театральная</t>
  </si>
  <si>
    <t>г. Ростов-на-Дону, пер. Жлобинский, 23</t>
  </si>
  <si>
    <t>RO1668</t>
  </si>
  <si>
    <t>RO0865</t>
  </si>
  <si>
    <t>Ростовская область, Красносулинский р-н, х Васецкий.</t>
  </si>
  <si>
    <t>Область Ростовская, Город Ростов-на-Дону, Улица Еременко, Дом 66/7\Кровля МКД</t>
  </si>
  <si>
    <t>RO1669</t>
  </si>
  <si>
    <t>RO0907</t>
  </si>
  <si>
    <t>Донецк Город, Карла Маркса Улица</t>
  </si>
  <si>
    <t>Ростов-на-Дону Город, Мадояна Улица, дом 44</t>
  </si>
  <si>
    <t>RO1680</t>
  </si>
  <si>
    <t>RO0911</t>
  </si>
  <si>
    <t>Ростовская Область, Миллеровский Район, Миллерово Город, Промышленная Улица, дом 18кА\АМС ФГУП РТРС</t>
  </si>
  <si>
    <t>Ростовская Область, Ростов-на-Дону Город, бул.Измайловский 25</t>
  </si>
  <si>
    <t>RO1681</t>
  </si>
  <si>
    <t>Ростовская Область, Миллеровский Район, Волошино Слобода, Буденного Улица\46-а, АМС ФГУП "РТРС"</t>
  </si>
  <si>
    <t>RO1029</t>
  </si>
  <si>
    <t>Область Ростовская, Город Ростов-на-Дону, Переулок Андреева, Дом 17а</t>
  </si>
  <si>
    <t>RO1685</t>
  </si>
  <si>
    <t>Каменский район, хутор Богданов</t>
  </si>
  <si>
    <t>RO1036</t>
  </si>
  <si>
    <t xml:space="preserve">г. Ростов-на-Дону, улица 339 Стрелковой Дивизии 21/1 </t>
  </si>
  <si>
    <t>RO1689</t>
  </si>
  <si>
    <t>Ростовская Область, Тарасовский Район, Новоалексеевка Хутор 20 м по направлению на север от здания медпункта № 27 по ул. Новоалексеевская, АМС ФГУП РТРС</t>
  </si>
  <si>
    <t>RO1045</t>
  </si>
  <si>
    <t>г. Ростов-на-Дону г, ул. Абрикосовая 70</t>
  </si>
  <si>
    <t>RO1690</t>
  </si>
  <si>
    <t>Красносулинский район, село Киселево</t>
  </si>
  <si>
    <t>RO1050</t>
  </si>
  <si>
    <t>Область Ростовская, Город Ростов-на-Дону, Проспект Коммунистический\в районе д.47А</t>
  </si>
  <si>
    <t>RO1691</t>
  </si>
  <si>
    <t>31, не уцн</t>
  </si>
  <si>
    <t>Ростовская Область, Чертковский Район, Чертково Поселок, Зеленопольская Улица, дом 1а\АМС ФГУП "РТРС"</t>
  </si>
  <si>
    <t>RO1063</t>
  </si>
  <si>
    <t>Ростов-на-Дону Город, Гагринская Улица, дом 5/1</t>
  </si>
  <si>
    <t>RO1697</t>
  </si>
  <si>
    <t>Район Миллеровский, Хутор Кумшацкий, Улица Майская</t>
  </si>
  <si>
    <t>RO1065</t>
  </si>
  <si>
    <t>г. Ростов-на-Дону, Портовая ул., 199</t>
  </si>
  <si>
    <t>RO1707</t>
  </si>
  <si>
    <t>Каменский р-н, х Нижнеерохин (200 метров на северо-запад от УЦН ул. Молодежная);</t>
  </si>
  <si>
    <t>RO1067</t>
  </si>
  <si>
    <t>Область Ростовская, Район Мясниковский, Хутор Ленинакан\на землях колхоза "Дружба"</t>
  </si>
  <si>
    <t>RO1730</t>
  </si>
  <si>
    <t>Ростовская область, Кашарский р-н, х Вишневка (170 м на север от ул. Молодежная).</t>
  </si>
  <si>
    <t>RO1075</t>
  </si>
  <si>
    <t>Город Ростов-на-Дону, Улица Портовая, в районе дома №281</t>
  </si>
  <si>
    <t>RO1738</t>
  </si>
  <si>
    <t>Ростовская область, Красносулинский р-н, х Малая Гнилуша, ул Новая</t>
  </si>
  <si>
    <t>RO1080</t>
  </si>
  <si>
    <t>Область Ростовская, Город Ростов-на-Дону, Переулок Чаленко, Дом 11</t>
  </si>
  <si>
    <t>RO1739</t>
  </si>
  <si>
    <t>Ростовская область, Красносулинский р-н, с Павловка, ул Саломатина, д. 16 (14 метров от угла частного дома).</t>
  </si>
  <si>
    <t>RO1089</t>
  </si>
  <si>
    <t>Ростовская Область, Ростов-на-Дону Город, Тружеников Улица, 2а</t>
  </si>
  <si>
    <t>RO1741</t>
  </si>
  <si>
    <t>Ростовская область, Миллеровский р-н, х Зеленая Роща (ул. Школьная 25 (50 м на юго запад от ДК));</t>
  </si>
  <si>
    <t>RO1091</t>
  </si>
  <si>
    <t>г. Ростов-на-Дону, переулок Машиностроителей 3</t>
  </si>
  <si>
    <t>RO1746</t>
  </si>
  <si>
    <t>Миллеровский р-н, п Ярский, ул Молодежная (юго восточнее на 25 м от Обелиска);</t>
  </si>
  <si>
    <t>RO1097</t>
  </si>
  <si>
    <t>г. Ростов-на-Дону, 2-я Краснодарская ул 129/2</t>
  </si>
  <si>
    <t>RO1751</t>
  </si>
  <si>
    <t>Кашарский Район, Теплые Ключи Поселок\250 м на северо восток от фермы</t>
  </si>
  <si>
    <t>RO1144</t>
  </si>
  <si>
    <t xml:space="preserve"> Ростов-на-Дону Город СТ Урожай, 2-1.</t>
  </si>
  <si>
    <t>RO1752</t>
  </si>
  <si>
    <t>Миллеровский р-н, сл Нижнекамышинка (пересечение ул. Центральная и ул. Речная);</t>
  </si>
  <si>
    <t>RO1145</t>
  </si>
  <si>
    <t>Город Ростов-на-Дону, Улица Вавилова, Домовладение 18</t>
  </si>
  <si>
    <t>RO1767</t>
  </si>
  <si>
    <t xml:space="preserve"> Область Ростовская, Город Гуково, Улица Карла Маркса 53а</t>
  </si>
  <si>
    <t>RO1147</t>
  </si>
  <si>
    <t>Область Ростовская, Город Ростов-на-Дону, Переулок Бордовый, Земельный участок 6</t>
  </si>
  <si>
    <t>RO1771</t>
  </si>
  <si>
    <t>Миллеровский район, 1.3 км северо-восточнее х. Беляевск</t>
  </si>
  <si>
    <t>RO1148</t>
  </si>
  <si>
    <t>Ростов-на-Дону Город, Таганрогская Улица, дом 116/5</t>
  </si>
  <si>
    <t>RO1773</t>
  </si>
  <si>
    <t>Белокалитвинский район, поселок Горняцкий</t>
  </si>
  <si>
    <t>RO1149</t>
  </si>
  <si>
    <t>Ростов-на-Дону Город, Араратский Переулок, дом 4, пересечение ул. Белостокская</t>
  </si>
  <si>
    <t>RO1775</t>
  </si>
  <si>
    <t>Тацинский Район, Тацинская Станица, Октябрьская Улица\74 Б примерно в 30 м. на запад</t>
  </si>
  <si>
    <t>RO1151</t>
  </si>
  <si>
    <t>Ростов-на-Дону Город, Войкова Улица, дом 136</t>
  </si>
  <si>
    <t>RO1779</t>
  </si>
  <si>
    <t>RO1152</t>
  </si>
  <si>
    <t>Область Ростовская, Район Тарасовский, Поселок Верхнетарасовский, Улица Строителей, Дом 1</t>
  </si>
  <si>
    <t>Ростов-на-Дону г, Свердловская ул, Дом 81/44</t>
  </si>
  <si>
    <t>RO1784</t>
  </si>
  <si>
    <t>RO1153</t>
  </si>
  <si>
    <t>Красносулинский р-н, х Новоровенецкий, ул Карьерная.</t>
  </si>
  <si>
    <t>Ростов-на-Дону Город, Деревянко Переулок\напротив д.27</t>
  </si>
  <si>
    <t>RO1791</t>
  </si>
  <si>
    <t>RO1163</t>
  </si>
  <si>
    <t>Каменский Район, Старая Станица Хутор, Буденного Улица, дом 112</t>
  </si>
  <si>
    <t xml:space="preserve"> Область Ростовская, Город Ростов-на-Дону, Улица Ткачева, 54 м. юго-восточнее здания 42/1</t>
  </si>
  <si>
    <t>RO1822</t>
  </si>
  <si>
    <t>Верхнедонской р-н, х. Колодезный</t>
  </si>
  <si>
    <t>RO1164</t>
  </si>
  <si>
    <t>Ростов-на-Дону Город, Еременко Улица, дом 96/1</t>
  </si>
  <si>
    <t>RO1823</t>
  </si>
  <si>
    <t>RO1165</t>
  </si>
  <si>
    <t>Верхнедонской Район, Макаровский Хутор, Макаровская Улица\Примерно 50м. на север от дома 87 Б по ул. Макаровская.</t>
  </si>
  <si>
    <t>Мясниковский Район\СНТ Факел, участок 405</t>
  </si>
  <si>
    <t>RO1824</t>
  </si>
  <si>
    <t>RO1166</t>
  </si>
  <si>
    <t>Верхнедонской Район, Михайловский Хутор, Степная Улица, дом 60\Примерно 97 м. на юг от границы участка по адресу ул. Степная, 60а</t>
  </si>
  <si>
    <t>Ростов-на-Дону Город, Жданова Улица 18</t>
  </si>
  <si>
    <t>RO1825</t>
  </si>
  <si>
    <t>RO1175</t>
  </si>
  <si>
    <t>Ростовская область, Тарасовский р-н, х Егоро-Калитвенский, ул Ленина;</t>
  </si>
  <si>
    <t>Город Ростов-на-Дону, Октябрьский район, СНТ "СКВО"</t>
  </si>
  <si>
    <t>RO1826</t>
  </si>
  <si>
    <t>RO1187</t>
  </si>
  <si>
    <t>Ростовская область, Тарасовский р-н, п Малое Полесье, ул Центральная, двлд. 5 (60 м южнее).</t>
  </si>
  <si>
    <t>Область Ростовская, Город Ростов-на-Дону, Проспект Коммунистический, Дом 32/1</t>
  </si>
  <si>
    <t>RO1827</t>
  </si>
  <si>
    <t>RO1191</t>
  </si>
  <si>
    <t>Ростовская Область, Тацинский Район, Луговой Хутор, Мира Улица, дом 36\55 м на север от магазина</t>
  </si>
  <si>
    <t>Область Ростовская, Город Ростов-на-Дону, Улица Бородина, Дом 13</t>
  </si>
  <si>
    <t>RO1828</t>
  </si>
  <si>
    <t>RO1192</t>
  </si>
  <si>
    <t>Ростовская Область, Тацинский Район, Качалин Хутор, Харченко Улица, дом 29</t>
  </si>
  <si>
    <t>Ростов-на-Дону Город, Таганрогская Улица, дом 33</t>
  </si>
  <si>
    <t>RO1830</t>
  </si>
  <si>
    <t>RO1230</t>
  </si>
  <si>
    <t>Тацинский р-н, х. Калмыков</t>
  </si>
  <si>
    <t>Ростовская Область, Ростов-на-Дону Город, 2-я Краснодарская Улица, дом 92</t>
  </si>
  <si>
    <t>RO1832</t>
  </si>
  <si>
    <t>RO1255</t>
  </si>
  <si>
    <t>Шолоховский р-н, х. Поповский</t>
  </si>
  <si>
    <t>г Ростов-на-Дону, ул Межевая, двлд. 49/13.</t>
  </si>
  <si>
    <t>RO1833</t>
  </si>
  <si>
    <t>Советский р-н, х Усть-Грязновский (200 м на сервер от ФАПа по ул. Западная, 7).</t>
  </si>
  <si>
    <t>RO1256</t>
  </si>
  <si>
    <t>г Ростов-на-Дону, ул Днепростроевская (23/пер. Гастелло).</t>
  </si>
  <si>
    <t>RO1834</t>
  </si>
  <si>
    <t>Область Ростовская, Район Советский, Слобода Петрово, Улица Центральная, Домовладение 44\20 м на восток</t>
  </si>
  <si>
    <t>RO1257</t>
  </si>
  <si>
    <t>Область Ростовская, Район Мясниковский, Хутор Ленинаван\Баграмяна 31А</t>
  </si>
  <si>
    <t>RO1840</t>
  </si>
  <si>
    <t>Ростовская область, Тарасовский р-н, сл Александровка, ул Молодежная, зд. 1 (80 м юго восточнее);</t>
  </si>
  <si>
    <t>RO1361</t>
  </si>
  <si>
    <t>Ростов-на-Дону, пер. Андреева, 4/9</t>
  </si>
  <si>
    <t>RO1841</t>
  </si>
  <si>
    <t>Ростовская область, Тарасовский р-н, х Прогной, ул Энтузиастов, двлд. 15 (юго-восточнее 150 м);</t>
  </si>
  <si>
    <t>RO1476</t>
  </si>
  <si>
    <t>Ростовская область, г Ростов-на-Дону, ул Зорге, д. 60/2.</t>
  </si>
  <si>
    <t>RO1845</t>
  </si>
  <si>
    <t>Ростовская область, Тарасовский р-н, п Изумрудный, ул Ленина, двлд. 40 (100 м на северо восток).</t>
  </si>
  <si>
    <t>RO1687</t>
  </si>
  <si>
    <t>Ростовская Область, Родионово-Несветайский Район, Барило-Крепинская Слобода, Просвещения Улица, дом 15\АМС ФГУП РТРС</t>
  </si>
  <si>
    <t>RO1846</t>
  </si>
  <si>
    <t>Ростовская область, Тарасовский р-н, х Красновка, пер Клубный, двлд. 1 (восточнее 150 м);</t>
  </si>
  <si>
    <t>RO1778</t>
  </si>
  <si>
    <t>Ростовская область, Родионово-Несветайский р-н, сл Большекрепинская, ул Ленина, двлд. 14.</t>
  </si>
  <si>
    <t>RO1857</t>
  </si>
  <si>
    <t>Ростовская область, Тарасовский р-н, п Войково, ул Интернациональная, двлд. 2;</t>
  </si>
  <si>
    <t>RO1781</t>
  </si>
  <si>
    <t>Область Ростовская, Район Родионово-Несветайский, Хутор Атамано-Власовка, Улица Чапаева, Дом 9\Примерно 43м. по направлению на северо-запад от границ участка по ул. Чапаева, 9</t>
  </si>
  <si>
    <t>RO1861</t>
  </si>
  <si>
    <t>Чертковский р-н, х Новостепановский.</t>
  </si>
  <si>
    <t>RO1790</t>
  </si>
  <si>
    <t>Ростов-на -Дону, Всесоюзная 41</t>
  </si>
  <si>
    <t>RO1864</t>
  </si>
  <si>
    <t>Область Ростовская, Район Советский, Село Чистяково, Улица Западная, Домовладение 2\примерно 87 м по направлению на запад от границ участка с кад. номером: 61:36:0020101:45</t>
  </si>
  <si>
    <t>RO1798</t>
  </si>
  <si>
    <t>Родионово-Несветайский р-н, х Большой Должик (80 м восточнее от Мемориала Захоронения воинов Великой Отечественной войны).</t>
  </si>
  <si>
    <t>RO1899</t>
  </si>
  <si>
    <t>Каменский р-н, х Плешаков, ул Лиманная;</t>
  </si>
  <si>
    <t>RO1799</t>
  </si>
  <si>
    <t>42:металлический столб - проект УЦН</t>
  </si>
  <si>
    <t>Область Ростовская, Район Родионово-Несветайский, Хутор Маяки, Улица Первомайская, Дом 12\Примерно 20м.по направлению на юго-восток от гр. участка по ул. Первомайская, д. 12</t>
  </si>
  <si>
    <t>RO1908</t>
  </si>
  <si>
    <t>Ростовская Область, Донецк Город\в 24 метрах восточнее от ориентира "улица Некрасова</t>
  </si>
  <si>
    <t>RO1872</t>
  </si>
  <si>
    <t>Область Ростовская, Район Родионово-Несветайский, Хутор Гребцово, Переулок Чехова, Дом 15А</t>
  </si>
  <si>
    <t>RO1929</t>
  </si>
  <si>
    <t>Ростовская Область, Верхнедонской Район, Сухой Лог Хутор, Сухологская Улица, дом стр30\АМС ФГУП РТРС</t>
  </si>
  <si>
    <t>RO1876</t>
  </si>
  <si>
    <t>Область Ростовская, Город Ростов-на-Дону, Улица Ткачева, Земельный участок 28</t>
  </si>
  <si>
    <t>RO1943</t>
  </si>
  <si>
    <t>Ростовская Область, Тарасовский Район, Тарасовский Поселок, Горная Улица\АМС ФГУП РТРС</t>
  </si>
  <si>
    <t>RO1879</t>
  </si>
  <si>
    <t>Область Ростовская, Город Ростов-на-Дону, Переулок Радиаторный, Дом 11/1</t>
  </si>
  <si>
    <t>RO1948</t>
  </si>
  <si>
    <t>Каменский район, х. Березовый</t>
  </si>
  <si>
    <t>RO1949</t>
  </si>
  <si>
    <t>Область Ростовская, Город Ростов-на-Дону, Улица Таганрогская, Дом 112а</t>
  </si>
  <si>
    <t>RO1952</t>
  </si>
  <si>
    <t>Милютинский р-н, х. Новодмитриевский</t>
  </si>
  <si>
    <t>RO1993</t>
  </si>
  <si>
    <t>Ростовская Область, Ростов-на-Дону Город, Портовая Улица, дом 52</t>
  </si>
  <si>
    <t>RO1962</t>
  </si>
  <si>
    <t>Каменский р-н, рабочий поселок Глубокий, ул.Садовая\25 м на восток от границ земельного участка ул. Садовая 2 А</t>
  </si>
  <si>
    <t>RO2053</t>
  </si>
  <si>
    <t>Родионово-Несветайский район, слобода Барило-Крепинская</t>
  </si>
  <si>
    <t>RO1968</t>
  </si>
  <si>
    <t>Белокалитвинский р-н, хутор Демишев</t>
  </si>
  <si>
    <t>RO2093</t>
  </si>
  <si>
    <t>Родионово-Несветайский Район, Родионово-Несветайская Слобода, Гвардейцев-Танкистов Улица</t>
  </si>
  <si>
    <t>RO1975</t>
  </si>
  <si>
    <t>Ростовская Область, Милютинский Район, Селивановская Станица, Вишневый Переулок, дом 9</t>
  </si>
  <si>
    <t>RO2103</t>
  </si>
  <si>
    <t>Город Ростов-на-Дону, Улица 2-я Краснодарская\143</t>
  </si>
  <si>
    <t>RO1977</t>
  </si>
  <si>
    <t>Ростовская область, г Каменск-Шахтинский, ул Мусина, д. 36.</t>
  </si>
  <si>
    <t>RO2143</t>
  </si>
  <si>
    <t>Ростовская Область, Ростов-на-Дону Город,  пер. Ставского, 35</t>
  </si>
  <si>
    <t>RO1978</t>
  </si>
  <si>
    <t>Каменский р-н, х. Караичев</t>
  </si>
  <si>
    <t>RO2144</t>
  </si>
  <si>
    <t>Область Ростовская, Город Ростов-на-Дону, Улица Калинина, Дом 78/26</t>
  </si>
  <si>
    <t>RO1979</t>
  </si>
  <si>
    <t>Ростовская Область, Белокалитвинский Район, Коксовый Поселок, Степная Улица, дом 17</t>
  </si>
  <si>
    <t>RO2148</t>
  </si>
  <si>
    <t>Родионово-Несветайский Район, Каменный Брод Хутор</t>
  </si>
  <si>
    <t>RO1992</t>
  </si>
  <si>
    <t>Область Ростовская, Район Красносулинский, Хутор Калиновка</t>
  </si>
  <si>
    <t>RO2155</t>
  </si>
  <si>
    <t>Область Ростовская, Город Ростов-на-Дону, Проспект Стачки\в районе д. 184</t>
  </si>
  <si>
    <t>RO2012</t>
  </si>
  <si>
    <t>Ростовская Область, Донецк Город, Ленина Проспект, дом 29Б</t>
  </si>
  <si>
    <t>RO2175</t>
  </si>
  <si>
    <t>Ростов-на-Дону Город,  бул. Платова, 7</t>
  </si>
  <si>
    <t>RO2013</t>
  </si>
  <si>
    <t>Ростовская область, Красносулинский р-н, п Чичерино, ул Советская.</t>
  </si>
  <si>
    <t>RO2179</t>
  </si>
  <si>
    <t>Область Ростовская, Город Ростов-на-Дону, Улица Дачная\в районе дома №10</t>
  </si>
  <si>
    <t>RO2034</t>
  </si>
  <si>
    <t>Ростовская Область, Каменский Район, Вишневецкий Хутор</t>
  </si>
  <si>
    <t>RO2183</t>
  </si>
  <si>
    <t>г. Ростов-на-Дону , ул. Вавилова 90/66</t>
  </si>
  <si>
    <t>RO2045</t>
  </si>
  <si>
    <t>Ростовская Область, Красносулинский Район, Молодежный Поселок/ Территория "ДСК"</t>
  </si>
  <si>
    <t>RO2185</t>
  </si>
  <si>
    <t>Ростов-на-Дону Город, Таганрогская Улица, дом 144\а</t>
  </si>
  <si>
    <t>RO2057</t>
  </si>
  <si>
    <t>г. Миллерово, улица 14-го съезда ВЛКСМ 55</t>
  </si>
  <si>
    <t>RO2234</t>
  </si>
  <si>
    <t>Ростовская Область, Ростов-на-Дону Город\СТ "Урожай" (10-03)</t>
  </si>
  <si>
    <t>RO2058</t>
  </si>
  <si>
    <t>Область Ростовская, Район Миллеровский, Слобода Позднеевка\ул. Советская, 2-б АМС ФГУП РТРС</t>
  </si>
  <si>
    <t>RO2257</t>
  </si>
  <si>
    <t>г. Ростов-на-Дону, улица Совхозная 42</t>
  </si>
  <si>
    <t>RO2070</t>
  </si>
  <si>
    <t>г. Гуково, Карла Маркса ул 130а</t>
  </si>
  <si>
    <t>RO2406</t>
  </si>
  <si>
    <t>Область Ростовская, Район Родионово-Несветайский, Хутор Курлаки, Улица Культурная\2Б/1, примерно 14 м по направлению на север от границ участка с кад. номером: 61:33:0070501:57</t>
  </si>
  <si>
    <t>RO2071</t>
  </si>
  <si>
    <t>г. Каменск-Шахтинский, улица Народная, 7</t>
  </si>
  <si>
    <t>RO2435</t>
  </si>
  <si>
    <t>Область Ростовская, Район Родионово-Несветайский, Хутор Бунако-Соколовец, Улица Первомайская, Дом 33\Примерно 200м. по направлению на юг от границ участка по адресу: ул. Первомайская, 33</t>
  </si>
  <si>
    <t>RO2072</t>
  </si>
  <si>
    <t>Каменск-Шахтинский Город\в юго-западном направлении от домовладения по ул. Промышленной, 123</t>
  </si>
  <si>
    <t>RO2442</t>
  </si>
  <si>
    <t>Область Ростовская, Район Родионово-Несветайский, Хутор Новопрохоровка, Улица Советская, Строение 1а\Примерно 37м. по направлению на север от границ участка по ул. Советская, 1А</t>
  </si>
  <si>
    <t>RO2074</t>
  </si>
  <si>
    <t>г. Каменск-Шахтинский, мкр Лиховской, ул. Шоссейная 4</t>
  </si>
  <si>
    <t>RO2687</t>
  </si>
  <si>
    <t>Родионово-Несветайский Район, Кутейниково Слобода, Булановой Улица\примерно в 15 м. по направлению на северо-запад от ориентира земельного участка</t>
  </si>
  <si>
    <t>RO2075</t>
  </si>
  <si>
    <t>г. Зверево г, Рижская ул., д. 4А</t>
  </si>
  <si>
    <t>RO2734</t>
  </si>
  <si>
    <t xml:space="preserve"> Область Ростовская, Район Родионово-Несветайский, Село Генеральское, Улица Звездова, Земельный участок 18</t>
  </si>
  <si>
    <t>RO2076</t>
  </si>
  <si>
    <t>Миллеровский район, хутор Новоталовка</t>
  </si>
  <si>
    <t>RO2815</t>
  </si>
  <si>
    <t>Ростовская Область, Родионово-Несветайский Район, Алексеево-Тузловка Слобода, Московская Улица\62 АМС ФГУП "РТРС"</t>
  </si>
  <si>
    <t>RO2078</t>
  </si>
  <si>
    <t>г. Миллерово, улица Грибоедова 1 а</t>
  </si>
  <si>
    <t>RO2884</t>
  </si>
  <si>
    <t>Ростовская Область, Ростов-на-Дону Город, Чапаевская Улица, дом 6/14</t>
  </si>
  <si>
    <t>RO2079</t>
  </si>
  <si>
    <t>Тарасовский район, слобода Дячкино</t>
  </si>
  <si>
    <t>RO2901</t>
  </si>
  <si>
    <t>Ростов-на-Дону Город, Доватора Улица 305</t>
  </si>
  <si>
    <t>RO2098</t>
  </si>
  <si>
    <t>Область Ростовская, Район Миллеровский, Хутор Ленина\восточная сторона</t>
  </si>
  <si>
    <t>RO2903</t>
  </si>
  <si>
    <t>Ростовская Область, Ростов-на-Дону Город, Благодатная Улица, дом 168/2</t>
  </si>
  <si>
    <t>RO2104</t>
  </si>
  <si>
    <t>Ростовская Область, Верхнедонской Район, Казанская Станица, Матросова Улица\22</t>
  </si>
  <si>
    <t>RO2904</t>
  </si>
  <si>
    <t>Ростовская область, г Ростов-на-Дону, ул 2-я Кольцевая, д. 93/24.</t>
  </si>
  <si>
    <t>RO2106</t>
  </si>
  <si>
    <t>Ростовская Область, Каменск-Шахтинский Город, Лиховской Микрорайон, Семенкова Переулок, дом 15</t>
  </si>
  <si>
    <t>RO2928</t>
  </si>
  <si>
    <t>Ростов-на-Дону Город, Октябрьский район, с/т Урожай, 10-12</t>
  </si>
  <si>
    <t>RO2114</t>
  </si>
  <si>
    <t>Ростовская Область, Каменский Район, Глубокий Рабочий поселок, Артема Улица, дом 243</t>
  </si>
  <si>
    <t>RO2929</t>
  </si>
  <si>
    <t>Область Ростовская, Город Ростов-на-Дону, Улица Зрелищная, Земельный участок 26/162</t>
  </si>
  <si>
    <t>RO2115</t>
  </si>
  <si>
    <t>Ростовская Область, Кашарский Район, Кашары Слобода, Ленина Улица, дом 56</t>
  </si>
  <si>
    <t>RO2931</t>
  </si>
  <si>
    <t>Область Ростовская, Город Ростов-на-Дону, Проспект Горшкова /ул. Мыльникова, 6</t>
  </si>
  <si>
    <t>RO2119</t>
  </si>
  <si>
    <t>Ростовская Область, Миллеровский Район, Миллерово Город, Шолохова Улица\33</t>
  </si>
  <si>
    <t>RO2932</t>
  </si>
  <si>
    <t>Ростов-на-Дону Город, Таганрогская Улица, дом 122/1</t>
  </si>
  <si>
    <t>RO2120</t>
  </si>
  <si>
    <t>Ростовская Область, Милютинский Район, Милютинская Станица, Комсомольская Улица, дом 12</t>
  </si>
  <si>
    <t>RO0001</t>
  </si>
  <si>
    <t>Ростов-на-Дону, проспект Ворошиловский, 87/65</t>
  </si>
  <si>
    <t>RO2127</t>
  </si>
  <si>
    <t>Ростовская Область, Советский Район, Советская Станица, Орджоникидзе Улица, дом 15</t>
  </si>
  <si>
    <t>RO0002</t>
  </si>
  <si>
    <t>Ростов-на-Дону, проспект Нагибина, 3</t>
  </si>
  <si>
    <t>RO2128</t>
  </si>
  <si>
    <t>Ростовская Область, Тарасовский Район, Тарасовский Поселок, Лермонтова Улица\50</t>
  </si>
  <si>
    <t>RO0004</t>
  </si>
  <si>
    <t xml:space="preserve"> Ростовская Область, Ростов-на-Дону Город, Большая Садовая Улица 53/55</t>
  </si>
  <si>
    <t>RO2129</t>
  </si>
  <si>
    <t>Ростовская Область, Тацинский Район, Тацинская Станица, Пролетарская Улица\1</t>
  </si>
  <si>
    <t>RO0007</t>
  </si>
  <si>
    <t>Ростов-на-Дону, проспект Нагибина, 19</t>
  </si>
  <si>
    <t>RO2133</t>
  </si>
  <si>
    <t>Ростовская Область, Чертковский Район, Чертково Поселок, Петровского Улица, дом 18</t>
  </si>
  <si>
    <t>RO0008</t>
  </si>
  <si>
    <t>Ростов-на-Дону, проспект Театральный, 60</t>
  </si>
  <si>
    <t>RO2139</t>
  </si>
  <si>
    <t>Область Ростовская, Район Миллеровский, Хутор Новорусский, Улица Рубежная, Здание 29а\60 м по направлению на северо-восток</t>
  </si>
  <si>
    <t>RO0009</t>
  </si>
  <si>
    <t>Ростов-на-Дону Город, Станиславского Улица, дом 167/25</t>
  </si>
  <si>
    <t>RO2140</t>
  </si>
  <si>
    <t>Кашарский район, х.Талловеров, примерно в 1 км. на восток от здания Администрации АМС ФГУП РТРС</t>
  </si>
  <si>
    <t>RO0010</t>
  </si>
  <si>
    <t>Ростов-на-Дону, улица Станиславского, 118</t>
  </si>
  <si>
    <t>RO2170</t>
  </si>
  <si>
    <t>Тацинский Район, Верхнеобливский Хутор, Школьная Улица</t>
  </si>
  <si>
    <t>RO0011</t>
  </si>
  <si>
    <t>Ростов-на-Дону, улица Московская, 43</t>
  </si>
  <si>
    <t>RO2198</t>
  </si>
  <si>
    <t>Донецк Город, Мира Проспект\дом 61\8</t>
  </si>
  <si>
    <t>RO0012</t>
  </si>
  <si>
    <t>г. Ростов-на-Дону, площадь Привокзальная, 1/2</t>
  </si>
  <si>
    <t>RO2199</t>
  </si>
  <si>
    <t xml:space="preserve">г. Белая Калитва, ул. Вокзальная </t>
  </si>
  <si>
    <t>RO0013</t>
  </si>
  <si>
    <t>г. Ростов-на-Дону, площадь Народного ополчения, 2</t>
  </si>
  <si>
    <t>RO2200</t>
  </si>
  <si>
    <t>Белокалитвинский Район, Белая Калитва Город, Светлая Улица, дом 9</t>
  </si>
  <si>
    <t>RO0014</t>
  </si>
  <si>
    <t>г. Ростов-на-Дону, проспект Нагибина, 30</t>
  </si>
  <si>
    <t>RO2201</t>
  </si>
  <si>
    <t>Белокалитвинский Район, Белая Калитва Город, Энгельса Улица\дом 94</t>
  </si>
  <si>
    <t>RO0015</t>
  </si>
  <si>
    <t>г. Ростов-на-Дону, улица Металлургическая,102/2</t>
  </si>
  <si>
    <t>RO2202</t>
  </si>
  <si>
    <t>Белокалитвинский Район, г. Белая Калитва, ул. Заводская 14А</t>
  </si>
  <si>
    <t>RO0016</t>
  </si>
  <si>
    <t>г. Ростов-на-Дону, 31-я линия, 4</t>
  </si>
  <si>
    <t>RO2204</t>
  </si>
  <si>
    <t>Миллеровский район, г. Миллерово, ул. Ленина 20</t>
  </si>
  <si>
    <t>RO0017</t>
  </si>
  <si>
    <t>г. Ростов-на-Дону, улица Шоссейная, 47</t>
  </si>
  <si>
    <t>RO2205</t>
  </si>
  <si>
    <t>Миллеровский район, г. Миллерово, ул. 3 Интернационала 31-63</t>
  </si>
  <si>
    <t>RO0018</t>
  </si>
  <si>
    <t>г. Ростов-на-Дону, проспект Шолохова 94</t>
  </si>
  <si>
    <t>RO2209</t>
  </si>
  <si>
    <t>Зверево Город, Строительная Улица\19</t>
  </si>
  <si>
    <t>RO0019</t>
  </si>
  <si>
    <t>г. Ростов-на-Дону, пер. Гвардейский, 61</t>
  </si>
  <si>
    <t>RO2215</t>
  </si>
  <si>
    <t>Белокалитвинский Район, г. Белая Калитва, ул. Щаденко, 9</t>
  </si>
  <si>
    <t>RO0020</t>
  </si>
  <si>
    <t>г. Ростов-на-Дону, проспект Космонавтов, 2</t>
  </si>
  <si>
    <t>RO2221</t>
  </si>
  <si>
    <t>Кашарский Район, Верхнегреково Село</t>
  </si>
  <si>
    <t>RO0021</t>
  </si>
  <si>
    <t>г. Ростов-на-Дону, улица Штахановского, 10/1</t>
  </si>
  <si>
    <t>RO2224</t>
  </si>
  <si>
    <t>Миллеровский Район\в границах кадастрового квартала 61:22:0600029</t>
  </si>
  <si>
    <t>RO0022</t>
  </si>
  <si>
    <t>г. Ростов-на-Дону, улица Вятская, 118 Б</t>
  </si>
  <si>
    <t>RO2263</t>
  </si>
  <si>
    <t>Кашарский р-н, с Новопавловка (160 м на север от ул. Октябрьской,100м на запад от края ул.Степная).</t>
  </si>
  <si>
    <t>RO0023</t>
  </si>
  <si>
    <t>г. Ростов-на-Дону, проспект Шолохова, 282</t>
  </si>
  <si>
    <t>RO2272</t>
  </si>
  <si>
    <t>Ростовская область, Милютинский р-н, х Нижнепетровский, ул Мира (Пустырь в пределах 100 м. южнее от ул.Мира);</t>
  </si>
  <si>
    <t>RO0024</t>
  </si>
  <si>
    <t>г. Ростов-на-Дону, улица Мясникова, 54</t>
  </si>
  <si>
    <t>RO2273</t>
  </si>
  <si>
    <t>Ростовская область, Милютинский р-н, х Николовка, ул Центральная, д. 9 (пустырь в пределах 200 м на юго-восток).</t>
  </si>
  <si>
    <t>RO0025</t>
  </si>
  <si>
    <t>г. Ростов-на-Дону, улица Мечникова, 114/134</t>
  </si>
  <si>
    <t>RO2296</t>
  </si>
  <si>
    <t>Красносулинский Район, Розет Поселок</t>
  </si>
  <si>
    <t>RO0028</t>
  </si>
  <si>
    <t>г. Ростов-на-Дону, улица Планетная, 6</t>
  </si>
  <si>
    <t>RO2298</t>
  </si>
  <si>
    <t>Каменский р-н, х. Урывский</t>
  </si>
  <si>
    <t>RO0029</t>
  </si>
  <si>
    <t>г. Ростов-на-Дону Город, Атарбекова Улица, дом 74а</t>
  </si>
  <si>
    <t>RO2310</t>
  </si>
  <si>
    <t>Ростовская область, Тарасовский р-н, х Нижнемакеевский, ул Молодежная, двлд. 6;</t>
  </si>
  <si>
    <t>RO0030</t>
  </si>
  <si>
    <t>г. Ростов-на-Дону, улица Туполева, 16 ж</t>
  </si>
  <si>
    <t>RO2317</t>
  </si>
  <si>
    <t>Шолоховский район, Хутор Гороховский, Улица Асфальтная\примерно в 53 м по направлению на север от границ земельного участка ул. Асфальтная, 38</t>
  </si>
  <si>
    <t>RO0032</t>
  </si>
  <si>
    <t>г. Ростов-на-Дону, проспект 40-летия Победы, 95</t>
  </si>
  <si>
    <t>RO2334</t>
  </si>
  <si>
    <t>Тацинский Район, х. Захаро-Обливский, ул. Мира 1А</t>
  </si>
  <si>
    <t>RO0036</t>
  </si>
  <si>
    <t>г. Ростов-на-Дону, улица Малиновского 64</t>
  </si>
  <si>
    <t>RO2340</t>
  </si>
  <si>
    <t>Область Ростовская, Район Чертковский  трасса М4 Дон</t>
  </si>
  <si>
    <t>RO0040</t>
  </si>
  <si>
    <t>г. Аксай, улица Мира, 7</t>
  </si>
  <si>
    <t>RO2341</t>
  </si>
  <si>
    <t>RO0041</t>
  </si>
  <si>
    <t>Область Ростовская, Район Миллеровский  Первомайское сельское поселение</t>
  </si>
  <si>
    <t>г. Ростов-на-Дону, улица Комарова, 28/2</t>
  </si>
  <si>
    <t>RO2344</t>
  </si>
  <si>
    <t xml:space="preserve"> 31:трубостойки на чужой АМС на земле/крыше</t>
  </si>
  <si>
    <t>RO0042</t>
  </si>
  <si>
    <t>Область Ростовская, Район Красносулинский, Хутор Лихой  944 километр автодороги М-4 "Дон"</t>
  </si>
  <si>
    <t>г. Ростов-на-Дону, улица Орбитальная, 50</t>
  </si>
  <si>
    <t>RO2345</t>
  </si>
  <si>
    <t>RO0044</t>
  </si>
  <si>
    <t>Шолоховский р-н, х. Затонский</t>
  </si>
  <si>
    <t>г. Ростов-на-Дону, улица Конституционная, 63/64/23</t>
  </si>
  <si>
    <t>RO2361</t>
  </si>
  <si>
    <t>Ростовская, Район Тарасовский, Хутор Патроновка</t>
  </si>
  <si>
    <t>RO0046</t>
  </si>
  <si>
    <t>г. Ростов-на-Дону, проспект 40-летия Победы, 57а</t>
  </si>
  <si>
    <t>RO2362</t>
  </si>
  <si>
    <t>Область Ростовская, Район Тарасовский, Хутор Ушаковка, Улица Заречная, Домовладение 5\258 м по направлению на запад</t>
  </si>
  <si>
    <t>RO0048</t>
  </si>
  <si>
    <t>г. Ростов-на-Дону, улица Селиванова, 49</t>
  </si>
  <si>
    <t>RO2363</t>
  </si>
  <si>
    <t>Область Ростовская, Район Тарасовский, Поселок Деркул, Улица Садовая, Дом 4\примерно 120 м по направлению на север от границы участка по адресу: ул. Садовая, 4, кв. 3</t>
  </si>
  <si>
    <t>RO0049</t>
  </si>
  <si>
    <t>г. Аксай, улица Чапаева, 297</t>
  </si>
  <si>
    <t>RO2403</t>
  </si>
  <si>
    <t>Область Ростовская, Район Тарасовский, Поселок Весенний, Улица 13 Героев\примерно в 30 м по направлению на северо-запад от границ земельного участка ул. 13 Героев, д.2, кв.1</t>
  </si>
  <si>
    <t>RO0053</t>
  </si>
  <si>
    <t>г. Ростов-на-Дону, проспект Буденовский, 80</t>
  </si>
  <si>
    <t>RO2404</t>
  </si>
  <si>
    <t>Область Ростовская, Район Чертковский, Хутор Галдин</t>
  </si>
  <si>
    <t>RO0054</t>
  </si>
  <si>
    <t>г. Ростов-на-Дону, улица Ивановского, 38 /63 лит Б.</t>
  </si>
  <si>
    <t>RO2405</t>
  </si>
  <si>
    <t>Область Ростовская, Район Белокалитвинский, Хутор Мечетный</t>
  </si>
  <si>
    <t>RO0055</t>
  </si>
  <si>
    <t>г. Ростов-на-Дону, улица Пушкинская, 128</t>
  </si>
  <si>
    <t>RO2407</t>
  </si>
  <si>
    <t>Область Ростовская, Район Боковский, Хутор Малаховский, Улица Молодежная, Здание 7А\примерно 32 м по направлению на юг от границ участка с кад. номер: 61:05:0070103:23</t>
  </si>
  <si>
    <t>RO0056</t>
  </si>
  <si>
    <t>г. Ростов-на-Дону, улица Добровольского, 42</t>
  </si>
  <si>
    <t>RO2413</t>
  </si>
  <si>
    <t>Область Ростовская, Район Кашарский, Хутор Новодонецкий\примерно 5 м по направлению на север от границ земельного участка ул. Финская, 3, квартира 2</t>
  </si>
  <si>
    <t>RO0057</t>
  </si>
  <si>
    <t>г. Ростов-на-Дону, проспект Космонавтов, 6/1</t>
  </si>
  <si>
    <t>RO2415</t>
  </si>
  <si>
    <t>Область Ростовская, Район Чертковский, Хутор Малая Лозовка\примерно в 28 м по направлению на запад от границ земельного участка пер. Школьный, 6</t>
  </si>
  <si>
    <t>RO0058</t>
  </si>
  <si>
    <t>г. Ростов-на-Дону, улица Зоологическая, 18</t>
  </si>
  <si>
    <t>RO2418</t>
  </si>
  <si>
    <t>Область Ростовская, Район Кашарский, Село Лысогорка </t>
  </si>
  <si>
    <t>RO0059</t>
  </si>
  <si>
    <t>г. Ростов-на-Дону, улица Менжинского, 2/1/13</t>
  </si>
  <si>
    <t>RO2420</t>
  </si>
  <si>
    <t>Область Ростовская, Район Тацинский, Хутор Верхнекольцов, Улица Школьная\дом 1, 5 м на север</t>
  </si>
  <si>
    <t>RO0060</t>
  </si>
  <si>
    <t>г. Ростов-на-Дону, проспект Ленина, 92</t>
  </si>
  <si>
    <t>RO2421</t>
  </si>
  <si>
    <t>Область Ростовская, Район Тацинский, Хутор Новониколаевский, Улица Ленина\37А, 46 м на восток</t>
  </si>
  <si>
    <t>RO0061</t>
  </si>
  <si>
    <t>г. Ростов-на-Дону, улица Орская, 31А</t>
  </si>
  <si>
    <t>RO2425</t>
  </si>
  <si>
    <t>Область Ростовская, Район Миллеровский,Дегтевское с.п., с западной стороны земельного участка с КН 61:22:0600006:1510</t>
  </si>
  <si>
    <t>RO0062</t>
  </si>
  <si>
    <t>г. Ростов-на-Дону, Театральная площадь, 4</t>
  </si>
  <si>
    <t>RO2436</t>
  </si>
  <si>
    <t>Область Ростовская, Район Миллеровский, Хутор Журавка\примерно в 21 м по направлению на юг от границ земельного участка с кадастровым номером: 61:22:0600029:310</t>
  </si>
  <si>
    <t>RO0063</t>
  </si>
  <si>
    <t>г. Ростов-на-Дону, улица Большая Садовая 33</t>
  </si>
  <si>
    <t>RO2437</t>
  </si>
  <si>
    <t>Область Ростовская, Район Миллеровский, Хутор Красная Звезда</t>
  </si>
  <si>
    <t>RO0064</t>
  </si>
  <si>
    <t>г. Ростов-на-Дону, проспект Шолохова 161</t>
  </si>
  <si>
    <t>RO2439</t>
  </si>
  <si>
    <t>Область Ростовская, Район Чертковский, Хутор Лозовой (Зубрилинское с/п), Улица Полевая</t>
  </si>
  <si>
    <t>RO0066</t>
  </si>
  <si>
    <t>Область Ростовская, Город Ростов-на-Дону, Улица 12-я линия 51</t>
  </si>
  <si>
    <t>RO2440</t>
  </si>
  <si>
    <t>Район Тарасовский, Хутор Маноцкий, Улица Лесная</t>
  </si>
  <si>
    <t>RO0069</t>
  </si>
  <si>
    <t>г. Ростов-на-Дону, улица Рыльского, 2</t>
  </si>
  <si>
    <t>RO0071</t>
  </si>
  <si>
    <t>RO2441</t>
  </si>
  <si>
    <t>г. Ростов-на-Дону, улица Казахская, 78/4</t>
  </si>
  <si>
    <t>Область Ростовская, Район Миллеровский, Хутор Новая Деревня, Улица Центральная\примерно в 5 м по направлению на юг от границ земельного участка по адресу: ул. Центальная, д.4, с кадастровым номером: 61:22:0160601:37,</t>
  </si>
  <si>
    <t>RO0072</t>
  </si>
  <si>
    <t>RO2443</t>
  </si>
  <si>
    <t>г. Ростов-на-Дону, улица Немировича-Данченко, 78</t>
  </si>
  <si>
    <t>44:пригруженная опора - проект УЦН</t>
  </si>
  <si>
    <t>Область Ростовская, Район Красносулинский, Хутор Платово\примерно 17 м по направлению на север от границ участка по адресу: хутор Платово (кадастровый номер: 61:18:0600001:616)</t>
  </si>
  <si>
    <t>RO0073</t>
  </si>
  <si>
    <t>RO2456</t>
  </si>
  <si>
    <t>г. Ростов-на-Дону, проспект Нагибина, 40</t>
  </si>
  <si>
    <t>Область Ростовская, Город Гуково, Улица Колодезная, Здание 2д\АМС ФГУП РТРС</t>
  </si>
  <si>
    <t>RO0074</t>
  </si>
  <si>
    <t>RO2489</t>
  </si>
  <si>
    <t>г. Ростов-на-Дону, переулок Беломорский, 100</t>
  </si>
  <si>
    <t>Область Ростовская, Район Тацинский, Хутор Малокачалин, Улица Садовая, Домовладение 58\Примерно 30м. по направлению на север от границ участка по ул. Садовая, 60</t>
  </si>
  <si>
    <t>RO0075</t>
  </si>
  <si>
    <t>RO2495</t>
  </si>
  <si>
    <t>г. Ростов-на-Дону, улица Врубовая, 40</t>
  </si>
  <si>
    <t>Область Ростовская, Район Тацинский, Поселок Сухая Балка, Улица Черемушки, Дом 17\кв 2, 21 м на север</t>
  </si>
  <si>
    <t>RO0076</t>
  </si>
  <si>
    <t>г. Ростов-на-Дону, проспект Шолохова 310/2</t>
  </si>
  <si>
    <t>RO2582</t>
  </si>
  <si>
    <t>Область Ростовская, Район Тарасовский, Поселок Тарасовский, Улица М.Горького\дом 7</t>
  </si>
  <si>
    <t>RO0077</t>
  </si>
  <si>
    <t>г. Ростов-на-Дону, Красноармейская Улица, дом 3а</t>
  </si>
  <si>
    <t>RO2587</t>
  </si>
  <si>
    <t>Область Ростовская, Район Каменский, Хутор Старая Станица, Улица Большевистская\Территория парка Лога</t>
  </si>
  <si>
    <t>RO0078</t>
  </si>
  <si>
    <t>г. Ростов-на-Дону, улица Погодина, 83</t>
  </si>
  <si>
    <t>RO2620</t>
  </si>
  <si>
    <t>Область Ростовская, Район Белокалитвинский, Хутор Дубовой</t>
  </si>
  <si>
    <t>RO0080</t>
  </si>
  <si>
    <t>г. Аксай, улица Шевченко, 121</t>
  </si>
  <si>
    <t>RO2621</t>
  </si>
  <si>
    <t>Ростовская обл., р-н Боковский, с. Вербовка, ул. Кристальная, 50, кв.1</t>
  </si>
  <si>
    <t>RO0081</t>
  </si>
  <si>
    <t>RO2624</t>
  </si>
  <si>
    <t xml:space="preserve"> Ростов-на-Дону Город, Текучева Улица\Волгоградская</t>
  </si>
  <si>
    <t>Область Ростовская, Район Милютинский, Хутор Севостьянов, Улица Молодежная, Домовладение 31\Примерно 60 м. по направлению на восток от границ участка по ул. Молодежная, 31.</t>
  </si>
  <si>
    <t>RO0082</t>
  </si>
  <si>
    <t>RO2626</t>
  </si>
  <si>
    <t>г. Ростов-на-Дону, улица Миронова, 12/5</t>
  </si>
  <si>
    <t>Область Ростовская, Район Верхнедонской, Хутор Парижский, Улица Парижская\примерно в 52 м по направлению на северо-запад от границ земельного участка с кадастровым номером: 61:07:0010101:164, расположенного по адресу: х. Парижский, ул. Парижская, 62</t>
  </si>
  <si>
    <t>RO0083</t>
  </si>
  <si>
    <t>RO2627</t>
  </si>
  <si>
    <t>Аксайский район, АО Темерницкое, улица Темерницкая, 5</t>
  </si>
  <si>
    <t>Ростовская обл., р-н Шолоховский, х. Калиновский, пер. Южный, 12, квартира 2</t>
  </si>
  <si>
    <t>RO0084</t>
  </si>
  <si>
    <t>RO2628</t>
  </si>
  <si>
    <t>г. Ростов-на-Дону, улица Обсерваторная, 62</t>
  </si>
  <si>
    <t>Область Ростовская, Район Белокалитвинский, Хутор Усть-Быстрый, Улица Нижняя</t>
  </si>
  <si>
    <t>RO0086</t>
  </si>
  <si>
    <t>RO2629</t>
  </si>
  <si>
    <t>г. Ростов-на-Дону, проспект Соколова, 80</t>
  </si>
  <si>
    <t>Область Ростовская, Район Шолоховский, Хутор Нижнекривской\примерно в 33 м по направлению на юго-запад от границ земельного участка с кадастровым номером:61:43:0600016:774, ул. Родниковая, 48</t>
  </si>
  <si>
    <t>RO0087</t>
  </si>
  <si>
    <t>RO2630</t>
  </si>
  <si>
    <t>г. Ростов-на-Дону, улица Солидарности, 184</t>
  </si>
  <si>
    <t>Область Ростовская, Район Верхнедонской, Станица Казанская, Улица Ленина, Здание 28</t>
  </si>
  <si>
    <t>RO0088</t>
  </si>
  <si>
    <t>RO2631</t>
  </si>
  <si>
    <t>г. Ростов-на-Дону, улица Королева, 1и</t>
  </si>
  <si>
    <t>Область Ростовская, Район Тацинский, Хутор Надежевка, Улица Пролетарская, Домовладение 22\Примерно 47 м. по направлению на северо - восток от границ участка по ул. Пролетарская, 22</t>
  </si>
  <si>
    <t>RO0090</t>
  </si>
  <si>
    <t>RO2633</t>
  </si>
  <si>
    <t>г. Ростов-на-Дону, проспект Семашко, 19</t>
  </si>
  <si>
    <t>Область Ростовская, Район Шолоховский, Хутор Варваринский, ул. Горсоветская 40</t>
  </si>
  <si>
    <t>RO0093</t>
  </si>
  <si>
    <t>RO2641</t>
  </si>
  <si>
    <t>г. Ростов-на-Дону, пер. Брянский, 9</t>
  </si>
  <si>
    <t>Область Ростовская, Район Белокалитвинский, Хутор Гусынка</t>
  </si>
  <si>
    <t>RO0094</t>
  </si>
  <si>
    <t>RO2645</t>
  </si>
  <si>
    <t>Область Ростовская, Район Милютинский, Хутор Степано-Савченский, Улица Школьная, Домовладение 18</t>
  </si>
  <si>
    <t>г. Ростов-на-Дону, улица Социалистическая, 140</t>
  </si>
  <si>
    <t>RO2664</t>
  </si>
  <si>
    <t>RO0095</t>
  </si>
  <si>
    <t>Ростовская Область, Боковский Район, Боковская Станица, Книжный Переулок\11</t>
  </si>
  <si>
    <t>г. Аксай, улица Ленина, 1</t>
  </si>
  <si>
    <t>RO2670</t>
  </si>
  <si>
    <t>RO0100</t>
  </si>
  <si>
    <t>Ростовская Область, Шолоховский Район, Базковская Станица, Советская Улица, дом 106</t>
  </si>
  <si>
    <t>г.Батайск, улица Фермерская, дом 18/374.</t>
  </si>
  <si>
    <t>RO0101</t>
  </si>
  <si>
    <t>RO2715</t>
  </si>
  <si>
    <t>г. Батайск, улица Зеленая, 80</t>
  </si>
  <si>
    <t>Ростовская Область, Верхнедонской Район, Суходольный Поселок, Школьная Улица, дом стр1а\АМС ФГУП РТРС</t>
  </si>
  <si>
    <t>RO0102</t>
  </si>
  <si>
    <t>г. Батайск, улица Энгельса, 347</t>
  </si>
  <si>
    <t>RO2744</t>
  </si>
  <si>
    <t>Область Ростовская, Район Миллеровский, Слобода Нижненагольная\пересечение улицы Российская и улицы Молодежная</t>
  </si>
  <si>
    <t>RO0103</t>
  </si>
  <si>
    <t>Город Батайск, улица Луначарского 162</t>
  </si>
  <si>
    <t>RO2753</t>
  </si>
  <si>
    <t>Область Ростовская, Район Верхнедонской, Хутор Новониколаевский, Переулок Школьный</t>
  </si>
  <si>
    <t>RO0104</t>
  </si>
  <si>
    <t>г. Батайск, улица Горького, 598</t>
  </si>
  <si>
    <t>RO2758</t>
  </si>
  <si>
    <t>Верхнедонской р-н, х Мещеряковский, ул Садовая (Садовая Улица, дом 27 Б).</t>
  </si>
  <si>
    <t>RO0105</t>
  </si>
  <si>
    <t>г. Батайск, переулок Ростовский, 3</t>
  </si>
  <si>
    <t>RO2800</t>
  </si>
  <si>
    <t>Область Ростовская, Район Чертковский, Село Греково-Степановка, Улица Центральная</t>
  </si>
  <si>
    <t>RO0106</t>
  </si>
  <si>
    <t>г. Батайск, улица Талаллихина, 47</t>
  </si>
  <si>
    <t>RO2826</t>
  </si>
  <si>
    <t>Ростовская Область, Кашарский Район\Поповское сельское поселение, примерно в 30 м от здания администрации Поповского сельского поселения на запад, АМС ФГУП "РТРС"</t>
  </si>
  <si>
    <t>RO0107</t>
  </si>
  <si>
    <t>RO2875</t>
  </si>
  <si>
    <t>г. Батайск, улица Куйбышева, 171</t>
  </si>
  <si>
    <t>Каменск-Шахтинский Город, Красноармейский Переулок, дом 46</t>
  </si>
  <si>
    <t>RO0108</t>
  </si>
  <si>
    <t>RO2879</t>
  </si>
  <si>
    <t>г. Батайск, улица Мелиораторов, 25</t>
  </si>
  <si>
    <t>Ростовская Область, Донецк Город, Василевского Улица\1 н</t>
  </si>
  <si>
    <t>RO0109</t>
  </si>
  <si>
    <t>RO2988</t>
  </si>
  <si>
    <t>г. Батайск, улица Железнодорожная, 34</t>
  </si>
  <si>
    <t>г. Зверево, Улица Казакова, Здание 33</t>
  </si>
  <si>
    <t>RO0110</t>
  </si>
  <si>
    <t>RO9342</t>
  </si>
  <si>
    <t>Кагальницкий район, село Новобатайск, улица Ленина, 2</t>
  </si>
  <si>
    <t xml:space="preserve">Ростовская Область Кашарский Район Усть-Мечетка Село </t>
  </si>
  <si>
    <t>RO0111</t>
  </si>
  <si>
    <t>RO9692</t>
  </si>
  <si>
    <t>г. Батайск, улица Энгельса, 341</t>
  </si>
  <si>
    <t>Ростовская Область, Миллеровский Район, Миллерово Город, Котовского Улица\возле АЗС №105</t>
  </si>
  <si>
    <t>RO0112</t>
  </si>
  <si>
    <t>RO9811</t>
  </si>
  <si>
    <t>г. Батайск, улица Куйбышева, 141</t>
  </si>
  <si>
    <t>Ростовская Область, Советский Район, Чирский Поселок, Шоссейная Улица</t>
  </si>
  <si>
    <t>RO0113</t>
  </si>
  <si>
    <t>RO9858</t>
  </si>
  <si>
    <t>г. Батайск, улица Авиационная 4а</t>
  </si>
  <si>
    <t>Ростовская Область, Красносулинский Район, Зайцевка Хутор\СПК "Родина" в 0,7 км. на север от х. Зайцевка</t>
  </si>
  <si>
    <t>RO0114</t>
  </si>
  <si>
    <t>RO9999</t>
  </si>
  <si>
    <t>г. Батайск, улица Орджоникидзе, 76</t>
  </si>
  <si>
    <t>Ростовская Область, Чертковский Район, Терновский Хутор\АМС башня АО "НБК" (ВымпелКом)</t>
  </si>
  <si>
    <t>RO0115</t>
  </si>
  <si>
    <t>RO0314</t>
  </si>
  <si>
    <t>г. Батайск, улица Саратовская, 65</t>
  </si>
  <si>
    <t>Зимовниковский район, поселок Зимовники, улица Железнодорожная, 99</t>
  </si>
  <si>
    <t>Волгодонск</t>
  </si>
  <si>
    <t>RO0116</t>
  </si>
  <si>
    <t>RO0315</t>
  </si>
  <si>
    <t>Кагальницкий район, 250 м. южнее поселка Мокрый Батай, башня ГПТГ Кубань</t>
  </si>
  <si>
    <t>Район Веселовский, Поселок Веселый, Улица Октябрьская 178</t>
  </si>
  <si>
    <t>RO0117</t>
  </si>
  <si>
    <t>RO0328</t>
  </si>
  <si>
    <t>Азовский район, поселок Красный Сад, улица Чехова, 15</t>
  </si>
  <si>
    <t>Зимовниковский район, хутор Гашун, улица Железнодорожная 53а</t>
  </si>
  <si>
    <t>RO0118</t>
  </si>
  <si>
    <t>RO0333</t>
  </si>
  <si>
    <t>г. Батайск, улица Московская, 278А</t>
  </si>
  <si>
    <t>Зимовниковский район, хутор Камышев</t>
  </si>
  <si>
    <t>RO0119</t>
  </si>
  <si>
    <t>RO0335</t>
  </si>
  <si>
    <t>г. Батайск, поселок Авиагородок, д.48</t>
  </si>
  <si>
    <t>Зимовниковский район, станица Кутейниковская, улица Школьная, 1а</t>
  </si>
  <si>
    <t>RO0120</t>
  </si>
  <si>
    <t>RO0340</t>
  </si>
  <si>
    <t>г. Аксай, улица Толпинского, 67</t>
  </si>
  <si>
    <t>Заветинский район, село Заветное</t>
  </si>
  <si>
    <t>RO0346</t>
  </si>
  <si>
    <t>RO0125</t>
  </si>
  <si>
    <t>Ремонтненский район, поселок Привольный</t>
  </si>
  <si>
    <t>Ростовская область, г Новочеркасск, ул Клещева, д. 110.</t>
  </si>
  <si>
    <t>RO0354</t>
  </si>
  <si>
    <t>RO0127</t>
  </si>
  <si>
    <t>Область Ростовская, Район Зимовниковский, Хутор Хуторской</t>
  </si>
  <si>
    <t>г. Ростов-на-Дону, улица Волоколамская, 10</t>
  </si>
  <si>
    <t>RO0356</t>
  </si>
  <si>
    <t>RO0128</t>
  </si>
  <si>
    <t>г. Ростов-на-Дону, улица Волкова, 9</t>
  </si>
  <si>
    <t>Ростовская область, Зимовниковский р-н, п Красностепной (животноводческая точка №26 в 4 км. севернее поселка).</t>
  </si>
  <si>
    <t>RO0129</t>
  </si>
  <si>
    <t>RO0360</t>
  </si>
  <si>
    <t>Зимовниковский район, хутор Савоськин, улица Центральная, 100</t>
  </si>
  <si>
    <t>г. Ростов-на-Дону, улица Миронова, 5а</t>
  </si>
  <si>
    <t>RO0362</t>
  </si>
  <si>
    <t>RO0130</t>
  </si>
  <si>
    <t>Заветинский район, 800 м севернее хутора Никольский, башня ОАО "Мегафон"</t>
  </si>
  <si>
    <t>Аксайский район, поселок Янтарный, кварталы 45 и 46,  1055 км трассы М-4 "Дон"</t>
  </si>
  <si>
    <t>RO0131</t>
  </si>
  <si>
    <t>RO0364</t>
  </si>
  <si>
    <t>г Новочеркасск, ул Ровная, д. 12 (118).</t>
  </si>
  <si>
    <t>Зимовниковский район, хутор Глубокий, улица Береговая, 2а</t>
  </si>
  <si>
    <t>RO0132</t>
  </si>
  <si>
    <t>RO0380</t>
  </si>
  <si>
    <t>г. Ростов-на-Дону, улица Менжинского, 2-Н</t>
  </si>
  <si>
    <t>Заветинский Район, с. Кичкино</t>
  </si>
  <si>
    <t>RO0133</t>
  </si>
  <si>
    <t>RO0382</t>
  </si>
  <si>
    <t>г. Ростов-на-Дону, улица 1-ой Конной Армии, 1</t>
  </si>
  <si>
    <t>Мартыновский район, хутор Лесной</t>
  </si>
  <si>
    <t>RO0134</t>
  </si>
  <si>
    <t>RO0388</t>
  </si>
  <si>
    <t>Область Ростовская, Город Ростов-на-Дону, Улица 25-я линия, Дом 36а/1а</t>
  </si>
  <si>
    <t>Ростовская Область, Ремонтненский Район, Валуевка Село, 40 лет Победы Улица\1А, АМС ФГУП "РТРС"</t>
  </si>
  <si>
    <t>RO0700</t>
  </si>
  <si>
    <t>RO0136</t>
  </si>
  <si>
    <t>г. Ростов-на-Дону, улица Береговая, 67</t>
  </si>
  <si>
    <t>Семикаракорский район, г. Семикаракорск, улица Араканцева, 31</t>
  </si>
  <si>
    <t>RO0137</t>
  </si>
  <si>
    <t>RO0704</t>
  </si>
  <si>
    <t>г. Ростов-на-Дону, улица Левобережная, 73</t>
  </si>
  <si>
    <t>Семикаракорский район, г. Семикаракорск, переулок Арабского, 10</t>
  </si>
  <si>
    <t>RO0705</t>
  </si>
  <si>
    <t>RO0138</t>
  </si>
  <si>
    <t>Константиновский район, г. Константиновск, улица Баумана, 89</t>
  </si>
  <si>
    <t>г. Ростов-на-Дону, улица Береговая, 10</t>
  </si>
  <si>
    <t>RO0706</t>
  </si>
  <si>
    <t>RO0139</t>
  </si>
  <si>
    <t>г. Волгодонск, улица Железнодорожная, 110</t>
  </si>
  <si>
    <t>г. Ростов-на-Дону, улица Борко 10</t>
  </si>
  <si>
    <t>RO0707</t>
  </si>
  <si>
    <t>г. Волгодонск, проспект Курчатова, 14</t>
  </si>
  <si>
    <t>RO0140</t>
  </si>
  <si>
    <t>г. Ростов-на-Дону, проспект 40 лет Победы 63/2</t>
  </si>
  <si>
    <t>RO0708</t>
  </si>
  <si>
    <t>г. Волгодонск, улица Ленина, 52</t>
  </si>
  <si>
    <t>RO0141</t>
  </si>
  <si>
    <t>Ростов-на-Дону Город, Детская Улица, дом 137/40-42</t>
  </si>
  <si>
    <t>RO0709</t>
  </si>
  <si>
    <t>г. Волгодонск, улица Волгодонская, 2В</t>
  </si>
  <si>
    <t>RO0142</t>
  </si>
  <si>
    <t>г. Ростов-на-Дону, проспект 40-летия Победы, 308/5</t>
  </si>
  <si>
    <t>RO0710</t>
  </si>
  <si>
    <t>Цимлянский район, г. Цимлянск, улица Нагорная, 2е</t>
  </si>
  <si>
    <t>RO0143</t>
  </si>
  <si>
    <t>г. Аксай, улица Фрунзе, 41</t>
  </si>
  <si>
    <t>RO0711</t>
  </si>
  <si>
    <t>Цимлянский район, г. Цимлянск, улица Московская, 76а</t>
  </si>
  <si>
    <t>RO0144</t>
  </si>
  <si>
    <t>г. Аксай, улица Садовая, 33</t>
  </si>
  <si>
    <t>RO0712</t>
  </si>
  <si>
    <t>г. Волгодонск, проспект Строителей, 5</t>
  </si>
  <si>
    <t>RO0145</t>
  </si>
  <si>
    <t>Аксайский район, 300 м севернее поселка Золотой Колос, башня ГПТГ-Кубань</t>
  </si>
  <si>
    <t>RO0713</t>
  </si>
  <si>
    <t>г. Волгодонск, улица 30 лет Победы 20</t>
  </si>
  <si>
    <t>RO0146</t>
  </si>
  <si>
    <t>г. Ростов-на-Дону, Чехова Проспект, дом 71</t>
  </si>
  <si>
    <t>RO0714</t>
  </si>
  <si>
    <t>г. Волгодонск-28, Ростовская АЭС</t>
  </si>
  <si>
    <t>RO0147</t>
  </si>
  <si>
    <t>г. Ростов-на-Дону, улица Темерницкая, 44</t>
  </si>
  <si>
    <t>RO0715</t>
  </si>
  <si>
    <t>Семикаракорский район, хутор Маломечетный, улица Степная, 59</t>
  </si>
  <si>
    <t>RO0149</t>
  </si>
  <si>
    <t>г. Ростов-на-Дону, проспект Нагибина, 32/2</t>
  </si>
  <si>
    <t>RO0716</t>
  </si>
  <si>
    <t>Волгодонской район, станица Романовская, улица 50 лет Победы, 60</t>
  </si>
  <si>
    <t>RO0150</t>
  </si>
  <si>
    <t>г. Ростов-на-Дону, улица Димитрова 36/7</t>
  </si>
  <si>
    <t>RO0718</t>
  </si>
  <si>
    <t>Морозовский район, поселок Знаменка, улица Степная, 1А</t>
  </si>
  <si>
    <t>RO0151</t>
  </si>
  <si>
    <t>г. Ростов-на-Дону, проспект Буденновский, 50\78</t>
  </si>
  <si>
    <t>RO0719</t>
  </si>
  <si>
    <t>Цимлянский район, поселок Железнодорожный, элеватор</t>
  </si>
  <si>
    <t>RO0152</t>
  </si>
  <si>
    <t>г. Ростов-на-Дону, улица Пушкинская, 70</t>
  </si>
  <si>
    <t>RO0723</t>
  </si>
  <si>
    <t>Морозовский район, г. Морозовск, улица Ворошилова, 73А</t>
  </si>
  <si>
    <t>RO0153</t>
  </si>
  <si>
    <t>г. Ростов-на-Дону, улица Лермонтовская, 89</t>
  </si>
  <si>
    <t>RO0724</t>
  </si>
  <si>
    <t>Морозовский район, г. Морозовск, улица Р. Люксембург, 96</t>
  </si>
  <si>
    <t>RO0154</t>
  </si>
  <si>
    <t>г. Ростов-на-Дону, улица Большая Садовая 115</t>
  </si>
  <si>
    <t>RO0725</t>
  </si>
  <si>
    <t>Морозовский район, г. Морозовск, улица Ленина, 161Б</t>
  </si>
  <si>
    <t>RO0155</t>
  </si>
  <si>
    <t>г. Ростов-на-Дону, площадь Свободы 2/1</t>
  </si>
  <si>
    <t>RO0728</t>
  </si>
  <si>
    <t>Морозовский район, 2,5 км севернее г. Морозовск, вышка РТПЦ</t>
  </si>
  <si>
    <t>RO0156</t>
  </si>
  <si>
    <t>г. Ростов-на-Дону, улица Юфимцева, 17</t>
  </si>
  <si>
    <t>RO0729</t>
  </si>
  <si>
    <t>Обливский район, станица Обливская, улица Калиманова, 19</t>
  </si>
  <si>
    <t>RO0157</t>
  </si>
  <si>
    <t>г. Ростов-на-Дону, переулок Ахтарский 6, литер Т</t>
  </si>
  <si>
    <t>RO0731</t>
  </si>
  <si>
    <t>Семикаракорский район, г. Семикаракорск, пересечение 1-го переулка и улицы Калинина</t>
  </si>
  <si>
    <t>RO0158</t>
  </si>
  <si>
    <t>г. Ростов-на-Дону, улица Башкирская 14</t>
  </si>
  <si>
    <t>RO0738</t>
  </si>
  <si>
    <t>Волгодонской район, хутор Парамонов, улица Строительная 37</t>
  </si>
  <si>
    <t>RO0159</t>
  </si>
  <si>
    <t>г. Ростов-на-Дону, улица Новаторов, 5</t>
  </si>
  <si>
    <t>RO0739</t>
  </si>
  <si>
    <t>г. Волгодонск, пересечение улицы Горького и улицы Степная</t>
  </si>
  <si>
    <t>RO0160</t>
  </si>
  <si>
    <t>г. Ростов-на-Дону, улица Геологическая, 2</t>
  </si>
  <si>
    <t>RO0740</t>
  </si>
  <si>
    <t>г. Волгодонск, пересечение улицы Мира и улицы Гагарина, микрорайон В-6</t>
  </si>
  <si>
    <t>RO0161</t>
  </si>
  <si>
    <t>г. Ростов-на-Дону, проспект 40-летия Победы, 75</t>
  </si>
  <si>
    <t>RO0741</t>
  </si>
  <si>
    <t>г. Волгодонск, пересечение улицы Ленинградская и проспекта Курчатова</t>
  </si>
  <si>
    <t>RO0162</t>
  </si>
  <si>
    <t>г. Ростов-на-Дону, улица Штахановского, 28\1</t>
  </si>
  <si>
    <t>RO0747</t>
  </si>
  <si>
    <t>Мартыновский район, слобода Большая Мартыновка, 85 м северо-западнее д.110 по улице Ковалева</t>
  </si>
  <si>
    <t>RO0163</t>
  </si>
  <si>
    <t>г. Аксай, Новочеркасское шоссе, 4а</t>
  </si>
  <si>
    <t>RO0748</t>
  </si>
  <si>
    <t>Мартыновский район, слобода Большая Орловка, улица Дорожная, 3</t>
  </si>
  <si>
    <t>RO0166</t>
  </si>
  <si>
    <t>г. Ростов-на-Дону, улица Станиславского, 8А</t>
  </si>
  <si>
    <t>RO0749</t>
  </si>
  <si>
    <t>Цимлянский район, станица Хорошевская</t>
  </si>
  <si>
    <t>RO0167</t>
  </si>
  <si>
    <t>г. Ростов-на-Дону, улица Красноармейская, 108А</t>
  </si>
  <si>
    <t>RO0750</t>
  </si>
  <si>
    <t>Мартыновский район, поселок Центральный, улица Ленина, 67</t>
  </si>
  <si>
    <t>RO0168</t>
  </si>
  <si>
    <t>г. Ростов-на-Дону, улица Красноармейская, 157</t>
  </si>
  <si>
    <t>RO0751</t>
  </si>
  <si>
    <t>Константиновский район, станица Николаевская, район участка КРЭС</t>
  </si>
  <si>
    <t>RO0169</t>
  </si>
  <si>
    <t>г. Ростов-на-Дону, улица Комбайностроителей, 2</t>
  </si>
  <si>
    <t>RO0753</t>
  </si>
  <si>
    <t>Семикаракорский район, станица Задоно-Кагальницкая, вышка ОАО "Вымпелком"</t>
  </si>
  <si>
    <t>RO0170</t>
  </si>
  <si>
    <t>г. Ростов-на-Дону, улица Белорусская, 163-165</t>
  </si>
  <si>
    <t>RO0755</t>
  </si>
  <si>
    <t>г. Волгодонск, Цимлянское шоссе 22 а</t>
  </si>
  <si>
    <t>RO0173</t>
  </si>
  <si>
    <t>Ростовская Область, Ростов-на-Дону Город, Кировский Проспект, дом 57б</t>
  </si>
  <si>
    <t>RO0757</t>
  </si>
  <si>
    <t>Волгодонской район, хутор Лагутники</t>
  </si>
  <si>
    <t>RO0176</t>
  </si>
  <si>
    <t>Ростовская Область, Ростов-на-Дону Город, 1-я Луговая Улица, дом 20</t>
  </si>
  <si>
    <t>RO0758</t>
  </si>
  <si>
    <t>Семикаракорский район, г. Семикаракорск, проспект Атаманский, 265</t>
  </si>
  <si>
    <t>RO0178</t>
  </si>
  <si>
    <t>г. Ростов-на-Дону, ул.Ленина, 46 б</t>
  </si>
  <si>
    <t>RO0759</t>
  </si>
  <si>
    <t>Константиновский район, г. Константиновск, улица Шахтинская, АЗС</t>
  </si>
  <si>
    <t>RO0179</t>
  </si>
  <si>
    <t>г. Ростов-на-Дону, улица Нансена, 79А</t>
  </si>
  <si>
    <t>RO0760</t>
  </si>
  <si>
    <t>Константиновский район, г. Константиновск, пересечение улицы Радищева и улицы Ермака</t>
  </si>
  <si>
    <t>RO0180</t>
  </si>
  <si>
    <t>Город Таганрог, Улица Чучева 47-2</t>
  </si>
  <si>
    <t>RO0763</t>
  </si>
  <si>
    <t>Мартыновский район, поселок Черемухи, улица Нефтебаза, 2</t>
  </si>
  <si>
    <t>RO0181</t>
  </si>
  <si>
    <t>г. Ростов-на-Дону, улица Беляева, 24</t>
  </si>
  <si>
    <t>RO0764</t>
  </si>
  <si>
    <t>Волгодонской район, станица Дубенцовская, улица Пролетарская, 6 а</t>
  </si>
  <si>
    <t>RO0182</t>
  </si>
  <si>
    <t>г. Ростов-на-Дону, переулок Днепровский, 116</t>
  </si>
  <si>
    <t>RO0765</t>
  </si>
  <si>
    <t>Волгодонской район, хутор Ясырев, улица Победы, 21</t>
  </si>
  <si>
    <t>RO0183</t>
  </si>
  <si>
    <t>г. Ростов-на-Дону, улица Днепропетровская, 83</t>
  </si>
  <si>
    <t>RO0766</t>
  </si>
  <si>
    <t>Волгодонской район, поселок Мичуринский, улица Ленина, 22</t>
  </si>
  <si>
    <t>RO0184</t>
  </si>
  <si>
    <t>г. Ростов-на-Дону, проспект Шолохова 211 б</t>
  </si>
  <si>
    <t>RO0767</t>
  </si>
  <si>
    <t>Константиновский район, г. Константиновск, улица Карташова, 43</t>
  </si>
  <si>
    <t>RO0185</t>
  </si>
  <si>
    <t>г. Ростов-на-Дону, проспект Сельмаш, 2</t>
  </si>
  <si>
    <t>RO0769</t>
  </si>
  <si>
    <t>Цимлянский район, хутор Паршиков, улица Центральная, 5а</t>
  </si>
  <si>
    <t>RO0186</t>
  </si>
  <si>
    <t>г. Ростов-на-Дону, 37 Линия Улица, дом 95</t>
  </si>
  <si>
    <t>RO0771</t>
  </si>
  <si>
    <t>Цимлянский район, г. Цимлянск, улица Победы, 116/7</t>
  </si>
  <si>
    <t>RO0187</t>
  </si>
  <si>
    <t>г. Ростов-на-Дону, Баумоновская 3/54</t>
  </si>
  <si>
    <t>RO0776</t>
  </si>
  <si>
    <t>Обливский Район, Обливская Станица, Розы Люксембург Улица\Опора АО "ПБК" (Мегафон)</t>
  </si>
  <si>
    <t>RO0188</t>
  </si>
  <si>
    <t>г. Ростов-на-Дону, улица Максима Горького 276</t>
  </si>
  <si>
    <t>RO0777</t>
  </si>
  <si>
    <t>г. Волгодонск, проспект Курчатова, 30</t>
  </si>
  <si>
    <t>RO0189</t>
  </si>
  <si>
    <t>Ростов-на-Дону Город, Нансена Улица\135/11</t>
  </si>
  <si>
    <t>RO0778</t>
  </si>
  <si>
    <t>г. Волгодонск, улица 7-я Заводская, 114</t>
  </si>
  <si>
    <t>RO0190</t>
  </si>
  <si>
    <t>г. Ростов-на-Дону, улица Левобережная 66-68</t>
  </si>
  <si>
    <t>RO0779</t>
  </si>
  <si>
    <t>г. Волгодонск, улица Мира, 56</t>
  </si>
  <si>
    <t>RO0191</t>
  </si>
  <si>
    <t>г. Ростов-на-Дону, проспект Ворошиловский, 51</t>
  </si>
  <si>
    <t>RO0781</t>
  </si>
  <si>
    <t>г. Волгодонск, улица Индустриальная, 10</t>
  </si>
  <si>
    <t>RO0192</t>
  </si>
  <si>
    <t>г. Ростов-на-Дону, улица Мечникова, 140</t>
  </si>
  <si>
    <t>RO0787</t>
  </si>
  <si>
    <t>Константиновский район, в 1000 м. севернее хутора Базки</t>
  </si>
  <si>
    <t>RO0193</t>
  </si>
  <si>
    <t>Аксайский район, поселок Темерницкий</t>
  </si>
  <si>
    <t>RO0790</t>
  </si>
  <si>
    <t>Цимлянский район, г. Цимлянск, улица Гришина, 26</t>
  </si>
  <si>
    <t>RO0194</t>
  </si>
  <si>
    <t>г. Ростов-на-Дону, переулок Братский, 46/16</t>
  </si>
  <si>
    <t>RO0792</t>
  </si>
  <si>
    <t>Цимлянский район, хутор Лозной, водонапорная башня</t>
  </si>
  <si>
    <t>RO0195</t>
  </si>
  <si>
    <t>г. Ростов-на-Дону, улица Лермонтовская, 22/5-9</t>
  </si>
  <si>
    <t>RO0798</t>
  </si>
  <si>
    <t>Семикаракорский район, 100м севернее станицы Новозолотовская</t>
  </si>
  <si>
    <t>RO0196</t>
  </si>
  <si>
    <t>RO0799</t>
  </si>
  <si>
    <t>г. Ростов-на-Дону, проспект Буденновский, 99</t>
  </si>
  <si>
    <t>Семикаракорский район, станица Кочетовская, улица Горького, 40а</t>
  </si>
  <si>
    <t>RO0197</t>
  </si>
  <si>
    <t>г. Ростов-на-Дону, улица Мечникова, 36</t>
  </si>
  <si>
    <t>RO0800</t>
  </si>
  <si>
    <t>Область Ростовская, Город Волгодонск, Улица Дружбы, Дом 8</t>
  </si>
  <si>
    <t>RO0198</t>
  </si>
  <si>
    <t>Аксайский Район, х. Большой Лог,район 2-го ракушечного карьера кирпичного завода</t>
  </si>
  <si>
    <t>RO0825</t>
  </si>
  <si>
    <t>Цимлянский район, ст-ца Камышевская</t>
  </si>
  <si>
    <t>RO0200</t>
  </si>
  <si>
    <t>RO0833</t>
  </si>
  <si>
    <t>г. Ростов-на-Дону, улица Малиновского,в р-не д.3</t>
  </si>
  <si>
    <t>г. Волгодонск, Романовское шоссе 1</t>
  </si>
  <si>
    <t>RO0201</t>
  </si>
  <si>
    <t>г. Азов, улица Кооперативная 12</t>
  </si>
  <si>
    <t>RO0850</t>
  </si>
  <si>
    <t>Дубовский район, станица Жуковская</t>
  </si>
  <si>
    <t>RO0202</t>
  </si>
  <si>
    <t>г. Азов, улица Транспортная</t>
  </si>
  <si>
    <t>RO0903</t>
  </si>
  <si>
    <t>г. Волгодонск, улица Весенняя, 56</t>
  </si>
  <si>
    <t>RO0203</t>
  </si>
  <si>
    <t>г. Азов, Петровский бульвар, 22</t>
  </si>
  <si>
    <t>RO0945</t>
  </si>
  <si>
    <t>Семикаракорский район, хутор Топилин</t>
  </si>
  <si>
    <t>RO0204</t>
  </si>
  <si>
    <t>г. Азов, переулок Некрасовский, 37</t>
  </si>
  <si>
    <t>RO0955</t>
  </si>
  <si>
    <t>Волгодонской район, поселок Прогресс</t>
  </si>
  <si>
    <t>RO0205</t>
  </si>
  <si>
    <t>Азовский район, село Кулешовка, улица Матросова, 15</t>
  </si>
  <si>
    <t>RO0958</t>
  </si>
  <si>
    <t>Волгодонской район, хутор Мокросоленый</t>
  </si>
  <si>
    <t>RO0206</t>
  </si>
  <si>
    <t>г. Азов, улица Ленина, 83</t>
  </si>
  <si>
    <t>RO0959</t>
  </si>
  <si>
    <t>Область Ростовская, Район Волгодонской, Хутор Потапов, Улица Комсомольская, Здание 47а, Строение 47А</t>
  </si>
  <si>
    <t>RO0207</t>
  </si>
  <si>
    <t>RO0975</t>
  </si>
  <si>
    <t>Азовский район, поселок Кугей, Кугейская птицефабрика</t>
  </si>
  <si>
    <t>Заветинский район, хутор Савдя</t>
  </si>
  <si>
    <t>RO0208</t>
  </si>
  <si>
    <t>RO0979</t>
  </si>
  <si>
    <t>Азовский район, поселок Александровка, улица Советская, 1А</t>
  </si>
  <si>
    <t>Ростовская Область, Заветинский Район, Киселевка Село, 60 лет СССР Улица\30А, АМС ФГУП "РТРС"</t>
  </si>
  <si>
    <t>RO0209</t>
  </si>
  <si>
    <t>RO1001</t>
  </si>
  <si>
    <t>г. Ростов-на-Дону, проспект 40-летия Победы, 99</t>
  </si>
  <si>
    <t>Зимовниковский район, хутор Грушевка, улица Молодежная 8</t>
  </si>
  <si>
    <t>RO0210</t>
  </si>
  <si>
    <t>RO1003</t>
  </si>
  <si>
    <t>Азовский район, поселок Займо-обрыв, улица Октябрьская, 29Б</t>
  </si>
  <si>
    <t>Зимовниковский район, хутор Поверенный, улица Звездная 3</t>
  </si>
  <si>
    <t>RO0211</t>
  </si>
  <si>
    <t>RO1022</t>
  </si>
  <si>
    <t>Азовский район, село Пешково, улица Буденного, 75Б</t>
  </si>
  <si>
    <t>Мартыновский Район, Новосадковский Хутор, Производственный Переулок, дом 8</t>
  </si>
  <si>
    <t>RO0212</t>
  </si>
  <si>
    <t>г. Азов, улица Достоевского, 45а</t>
  </si>
  <si>
    <t>RO1027</t>
  </si>
  <si>
    <t>Заветинский район, хутор Фомин, Башня РТРС</t>
  </si>
  <si>
    <t>RO0213</t>
  </si>
  <si>
    <t>г. Азов, пересечение улицы Комсомольская, 32 и переулка Коллонтаевский, 80</t>
  </si>
  <si>
    <t>RO1034</t>
  </si>
  <si>
    <t>Город Волгодонск, Улица Ленина, Земельный участок 125</t>
  </si>
  <si>
    <t>RO0214</t>
  </si>
  <si>
    <t>Азовский район, село Самарское, переулок Промышленный, 90</t>
  </si>
  <si>
    <t>RO1098</t>
  </si>
  <si>
    <t>Семикаракорский р-н, х Чебачий, ул Механизаторов, д. 6.</t>
  </si>
  <si>
    <t>RO0215</t>
  </si>
  <si>
    <t>Азовский район, село Кулешовка, пересечение улицы Молодежная и улицы Мичурина</t>
  </si>
  <si>
    <t>RO1105</t>
  </si>
  <si>
    <t>Ремонтненский район x. Вольный ул. Веревкина д.41 В</t>
  </si>
  <si>
    <t>RO0216</t>
  </si>
  <si>
    <t>Азовский район, хутор Обуховка, улица Ленина, 10Г</t>
  </si>
  <si>
    <t>RO1107</t>
  </si>
  <si>
    <t>Мартыновский р-н, хутор Московский</t>
  </si>
  <si>
    <t>RO0217</t>
  </si>
  <si>
    <t>Азовский район, село Самарское, улица Базарная, 89</t>
  </si>
  <si>
    <t>RO1127</t>
  </si>
  <si>
    <t>Область Ростовская, Район Мартыновский, Слобода Большая Орловка, Переулок Лиманский</t>
  </si>
  <si>
    <t>RO0218</t>
  </si>
  <si>
    <t>RO1234</t>
  </si>
  <si>
    <t>г. Азов, улица Пушкина, 203</t>
  </si>
  <si>
    <t>Область Ростовская, Город Волгодонск\СНТ Дон</t>
  </si>
  <si>
    <t>RO0219</t>
  </si>
  <si>
    <t>RO1338</t>
  </si>
  <si>
    <t>г. Азов, улица Измайлова, 58</t>
  </si>
  <si>
    <t>Семикаракорский Район, Новозолотовская Станица, Октябрьская Улица, дом 5</t>
  </si>
  <si>
    <t>RO0220</t>
  </si>
  <si>
    <t>RO1340</t>
  </si>
  <si>
    <t>Азовский район, поселок Чумбур-Коса, улица Морская, 2а</t>
  </si>
  <si>
    <t>Заветинский район, хутор Потапенко</t>
  </si>
  <si>
    <t>RO1347</t>
  </si>
  <si>
    <t>RO0221</t>
  </si>
  <si>
    <t>Семикаракорский Район, Лиманский Хутор\массив земель объединившихся крестьянских хозяйств "Промэкс", "Карп", "Амур".</t>
  </si>
  <si>
    <t>Азовский район, поселок Овощной, улица Кравченко, участок № 1С</t>
  </si>
  <si>
    <t>RO1368</t>
  </si>
  <si>
    <t>RO0222</t>
  </si>
  <si>
    <t>Морозовский Район, Морозовск Город, Пионерская Улица, дом 79</t>
  </si>
  <si>
    <t>Азовский район, село Семибалки, переулок Спортивный, 9б</t>
  </si>
  <si>
    <t>RO1373</t>
  </si>
  <si>
    <t>RO0223</t>
  </si>
  <si>
    <t>Семикаракорский р-н, х Чебачий, ул Горького (д.59-а).</t>
  </si>
  <si>
    <t>г. Азов, пл. Петровская, 3</t>
  </si>
  <si>
    <t>RO1386</t>
  </si>
  <si>
    <t>RO0224</t>
  </si>
  <si>
    <t>Ростовская Область, Семикаракорский Район, Титов Хутор, Вишневый Переулок\2Б</t>
  </si>
  <si>
    <t>г. Азов, улица Промышленная, 2</t>
  </si>
  <si>
    <t>RO1551</t>
  </si>
  <si>
    <t>RO0225</t>
  </si>
  <si>
    <t>Область Ростовская, Район Обливский, Хутор Солонецкий</t>
  </si>
  <si>
    <t>г. Азов, переулок Радужный, 20</t>
  </si>
  <si>
    <t>RO0226</t>
  </si>
  <si>
    <t>RO1618</t>
  </si>
  <si>
    <t>г. Азов, переулок Социалистический, 61</t>
  </si>
  <si>
    <t xml:space="preserve">Цимлянский Район, Лозной Хутор, Советская Улица\д.14-б </t>
  </si>
  <si>
    <t>RO0227</t>
  </si>
  <si>
    <t>RO1630</t>
  </si>
  <si>
    <t>г. Азов, улица Кирова 133</t>
  </si>
  <si>
    <t>Семикаракорск Город, Чехова Улица\50/ пер. Мелиаративный</t>
  </si>
  <si>
    <t>RO0228</t>
  </si>
  <si>
    <t>RO1653</t>
  </si>
  <si>
    <t>г. Азов, Кагальницкое шоссе, 28б</t>
  </si>
  <si>
    <t>Область Ростовская, Район Волгодонской, Поселок Сибирьковый, Улица Братская\примерно 26 м на запад от границ участка ул. Братская, д. 9, д 1</t>
  </si>
  <si>
    <t>RO0229</t>
  </si>
  <si>
    <t>г. Азов, улица Мелиораторов, 9</t>
  </si>
  <si>
    <t>RO1673</t>
  </si>
  <si>
    <t>Зимовниковский Район, Камышев Хутор\примерно в 70 метрах на юго-восток от дома № 32 по ул. Степной,  АМС ФГУП РТРС</t>
  </si>
  <si>
    <t>RO0230</t>
  </si>
  <si>
    <t>г. Аксай, улица Набережная, 199</t>
  </si>
  <si>
    <t>RO1676</t>
  </si>
  <si>
    <t>Константиновский Район, Константиновск Город, Комсомольская Улица, дом 143\А, АМС ФГУП РТРС</t>
  </si>
  <si>
    <t>RO0232</t>
  </si>
  <si>
    <t>г. Аксай, улица Чапаева, 175</t>
  </si>
  <si>
    <t>RO1679</t>
  </si>
  <si>
    <t>Мартыновский Район, Большая Мартыновка Слобода, Кабардино-Балкарская Улица, дом 96\АМС ФГУП "РТРС"</t>
  </si>
  <si>
    <t>RO0233</t>
  </si>
  <si>
    <t>Аксайский район, поселок Опытный</t>
  </si>
  <si>
    <t>RO1704</t>
  </si>
  <si>
    <t>Ростовская область, Константиновский р-н, х Верхнепотапов (пустырь, 125 м на восток от ул. Степная, д.3).</t>
  </si>
  <si>
    <t>RO0234</t>
  </si>
  <si>
    <t>Азовский район, село Круглое, улица Мира, 81а</t>
  </si>
  <si>
    <t>RO1708</t>
  </si>
  <si>
    <t>г. Волгодонск улица Ленина 88</t>
  </si>
  <si>
    <t>RO0235</t>
  </si>
  <si>
    <t>г. Ростов-на-Дону, пер. Радиальный,2</t>
  </si>
  <si>
    <t>RO1732</t>
  </si>
  <si>
    <t>Ростовская область, Обливский р-н, п Сосновый (50 м на северо-запад от дома по ул. Дачная, 1).</t>
  </si>
  <si>
    <t>RO0236</t>
  </si>
  <si>
    <t>Азовский район, село Елизаветовка</t>
  </si>
  <si>
    <t>RO1742</t>
  </si>
  <si>
    <t>Мартыновский р-н, п Степной Маяк, ул Сельская;</t>
  </si>
  <si>
    <t>RO0237</t>
  </si>
  <si>
    <t>Азовский район, поселок Новомирский, улица Московская, 15б, вышка ОАО "МТС"</t>
  </si>
  <si>
    <t>RO1744</t>
  </si>
  <si>
    <t>Мартыновский р-н, х Веселый, ул Урожайная;</t>
  </si>
  <si>
    <t>RO0238</t>
  </si>
  <si>
    <t>Азовский район, поселок Новополтавский, переулок Строителей 1Б</t>
  </si>
  <si>
    <t>RO1748</t>
  </si>
  <si>
    <t>Мартыновский район, хутор Комаров</t>
  </si>
  <si>
    <t>RO0239</t>
  </si>
  <si>
    <t>Аксайский район,  с/т "Донское", участки № 776, 777</t>
  </si>
  <si>
    <t>RO1750</t>
  </si>
  <si>
    <t>Мартыновский район, хутор Ильинов</t>
  </si>
  <si>
    <t>RO0240</t>
  </si>
  <si>
    <t>RO1753</t>
  </si>
  <si>
    <t>Аксайский район, поселок Водопадный, улица Ясная Поляна, 1А</t>
  </si>
  <si>
    <t>Ростовская область, Морозовский р-н, х Владимиров, ул Дружбы (21 м на север от края дороги по адресу ул. Дружбы, 45).</t>
  </si>
  <si>
    <t>RO0241</t>
  </si>
  <si>
    <t>Азовский район, село Орловка, улица Победы 19А</t>
  </si>
  <si>
    <t>RO1761</t>
  </si>
  <si>
    <t>Ростовская область, Морозовский р-н, х Широко-Атамановский (35 м на юг от здания почты по адресу ул. Мира, 31).</t>
  </si>
  <si>
    <t>RO0242</t>
  </si>
  <si>
    <t>Азовский район, село Отрадовка, улица Строительная, 25</t>
  </si>
  <si>
    <t>RO1762</t>
  </si>
  <si>
    <t>Константиновский район, станица Богоявленская</t>
  </si>
  <si>
    <t>RO0243</t>
  </si>
  <si>
    <t>г. Азов, улица Дружбы, 30а</t>
  </si>
  <si>
    <t>RO1763</t>
  </si>
  <si>
    <t>Ростовская область, Морозовский р-н, х Общий (80 м на северо восток от Мемориала Воину-освободителю);</t>
  </si>
  <si>
    <t>RO0244</t>
  </si>
  <si>
    <t>Азовский район, ДНТ "Искра", улица Железнодорожная 4</t>
  </si>
  <si>
    <t>RO1764</t>
  </si>
  <si>
    <t>Ростовская область, Морозовский р-н, х Вишневка (100 м южнее от строения по ул. Дружбы, дом 2323).</t>
  </si>
  <si>
    <t>RO0245</t>
  </si>
  <si>
    <t>Область Ростовская, Район Аксайский, Поселок Реконструктор, Улица Чапаева\в районе дома 1 Б</t>
  </si>
  <si>
    <t>RO1780</t>
  </si>
  <si>
    <t>Семикаракорский Район, Лиманский Хутор, Школьная Улица, дом 21</t>
  </si>
  <si>
    <t>RO0246</t>
  </si>
  <si>
    <t>Азовский район, хутор Колузаево, 160 м на запад от д.84 по улице Ленина</t>
  </si>
  <si>
    <t>RO1787</t>
  </si>
  <si>
    <t>Константиновский Район, Нижнекалинов Хутор, Ключевая Улица, дом 11\а</t>
  </si>
  <si>
    <t>RO0247</t>
  </si>
  <si>
    <t>Азовский район, село Самарское, улица Веселая 94</t>
  </si>
  <si>
    <t>RO1829</t>
  </si>
  <si>
    <t>Дубовский р-н, хутор Советский</t>
  </si>
  <si>
    <t>RO0248</t>
  </si>
  <si>
    <t>Ростов-на-Дону Город, Пойменная Улица, дом 1ж</t>
  </si>
  <si>
    <t>RO1838</t>
  </si>
  <si>
    <t>Ростовская область, Морозовский р-н, х Чекалов, ул Центральная (40 м на север от овощехранилища по адресу ул. Центральная, 9б);</t>
  </si>
  <si>
    <t>RO0249</t>
  </si>
  <si>
    <t>Область Ростовская, Город Ростов-на-Дону, Улица Казахская, Дом 86</t>
  </si>
  <si>
    <t>RO1854</t>
  </si>
  <si>
    <t>Цимлянский р-н, ст-ца Терновская, ул Центральная (70 м южнее здания отделения почты).</t>
  </si>
  <si>
    <t>RO0250</t>
  </si>
  <si>
    <t>г. Ростов-на-Дону, улица Космическая, 11</t>
  </si>
  <si>
    <t>RO1855</t>
  </si>
  <si>
    <t>Область Ростовская, Район Ремонтненский, Хутор Раздольный, Улица Центральная\примерно 60 м по направлению на северо-восток от границы участка по адресу: ул. Центральная, 17</t>
  </si>
  <si>
    <t>RO0252</t>
  </si>
  <si>
    <t>г. Ростов-на-Дону, улица Добровольского, 17</t>
  </si>
  <si>
    <t>RO1858</t>
  </si>
  <si>
    <t>Ростовская область, Константиновский р-н, х Белянский (100м на восток от ул. Кольцевая 2А (мачта РТРС)).</t>
  </si>
  <si>
    <t>RO0253</t>
  </si>
  <si>
    <t>г. Ростов-на-Дону, переулок Гнесина, 8</t>
  </si>
  <si>
    <t>RO1893</t>
  </si>
  <si>
    <t>Область Ростовская, Город Волгодонск, Проспект Мира\примерно в 290 м. на северо-восток от д. 107</t>
  </si>
  <si>
    <t>RO0255</t>
  </si>
  <si>
    <t>Ростов-на-Дону Город, Самойловская Улица, дом 9.</t>
  </si>
  <si>
    <t>RO1914</t>
  </si>
  <si>
    <t>Ростовская Область, Зимовниковский Район, Зимовники Поселок, Игнатовский Переулок, дом 18</t>
  </si>
  <si>
    <t>RO0256</t>
  </si>
  <si>
    <t>г. Ростов-на-Дону, 20-я линия, 4</t>
  </si>
  <si>
    <t>RO1924</t>
  </si>
  <si>
    <t>г Семикаракорск, ул Комарова, зд. 35.</t>
  </si>
  <si>
    <t>RO0258</t>
  </si>
  <si>
    <t>Ростов-на-Дону Город, Краснокурсантская Улица, дом 55/23</t>
  </si>
  <si>
    <t>RO1936</t>
  </si>
  <si>
    <t>Обливский Район, ст.Обливская, Черноморова Улица\17, АМС ФГУП "РТРС"</t>
  </si>
  <si>
    <t>RO0259</t>
  </si>
  <si>
    <t>Аксай Город, Чичерина Улица, дом 215А</t>
  </si>
  <si>
    <t>RO1937</t>
  </si>
  <si>
    <t>Ростовская Область, Ремонтненский Район, Ремонтное Село, Дзержинского Улица, дом 50\АМС ФГУП РТРС</t>
  </si>
  <si>
    <t>RO0260</t>
  </si>
  <si>
    <t>Ростов-на-Дону Город, Пригородный Переулок\23</t>
  </si>
  <si>
    <t>RO1940</t>
  </si>
  <si>
    <t>Ростовская Область, Заветинский Район, Заветное Село, улица Ленина, 74 а</t>
  </si>
  <si>
    <t>RO0261</t>
  </si>
  <si>
    <t>г. Ростов-на-Дону, улица Комбайностроителей 17</t>
  </si>
  <si>
    <t>RO1956</t>
  </si>
  <si>
    <t>Волгодонский район, поселок Краснодонский</t>
  </si>
  <si>
    <t>RO0262</t>
  </si>
  <si>
    <t>г. Ростов-на-Дону, улица Миронова 12/9</t>
  </si>
  <si>
    <t>RO1958</t>
  </si>
  <si>
    <t>Семикаракорск Город, Красноармейская Улица, дом 296</t>
  </si>
  <si>
    <t>RO0263</t>
  </si>
  <si>
    <t>г. Ростов-на-Дону, поселок Фрунзе, улица Гикало, 20</t>
  </si>
  <si>
    <t>RO1964</t>
  </si>
  <si>
    <t xml:space="preserve"> Область Ростовская, Город Волгодонск, Улица Молодежная, Дом 1а</t>
  </si>
  <si>
    <t>RO0266</t>
  </si>
  <si>
    <t>г. Ростов-на-Дону, проспект Королева, 13а</t>
  </si>
  <si>
    <t>RO1974</t>
  </si>
  <si>
    <t>Ростовская Область, Усть-Донецкий Район, Апаринский Хутор</t>
  </si>
  <si>
    <t>RO0267</t>
  </si>
  <si>
    <t>г. Ростов-на-Дону, улица Береста, 12 а</t>
  </si>
  <si>
    <t>RO1982</t>
  </si>
  <si>
    <t>Константиновский Район, Трофимов Хутор, Степная Улица, дом 26</t>
  </si>
  <si>
    <t>RO0271</t>
  </si>
  <si>
    <t>Аксайский р-н, Большелогское сельское поселение, с/т Дружба, участок № 51</t>
  </si>
  <si>
    <t>RO2007</t>
  </si>
  <si>
    <t>Ремонтненский район, село Ремонтное</t>
  </si>
  <si>
    <t>RO0272</t>
  </si>
  <si>
    <t>г. Ростов-на-Дону, улица Амиряна, 3а</t>
  </si>
  <si>
    <t>RO2014</t>
  </si>
  <si>
    <t>Дубовский район, хутор Сиротский</t>
  </si>
  <si>
    <t>RO0273</t>
  </si>
  <si>
    <t>Ростов-на-Дону Город, Нансена Улица, дом 98д</t>
  </si>
  <si>
    <t>RO2017</t>
  </si>
  <si>
    <t>Дубовский район, станица Андреевская</t>
  </si>
  <si>
    <t>RO0274</t>
  </si>
  <si>
    <t>г. Ростов-на-Дону, ул. Погодина, 20/3</t>
  </si>
  <si>
    <t>RO2116</t>
  </si>
  <si>
    <t>Ростовская Область, Константиновский Район, Константиновск Город, Ленина Улица\46</t>
  </si>
  <si>
    <t>RO0275</t>
  </si>
  <si>
    <t>г. Ростов-на-Дону, Первомайский район, ДНТ РСМ-Товарищ, дом №8-5</t>
  </si>
  <si>
    <t>RO2132</t>
  </si>
  <si>
    <t>Ростовская Область, Цимлянский Район, Цимлянск Город, Пионерский Переулок</t>
  </si>
  <si>
    <t>RO0276</t>
  </si>
  <si>
    <t>Ростовская Область, Ростов-на-Дону Город, Варфоломеева Улица, дом 92а\к4</t>
  </si>
  <si>
    <t>RO2138</t>
  </si>
  <si>
    <t>Область Ростовская, Район Ремонтненский, Поселок Денисовский, Улица Садовая, Дом 21\АМС ФГУП "РТРС"</t>
  </si>
  <si>
    <t>RO0280</t>
  </si>
  <si>
    <t>г. Батайск, Восточное шоссе, 6</t>
  </si>
  <si>
    <t>RO2145</t>
  </si>
  <si>
    <t>Ремонтненский Район, Большое Ремонтное Село</t>
  </si>
  <si>
    <t>RO0281</t>
  </si>
  <si>
    <t>Азовский район, поселок Топольки</t>
  </si>
  <si>
    <t>RO2146</t>
  </si>
  <si>
    <t>Область Ростовская, Район Заветинский, Село Тюльпаны\примерно 3 м по направлению на север от границ земельного участка по адресу: пер. Центральный, 9 а</t>
  </si>
  <si>
    <t>RO0283</t>
  </si>
  <si>
    <t>г. Батайск, улица Пушкина, 1Б</t>
  </si>
  <si>
    <t>RO2163</t>
  </si>
  <si>
    <t>Область Ростовская, Район Дубовский, Хутор Присальский\АМС ФГУП РТРС</t>
  </si>
  <si>
    <t>RO0284</t>
  </si>
  <si>
    <t>Аксайский район, хутор Ленина, улица Онучкина, 72</t>
  </si>
  <si>
    <t>RO2172</t>
  </si>
  <si>
    <t>Обливский Район, Каштановский Поселок, Вишневый Переулок\13</t>
  </si>
  <si>
    <t>RO0285</t>
  </si>
  <si>
    <t>Аксайский район, поселок Дорожный</t>
  </si>
  <si>
    <t>RO2191</t>
  </si>
  <si>
    <t>г. Волгодонск, пер. Ореховый</t>
  </si>
  <si>
    <t>RO0287</t>
  </si>
  <si>
    <t>Ростов-на-Дону Город, Орбитальная Улица 21</t>
  </si>
  <si>
    <t>RO2192</t>
  </si>
  <si>
    <t>г. Волгодонск, ул. Степная 59</t>
  </si>
  <si>
    <t>RO0288</t>
  </si>
  <si>
    <t>г. Батайск, Комсомольская ул., 72</t>
  </si>
  <si>
    <t>RO2193</t>
  </si>
  <si>
    <t>г. Волгодонск, ул. Лермонтова, 3А</t>
  </si>
  <si>
    <t>RO0289</t>
  </si>
  <si>
    <t>г. Батайск, улица Крупской, 5</t>
  </si>
  <si>
    <t>RO2194</t>
  </si>
  <si>
    <t>Волгодонск Город, Энтузиастов Улица, дом 3</t>
  </si>
  <si>
    <t>RO0290</t>
  </si>
  <si>
    <t>г. Батайск, улица Краснодарская, 1а</t>
  </si>
  <si>
    <t>RO2195</t>
  </si>
  <si>
    <t>г. Волгодонск, ул. Черникова, 24</t>
  </si>
  <si>
    <t>RO0291</t>
  </si>
  <si>
    <t>Азовский район, хутор Еремеевка, улица Степная, 62Д</t>
  </si>
  <si>
    <t>RO2206</t>
  </si>
  <si>
    <t>г. Морозовск, пер. Островский, 1Е</t>
  </si>
  <si>
    <t>RO0292</t>
  </si>
  <si>
    <t>Ростовская обл, Аксайский р-н, Красный п (в районе животноводческого комплекса)</t>
  </si>
  <si>
    <t>RO2207</t>
  </si>
  <si>
    <t>Морозовск Город, Октябрьская Улица, дом 53</t>
  </si>
  <si>
    <t>RO0293</t>
  </si>
  <si>
    <t>г. Азов, ул. Мира 49</t>
  </si>
  <si>
    <t>RO2211</t>
  </si>
  <si>
    <t>Константиновск Город, Коммунистическая Улица, дом 199</t>
  </si>
  <si>
    <t>RO0294</t>
  </si>
  <si>
    <t>Ростовская область, г Ростов-на-Дону, ул Пацаева, д. 9.</t>
  </si>
  <si>
    <t>RO2212</t>
  </si>
  <si>
    <t>г. Константиновск, ул. Зеленая, дом 2Ж</t>
  </si>
  <si>
    <t>RO0297</t>
  </si>
  <si>
    <t>Ростовская Область, Аксайский Район, Аксай Город\СТ Надежда-Ива ул. В.Гетманова, 35</t>
  </si>
  <si>
    <t>RO2213</t>
  </si>
  <si>
    <t>Цимлянский Район, г. Цимлянск, ул. Некрасова 11а</t>
  </si>
  <si>
    <t>RO0298</t>
  </si>
  <si>
    <t>Батайск Город, Ленина Улица, дом 4</t>
  </si>
  <si>
    <t>RO2249</t>
  </si>
  <si>
    <t> Город Волгодонск, район ул. Прохладной</t>
  </si>
  <si>
    <t>RO0300</t>
  </si>
  <si>
    <t>Аэропорт Платов</t>
  </si>
  <si>
    <t>RO2250</t>
  </si>
  <si>
    <t>Область Ростовская, Город Волгодонск, Улица Энтузиастов, Дом 52</t>
  </si>
  <si>
    <t>RO0301</t>
  </si>
  <si>
    <t>Кагальницкий район, станица Кировская, улица Гагарина, 110</t>
  </si>
  <si>
    <t>RO2259</t>
  </si>
  <si>
    <t>Зимовниковский р-н, х Верхоломов;</t>
  </si>
  <si>
    <t>RO0302</t>
  </si>
  <si>
    <t>Кагальницкий район, станица Кагальницкая, улица Привокзальная, 1</t>
  </si>
  <si>
    <t>RO2261</t>
  </si>
  <si>
    <t>Ростовская область, Зимовниковский р-н, х Харьковский, пер Центральный</t>
  </si>
  <si>
    <t>RO0338</t>
  </si>
  <si>
    <t>RO2262</t>
  </si>
  <si>
    <t>Зимовниковский р-н, х Майкопский, ул Содружества (75 м южнее Мемориала Воинам, павшим в ВОВ).</t>
  </si>
  <si>
    <t>RO0348</t>
  </si>
  <si>
    <t>Кагальницкий район, станица Кагальницкая, переулок Комсомольский, 36</t>
  </si>
  <si>
    <t>RO2265</t>
  </si>
  <si>
    <t>Ростовская область, Константиновский р-н, х Ермилов (угол ул. Вокзальная, ул. Школьная).</t>
  </si>
  <si>
    <t>RO0370</t>
  </si>
  <si>
    <t>Азовский район, хутор Гусарева Балка</t>
  </si>
  <si>
    <t>RO2266</t>
  </si>
  <si>
    <t>Ростовская область, Константиновский р-н, х Крюков, пер Дружбы (70 м северо восточнее кладбища);</t>
  </si>
  <si>
    <t>RO0371</t>
  </si>
  <si>
    <t>Красный Сулин Город, Вербенская Улица</t>
  </si>
  <si>
    <t>RO2276</t>
  </si>
  <si>
    <t>Морозовский р-н, х Трофименков, ул Садовая.</t>
  </si>
  <si>
    <t>RO0397</t>
  </si>
  <si>
    <t>Азовский район, поселок Каяльский</t>
  </si>
  <si>
    <t>RO2278</t>
  </si>
  <si>
    <t>Зимовниковский Район, Николаевский Хутор, Мира Улица</t>
  </si>
  <si>
    <t>RO0400</t>
  </si>
  <si>
    <t>Аксайский район, Грушевская станица, Аэропорт «Платов» VIP</t>
  </si>
  <si>
    <t>RO2281</t>
  </si>
  <si>
    <t>Ростовская область, Морозовский р-н, ст-ца Чертковская, ул Лазоревая (100м на юг от ФАП);</t>
  </si>
  <si>
    <t>RO0501</t>
  </si>
  <si>
    <t>г. Новочеркасск, улица Народная, 54</t>
  </si>
  <si>
    <t>RO2283</t>
  </si>
  <si>
    <t>Ростовская область, Морозовский р-н, х Беляев, ул Мира;</t>
  </si>
  <si>
    <t>RO0502</t>
  </si>
  <si>
    <t>г. Новочеркасск, проспект Ермака 44, литер М</t>
  </si>
  <si>
    <t>RO2285</t>
  </si>
  <si>
    <t>Ростовская область, Морозовский р-н, х Донской (83 м на северо-восток от пересечения улиц Школьной и Садовой);</t>
  </si>
  <si>
    <t>RO0503</t>
  </si>
  <si>
    <t>г. Новочеркасск, улица Машиностроителей, 3</t>
  </si>
  <si>
    <t>RO2291</t>
  </si>
  <si>
    <t>Ростовская область, Обливский р-н, х Кривов (110 м на север от школы по ул. Центральная, 35).</t>
  </si>
  <si>
    <t>RO0504</t>
  </si>
  <si>
    <t>г. Новочеркасск, Михайловская Улица, рядом с домом 166</t>
  </si>
  <si>
    <t>RO2294</t>
  </si>
  <si>
    <t>Ростовская область, Обливский р-н, х Караичев, ул Центральная (75 м юго западнее от Мемориала Павшим в ВОВ).</t>
  </si>
  <si>
    <t>RO0505</t>
  </si>
  <si>
    <t>г. Новочеркасск, проспект Ермака, 106</t>
  </si>
  <si>
    <t>RO2297</t>
  </si>
  <si>
    <t>Область Ростовская, Район Обливский, Хутор Леонов, Улица Шолохова, Домовладение 11\11 м по направлению на восток от границ участка с кадастровым номером: 61:27:0010401:3</t>
  </si>
  <si>
    <t>RO0506</t>
  </si>
  <si>
    <t>Октябрьский район, поселок Персиановский, улица Сосновая, 2</t>
  </si>
  <si>
    <t>RO2299</t>
  </si>
  <si>
    <t>Ростовская область, Обливский р-н, х Нестеркин (80 м на север от домовладения по ул. Центральная, 73).</t>
  </si>
  <si>
    <t>RO0507</t>
  </si>
  <si>
    <t>г. Новочеркасск, улица Мацоты, 65</t>
  </si>
  <si>
    <t>RO2311</t>
  </si>
  <si>
    <t>Ростовская область, Обливский р-н, х Александровский</t>
  </si>
  <si>
    <t>RO0508</t>
  </si>
  <si>
    <t>г. Новочеркасск, улица Макаренко, 22</t>
  </si>
  <si>
    <t>RO2312</t>
  </si>
  <si>
    <t>Тацинский Район, Араканцев Хутор</t>
  </si>
  <si>
    <t>RO0509</t>
  </si>
  <si>
    <t>Октябрьский район, станица Бессергеневская, улица Советская, 38</t>
  </si>
  <si>
    <t>RO2320</t>
  </si>
  <si>
    <t>Область Ростовская, Город Волгодонск, Проспект Мира, Дом 57 (Кровля 9-ти этажного жилого дома</t>
  </si>
  <si>
    <t>RO0510</t>
  </si>
  <si>
    <t>г. Новочеркасск, улица Визирова, 9/2</t>
  </si>
  <si>
    <t>RO2321</t>
  </si>
  <si>
    <t>Город Волгодонск, Проспект Мира, Дом 39</t>
  </si>
  <si>
    <t>RO0511</t>
  </si>
  <si>
    <t>г. Новочеркасск, проспект Баклановский, 166</t>
  </si>
  <si>
    <t>RO2330</t>
  </si>
  <si>
    <t>Ростовская область, Дубовский р-н, ст-ца Подгоренская, пер Солнечный;</t>
  </si>
  <si>
    <t>RO0512</t>
  </si>
  <si>
    <t>г. Новочеркасск, улица Пушкинская, 108</t>
  </si>
  <si>
    <t>RO2331</t>
  </si>
  <si>
    <t>Ростовская область, Дубовский р-н, х Овчинников (45 м на северо восток от пересечения ул. Центральная и пер. Луговой).</t>
  </si>
  <si>
    <t>RO0513</t>
  </si>
  <si>
    <t>г. Новочеркасск, улица Высоковольтная, 1</t>
  </si>
  <si>
    <t>RO2377</t>
  </si>
  <si>
    <t>Волгодонск, п.Маяковского 31</t>
  </si>
  <si>
    <t>RO0514</t>
  </si>
  <si>
    <t>г. Новочеркасск, проспект Платовский, 69</t>
  </si>
  <si>
    <t>RO2383</t>
  </si>
  <si>
    <t>Волгодонск, ул. М.Горького, Дом 147</t>
  </si>
  <si>
    <t>RO0515</t>
  </si>
  <si>
    <t>г. Новочеркасск, Ростовский въезд, 22</t>
  </si>
  <si>
    <t>RO2390</t>
  </si>
  <si>
    <t>Волгодонск, Бульвар Великой Победы, Дом 26</t>
  </si>
  <si>
    <t>RO0516</t>
  </si>
  <si>
    <t>г. Новочеркасск, проспект Платовский, 72</t>
  </si>
  <si>
    <t>RO2411</t>
  </si>
  <si>
    <t>Область Ростовская, Район Константиновский, Хутор Суворов</t>
  </si>
  <si>
    <t>RO0517</t>
  </si>
  <si>
    <t>г. Новочеркасск, поселок Донской, улица Полевая 2Б</t>
  </si>
  <si>
    <t>RO2455</t>
  </si>
  <si>
    <t>Область Ростовская, Район Дубовский, Село Дубовское, Переулок Строительный\участок 31, АМС ФГУП РТРС</t>
  </si>
  <si>
    <t>RO0518</t>
  </si>
  <si>
    <t>г. Новочеркасск, улица Просвещения, 93 в</t>
  </si>
  <si>
    <t>RO2667</t>
  </si>
  <si>
    <t>Район Семикаракорский, Хутор Вислый, Улица Октябрьская, Дом 72\примерно в 110 м. на юго-запад от строения</t>
  </si>
  <si>
    <t>RO0519</t>
  </si>
  <si>
    <t>г. Новочеркасск, переулок Петрова, 3а</t>
  </si>
  <si>
    <t>RO2674</t>
  </si>
  <si>
    <t>Мартыновский Район, Зеленолугский Поселок, Школьная Улица, дом 1а\АМС ФГУП "РТРС"</t>
  </si>
  <si>
    <t>RO0520</t>
  </si>
  <si>
    <t>г. Новочеркасск, улица Буденновская, 192</t>
  </si>
  <si>
    <t>RO2682</t>
  </si>
  <si>
    <t>Волгодонской Район, Донской Поселок, Донской Переулок, дом 2\кв.1.</t>
  </si>
  <si>
    <t>RO0521</t>
  </si>
  <si>
    <t>г. Новочеркасск, улица Чехова, 24</t>
  </si>
  <si>
    <t>RO2683</t>
  </si>
  <si>
    <t>Ростовская Область, Мартыновский Район, Крутобережный Поселок, Речной Переулок\1a</t>
  </si>
  <si>
    <t>RO0522</t>
  </si>
  <si>
    <t>г. Новочеркасск, улица Крылова, 13</t>
  </si>
  <si>
    <t>RO2685</t>
  </si>
  <si>
    <t>Семикаракорский Район, Вершинный Поселок\опора АО "ПБК" (МегаФон)</t>
  </si>
  <si>
    <t>RO0523</t>
  </si>
  <si>
    <t>г. Новочеркасск, улица Социалистическая, 1</t>
  </si>
  <si>
    <t>RO2695</t>
  </si>
  <si>
    <t>Ростовская Область, Заветинский Район, Федосеевка Село\АМС ФГУП "РТРС"</t>
  </si>
  <si>
    <t>RO0524</t>
  </si>
  <si>
    <t>г. Новочеркасск, улица Просвещения, 155А</t>
  </si>
  <si>
    <t>RO2706</t>
  </si>
  <si>
    <t>Ростовская Область, Зимовниковский Район, Мокрый Гашун Поселок, Молодежная Улица, дом 2\а</t>
  </si>
  <si>
    <t>RO0525</t>
  </si>
  <si>
    <t>г. Новочеркасск, улица Спортивная, 8</t>
  </si>
  <si>
    <t>RO2745</t>
  </si>
  <si>
    <t>Ростовская Область, Зимовниковский Район, Плотников Хутор, Мира Улица, дом 22\в 15 м. на северо-запад</t>
  </si>
  <si>
    <t>RO0526</t>
  </si>
  <si>
    <t>г. Новочеркасск, улица Виноградная, 1</t>
  </si>
  <si>
    <t>RO2759</t>
  </si>
  <si>
    <t>Цимлянский Район, Дубравный Поселок, Бушева Улица\д.8</t>
  </si>
  <si>
    <t>RO0527</t>
  </si>
  <si>
    <t>Октябрьский район, поселок Персиановский, улица Заречная, 33</t>
  </si>
  <si>
    <t>RO2761</t>
  </si>
  <si>
    <t>Область Ростовская, Район Ремонтненский, Село Богородское, Улица Болдырева, Дом 25\43 м по направлению на запад</t>
  </si>
  <si>
    <t>RO0528</t>
  </si>
  <si>
    <t>г. Новочеркасск, проспект Баклановский, 200</t>
  </si>
  <si>
    <t>RO2769</t>
  </si>
  <si>
    <t>Ростовская область, Зимовниковский р-н, п Красностепной, ул Школьная, д. 10 (а).</t>
  </si>
  <si>
    <t>RO0529</t>
  </si>
  <si>
    <t>г. Новочеркасск, поселок Донской, переулок Парковый, 24</t>
  </si>
  <si>
    <t>RO2779</t>
  </si>
  <si>
    <t>Область Ростовская, Район Семикаракорский, Поселок Крымский, Улица Ленина, Земельный участок 37а</t>
  </si>
  <si>
    <t>RO0530</t>
  </si>
  <si>
    <t>Октябрьский район, станица Красюковская, улица Советская, 24</t>
  </si>
  <si>
    <t>RO2793</t>
  </si>
  <si>
    <t>Область Ростовская, Район Ремонтненский, Поселок Новопривольный, Улица Восточная, Дом 2\100 м на северо запад</t>
  </si>
  <si>
    <t>RO0531</t>
  </si>
  <si>
    <t>г. Новочеркасск, улица Машиностроителей, 7</t>
  </si>
  <si>
    <t>RO2820</t>
  </si>
  <si>
    <t>Ростовская область, Цимлянский р-н, ст-ца Лозновская, ул Центральная, влд. 30.</t>
  </si>
  <si>
    <t>RO0532</t>
  </si>
  <si>
    <t>г. Новочеркасск, переулок Интернатный 10, ГСК 62 , место А</t>
  </si>
  <si>
    <t>RO2832</t>
  </si>
  <si>
    <t>Область Ростовская, Район Заветинский, Хутор Шебалин\примерно 15 м по направлению на север от границ земельного участка по адресу: ул. Гагарина, 7, кв.2</t>
  </si>
  <si>
    <t>RO0533</t>
  </si>
  <si>
    <t>RO2370</t>
  </si>
  <si>
    <t>г. Новочеркасск, проспект Баклановский, 81</t>
  </si>
  <si>
    <t>RO2541</t>
  </si>
  <si>
    <t>RO1219</t>
  </si>
  <si>
    <t>RO0534</t>
  </si>
  <si>
    <t>г. Новочеркасск, улица Калинина, 73</t>
  </si>
  <si>
    <t>RO0466</t>
  </si>
  <si>
    <t>RO1169</t>
  </si>
  <si>
    <t>RO0535</t>
  </si>
  <si>
    <t>Октябрьский район, станица Кривянская, улица Комарова, 55А</t>
  </si>
  <si>
    <t>RO2446</t>
  </si>
  <si>
    <t>RO2976</t>
  </si>
  <si>
    <t>RO0536</t>
  </si>
  <si>
    <t>г. Новочеркасск, Харьковское шоссе,13А</t>
  </si>
  <si>
    <t>RO0537</t>
  </si>
  <si>
    <t>г. Новочеркасск, улица Молодежная, 20</t>
  </si>
  <si>
    <t>RO1064</t>
  </si>
  <si>
    <t>RO2277</t>
  </si>
  <si>
    <t>RO0538</t>
  </si>
  <si>
    <t>г. Новочеркасск, улица Фрунзе, 55, литер "Э"</t>
  </si>
  <si>
    <t>RO1478</t>
  </si>
  <si>
    <t>RO0539</t>
  </si>
  <si>
    <t>г. Новочеркасск, улица Пушкинская, 83</t>
  </si>
  <si>
    <t>RO0574</t>
  </si>
  <si>
    <t>Ростовская Область, Октябрьский Район, Персиановский Поселок, Московская Улица\д. 30</t>
  </si>
  <si>
    <t>RO0540</t>
  </si>
  <si>
    <t>г. Новочеркасск, проспект Платовский, 158 б</t>
  </si>
  <si>
    <t>RO0575</t>
  </si>
  <si>
    <t>Октябрьский район, поселок Новозарянский</t>
  </si>
  <si>
    <t>RO0541</t>
  </si>
  <si>
    <t>г. Ростов-на-Дону, 12 линия, 51</t>
  </si>
  <si>
    <t>RO0576</t>
  </si>
  <si>
    <t>Октябрьский район, хутор Красный Кут</t>
  </si>
  <si>
    <t>RO0542</t>
  </si>
  <si>
    <t>г. Новочеркасск, улица Ростовский выезд, 11 Б</t>
  </si>
  <si>
    <t>RO0577</t>
  </si>
  <si>
    <t>Октябрьский район, хутор Ильичевка</t>
  </si>
  <si>
    <t>RO0543</t>
  </si>
  <si>
    <t>г. Новочеркасск, улица Гвардейская, 24</t>
  </si>
  <si>
    <t>RO0578</t>
  </si>
  <si>
    <t>г. Новошахтинск, улица Харьковская 4 Ц</t>
  </si>
  <si>
    <t>RO0544</t>
  </si>
  <si>
    <t>г. Новочеркасск, улица Восточная, 39</t>
  </si>
  <si>
    <t>RO0579</t>
  </si>
  <si>
    <t>Октябрьский район, хутор Маркин, улица Шоссейная, 1</t>
  </si>
  <si>
    <t>RO0545</t>
  </si>
  <si>
    <t>RO0580</t>
  </si>
  <si>
    <t>Октябрьский район, станица Заплавская, переуок Кузнечный 1-б</t>
  </si>
  <si>
    <t>г. Новошахтинск, улица Плодовая, 1Г</t>
  </si>
  <si>
    <t>RO0546</t>
  </si>
  <si>
    <t>RO0582</t>
  </si>
  <si>
    <t>г. Новочеркасск, поселок Донской, улица Мелиховская, 2</t>
  </si>
  <si>
    <t>г. Шахты, улица Дачная, 329</t>
  </si>
  <si>
    <t>RO0547</t>
  </si>
  <si>
    <t>RO0583</t>
  </si>
  <si>
    <t>г. Новочеркасск, улица Железнодорожная, 14</t>
  </si>
  <si>
    <t>г. Шахты, пересечение улицы Чернокозова и улицы Мусоргского</t>
  </si>
  <si>
    <t>RO0548</t>
  </si>
  <si>
    <t>RO0584</t>
  </si>
  <si>
    <t>Аксайский район, станица Мишкинская</t>
  </si>
  <si>
    <t>г. Шахты, переулок Рыночный 7-в</t>
  </si>
  <si>
    <t>RO0549</t>
  </si>
  <si>
    <t>Октябрьский район, станица Кривянская, улица 40 лет Победы, 1/80</t>
  </si>
  <si>
    <t>RO0586</t>
  </si>
  <si>
    <t>Красносулинский район, поселок Горный, улица Центральная, 1</t>
  </si>
  <si>
    <t>RO0588</t>
  </si>
  <si>
    <t>RO0550</t>
  </si>
  <si>
    <t>г. Красный Сулин, улица Ростовская 118</t>
  </si>
  <si>
    <t>Аксайский район, станица Грушевская, 250м южнее Дома культуры по улице Советская</t>
  </si>
  <si>
    <t>RO0589</t>
  </si>
  <si>
    <t>RO0552</t>
  </si>
  <si>
    <t>г. Шахты, улицаАэрофлотская, 1</t>
  </si>
  <si>
    <t>г. Шахты, улица Чаплыгина 46</t>
  </si>
  <si>
    <t>RO0590</t>
  </si>
  <si>
    <t>RO0553</t>
  </si>
  <si>
    <t>Аксайский район, поселок Рассвет, ДЗНИИСХ</t>
  </si>
  <si>
    <t>Красносулинский район, поселок Черевково</t>
  </si>
  <si>
    <t>RO0591</t>
  </si>
  <si>
    <t>Октябрьский район, хутор Аюта, улица Заповедная, 73</t>
  </si>
  <si>
    <t>RO0555</t>
  </si>
  <si>
    <t>г. Новочеркасск, поселок Ключевой, улица Центральная, 1/7</t>
  </si>
  <si>
    <t>RO0592</t>
  </si>
  <si>
    <t>RO0556</t>
  </si>
  <si>
    <t>г. Новошахтинск, поселок Самбек, улица Мориса Тореза, 20</t>
  </si>
  <si>
    <t>Октябрьский район, поселок Новоперсиановка</t>
  </si>
  <si>
    <t>RO0593</t>
  </si>
  <si>
    <t>г. Красный Сулин, улица Чкалова, 92Б</t>
  </si>
  <si>
    <t>RO0557</t>
  </si>
  <si>
    <t>Октябрьский район, поселок Верхнегрушевский, улица Школьная, 21</t>
  </si>
  <si>
    <t>RO0598</t>
  </si>
  <si>
    <t>RO0558</t>
  </si>
  <si>
    <t>г. Шахты, поселок Новокадамово, пересечение улицы Шоссейная и улицы Тынянова</t>
  </si>
  <si>
    <t>Октябрьский район, х. Керчик-Савров, пер. Степной</t>
  </si>
  <si>
    <t>RO0599</t>
  </si>
  <si>
    <t>RO0559</t>
  </si>
  <si>
    <t>г. Шахты, переулок Сокольнический, 17А</t>
  </si>
  <si>
    <t>Город Новошахтинск, Улица Нерушимая, 20 б</t>
  </si>
  <si>
    <t>RO0600</t>
  </si>
  <si>
    <t>RO0560</t>
  </si>
  <si>
    <t>г. Шахты, улица Советская, 112</t>
  </si>
  <si>
    <t>Аксайский район, поселок Щепкин, улица Строителей, 34</t>
  </si>
  <si>
    <t>RO0601</t>
  </si>
  <si>
    <t>RO0561</t>
  </si>
  <si>
    <t>г. Шахты, проспект Победы Революции, 63</t>
  </si>
  <si>
    <t>Аксайский район, поселок Октябрьский, улица Тепличная 1</t>
  </si>
  <si>
    <t>RO0602</t>
  </si>
  <si>
    <t>RO0562</t>
  </si>
  <si>
    <t>г. Шахты, улица Шевченко, 180</t>
  </si>
  <si>
    <t>Область Ростовская, Район Аксайский\Трасса "М4 Дон", 1042 км. (обход Ростова-на-Дону)</t>
  </si>
  <si>
    <t>RO0603</t>
  </si>
  <si>
    <t>RO0563</t>
  </si>
  <si>
    <t>г. Шахты, улица Горняцкая, 93</t>
  </si>
  <si>
    <t>г. Шахты, улица Кольчугина 101</t>
  </si>
  <si>
    <t>RO0604</t>
  </si>
  <si>
    <t>г. Шахты, улица Текстильная, 15</t>
  </si>
  <si>
    <t>RO0565</t>
  </si>
  <si>
    <t xml:space="preserve">Октябрьский район, село Алексеевка </t>
  </si>
  <si>
    <t>RO0566</t>
  </si>
  <si>
    <t>г. Новошахтинск, 50 м на запад от дома 20 по улице Казахстанской</t>
  </si>
  <si>
    <t>RO0605</t>
  </si>
  <si>
    <t>RO0569</t>
  </si>
  <si>
    <t>г. Шахты, улица Тбилисская, 1А</t>
  </si>
  <si>
    <t>Ростовская Область, Новочеркасск Город, Гвардейская Улица, дом 9</t>
  </si>
  <si>
    <t>RO0570</t>
  </si>
  <si>
    <t>RO0606</t>
  </si>
  <si>
    <t>Багаевский район, 1 км восточнее хутора Арпачин, башня ЗАО "РОСС"</t>
  </si>
  <si>
    <t>Октябрьский район, поселок Каменоломни, переулок Шоссейный, 1</t>
  </si>
  <si>
    <t>RO0572</t>
  </si>
  <si>
    <t>RO0607</t>
  </si>
  <si>
    <t xml:space="preserve"> Ростовская Область, Багаевский Район, Елкин Хутор, Центральный Переулок  47-Б</t>
  </si>
  <si>
    <t>г. Новошахтинск, улица Горняцкая, 21</t>
  </si>
  <si>
    <t>RO0573</t>
  </si>
  <si>
    <t>RO0608</t>
  </si>
  <si>
    <t>Октябрьский район, поселок Нижнедонской</t>
  </si>
  <si>
    <t>г. Шахты, поселок Майский, пересечение улицы Шекспира и улицы Устинова</t>
  </si>
  <si>
    <t>RO0610</t>
  </si>
  <si>
    <t>RO0668</t>
  </si>
  <si>
    <t>г. Шахты, улица Мелиховская, 1М</t>
  </si>
  <si>
    <t>г. Новошахтинск, улица Киевская, 4</t>
  </si>
  <si>
    <t>RO0614</t>
  </si>
  <si>
    <t>RO0669</t>
  </si>
  <si>
    <t>г. Новошахтинск, поселок Радио, улица Радио, 82</t>
  </si>
  <si>
    <t>г. Шахты, переулок Цуканова,</t>
  </si>
  <si>
    <t>RO0615</t>
  </si>
  <si>
    <t>RO0670</t>
  </si>
  <si>
    <t>г. Новошахтинск, улица Привокзальная, 132</t>
  </si>
  <si>
    <t>г. Шахты, переулок Иванова, 14</t>
  </si>
  <si>
    <t>RO0616</t>
  </si>
  <si>
    <t>RO0671</t>
  </si>
  <si>
    <t>г. Новошахтинск, улица Гресовская, 10</t>
  </si>
  <si>
    <t>г. Шахты, улица Пушкина, 29 А</t>
  </si>
  <si>
    <t>RO0618</t>
  </si>
  <si>
    <t>RO0672</t>
  </si>
  <si>
    <t>г. Красный Сулин, поселок Несветай, улица Монтажников, 2</t>
  </si>
  <si>
    <t>г.Новошахтинск, пересечение улицы Кузнецкая и улицы Парковая</t>
  </si>
  <si>
    <t>RO0621</t>
  </si>
  <si>
    <t>г. Красный Сулин, РТПС</t>
  </si>
  <si>
    <t>RO0673</t>
  </si>
  <si>
    <t>RO0624</t>
  </si>
  <si>
    <t>Октябрьский район, поселок Красногорняцкий, улица Чапаева, 30</t>
  </si>
  <si>
    <t>г. Шахты, проспект Победы Революции, 111</t>
  </si>
  <si>
    <t>RO0674</t>
  </si>
  <si>
    <t>RO0628</t>
  </si>
  <si>
    <t>г. Шахты, улица Дачная, 202 А</t>
  </si>
  <si>
    <t>г. Шахты, проспект Ленинского комсомола, 1В</t>
  </si>
  <si>
    <t>RO0675</t>
  </si>
  <si>
    <t>RO0634</t>
  </si>
  <si>
    <t>г. Шахты, улица Красинская, 45</t>
  </si>
  <si>
    <t>г. Красный Сулин, улицаПамяти</t>
  </si>
  <si>
    <t>RO0676</t>
  </si>
  <si>
    <t>RO0641</t>
  </si>
  <si>
    <t>г. Шахты, улица Ионова, 217 Б</t>
  </si>
  <si>
    <t>г. Шахты, поселок Майский, улица Советская, 37</t>
  </si>
  <si>
    <t>RO0677</t>
  </si>
  <si>
    <t>RO0642</t>
  </si>
  <si>
    <t>г. Новошахтинск, улица Ермака, 11</t>
  </si>
  <si>
    <t>г. Шахты, улица Юный Спартак, 122 А</t>
  </si>
  <si>
    <t>RO0678</t>
  </si>
  <si>
    <t>RO0643</t>
  </si>
  <si>
    <t>г. Новошахтинск, пересечение улицы Фрунзе и улицы Отечественная</t>
  </si>
  <si>
    <t>г. Шахты, улица Скочинского, 32</t>
  </si>
  <si>
    <t>RO0679</t>
  </si>
  <si>
    <t>RO0644</t>
  </si>
  <si>
    <t>г. Новошахтинск, улица Фестивальная, 11</t>
  </si>
  <si>
    <t>г. Шахты, поселок Таловый, улица Фрунзе, 26</t>
  </si>
  <si>
    <t>RO0683</t>
  </si>
  <si>
    <t>RO0645</t>
  </si>
  <si>
    <t>г. Красный Сулин, улица Транспортная, 3</t>
  </si>
  <si>
    <t>г. Шахты, улица Акмолинская, 31</t>
  </si>
  <si>
    <t>RO0690</t>
  </si>
  <si>
    <t>RO0646</t>
  </si>
  <si>
    <t>г. Новошахтинск, поселок Соколово-Кундрюченский, улица Железнякова, 30</t>
  </si>
  <si>
    <t>г. Новошахтинск, улица Харьковская, 28</t>
  </si>
  <si>
    <t>RO0694</t>
  </si>
  <si>
    <t>RO0650</t>
  </si>
  <si>
    <t>г. Красный Сулин, улица Октябрьская, автостоянка</t>
  </si>
  <si>
    <t>г. Шахты, проспект Победы Революции, 119В</t>
  </si>
  <si>
    <t>RO0699</t>
  </si>
  <si>
    <t>RO0651</t>
  </si>
  <si>
    <t>г. Шахты, поселок Аютинский, проезд 4-й квартал, 7, башня ОАО "МТС"</t>
  </si>
  <si>
    <t>г. Шахты, улица Искра, 58</t>
  </si>
  <si>
    <t>RO0652</t>
  </si>
  <si>
    <t>RO0701</t>
  </si>
  <si>
    <t>г. Новошахтинск, улица Вокзальная, 10</t>
  </si>
  <si>
    <t>Аксайский район, станица Старочеркасская, улица Мира, 13/2</t>
  </si>
  <si>
    <t>RO0655</t>
  </si>
  <si>
    <t>RO0702</t>
  </si>
  <si>
    <t>г. Красный Сулин, переулок Интернациональный, 13</t>
  </si>
  <si>
    <t>Аксайский район, станица Ольгинская, улица Широкая, 133а</t>
  </si>
  <si>
    <t>RO0656</t>
  </si>
  <si>
    <t>RO0703</t>
  </si>
  <si>
    <t>г. Красный Сулин, улица Гагарина, 37</t>
  </si>
  <si>
    <t>Багаевский район, станица Багаевская, улица Московская, 59</t>
  </si>
  <si>
    <t>RO0657</t>
  </si>
  <si>
    <t>RO0733</t>
  </si>
  <si>
    <t>г. Новошахтинск, поселок Самбек, улица Луговая, 1в</t>
  </si>
  <si>
    <t>Багаевский район, станица Багаевская, улица Семашко, 122Н</t>
  </si>
  <si>
    <t>RO0658</t>
  </si>
  <si>
    <t>RO0734</t>
  </si>
  <si>
    <t>г. Новошахтинск, пересечение улицы газеты Правда и улицы Ленинградская</t>
  </si>
  <si>
    <t>Усть-Донецкий район, поселок Усть-Донецкий, переулок Почтовый, 9</t>
  </si>
  <si>
    <t>RO0735</t>
  </si>
  <si>
    <t>Семикаракорский район, хутор Сусат, башня ЗАО "РОСС"</t>
  </si>
  <si>
    <t>RO0659</t>
  </si>
  <si>
    <t>г. Новошахтинск, улица Молодежная, 2</t>
  </si>
  <si>
    <t>RO0736</t>
  </si>
  <si>
    <t>Багаевский район, хутор Красный, улица Центральная, башня ОАО "Вымпелком"</t>
  </si>
  <si>
    <t>RO0660</t>
  </si>
  <si>
    <t>г. Новошахтинск, улица Короленко, 1</t>
  </si>
  <si>
    <t>RO0746</t>
  </si>
  <si>
    <t>Область Ростовская, Город Батайск, Улица Промышленная</t>
  </si>
  <si>
    <t>RO0661</t>
  </si>
  <si>
    <t>г. Новошахтинск, улица Перспективная, 2</t>
  </si>
  <si>
    <t>RO0761</t>
  </si>
  <si>
    <t>Усть-Донецкий район, 500 м севернее хутора Пухляковский, башня ОАО "МТС"</t>
  </si>
  <si>
    <t>RO0662</t>
  </si>
  <si>
    <t>Ростовская Область, Шахты Город, Садовая Улица, дом 12Д</t>
  </si>
  <si>
    <t>RO0768</t>
  </si>
  <si>
    <t>RO0666</t>
  </si>
  <si>
    <t>Усть-Донецкий район, 750 м северо-восточнее станицы Мелиховская, башня ОАО "Вымпелком"</t>
  </si>
  <si>
    <t>г. Шахты, переулок Енисейский, 15</t>
  </si>
  <si>
    <t>RO0783</t>
  </si>
  <si>
    <t>RO0791</t>
  </si>
  <si>
    <t>Багаевский район, станица Багаевская, переулок Стадионовский, 43а</t>
  </si>
  <si>
    <t>Семикаракорский район, хутор Страхов, переулок Театральный, 2</t>
  </si>
  <si>
    <t>RO0856</t>
  </si>
  <si>
    <t>RO0794</t>
  </si>
  <si>
    <t>Красносулинский район, станица Владимировская</t>
  </si>
  <si>
    <t>Усть-Донецкий район, 500 м северо-восточнее хутора Апаринский, башня ОАО "Вымпелком"</t>
  </si>
  <si>
    <t>RO0858</t>
  </si>
  <si>
    <t>RO0796</t>
  </si>
  <si>
    <t>Красносулинский р-н, хутор Садки, 800 м на ю-в от улица Чехова 16</t>
  </si>
  <si>
    <t>Усть-Донецкий район, 630 м южнее хутора Мостовой</t>
  </si>
  <si>
    <t>RO0860</t>
  </si>
  <si>
    <t>RO0815</t>
  </si>
  <si>
    <t>г. Шахты, переулок Мечникова 3 в</t>
  </si>
  <si>
    <t>Аксайский Район, Большой Лог Хутор, Луговая Улица\1</t>
  </si>
  <si>
    <t>RO0861</t>
  </si>
  <si>
    <t>RO0819</t>
  </si>
  <si>
    <t>г. Новошахтинск, улица Моисеенко 1-е</t>
  </si>
  <si>
    <t>Ростов-на-Дону Город\Щепкинское шоссе, СНТ "Луч" 46</t>
  </si>
  <si>
    <t>RO0863</t>
  </si>
  <si>
    <t>RO0821</t>
  </si>
  <si>
    <t>г. Новошахтинск, улица Пионерская 86-б</t>
  </si>
  <si>
    <t>Аксайский Район, Нижнетемерницкий Хутор, Сосновая Улица, дом 55</t>
  </si>
  <si>
    <t>RO0864</t>
  </si>
  <si>
    <t>Октябрьский район, поселок Кадамовский</t>
  </si>
  <si>
    <t>RO0823</t>
  </si>
  <si>
    <t>Октябрьский р-н (Персиановское сельское поселение, Полигон Кадамовский, войсковая часть № 22179).</t>
  </si>
  <si>
    <t>RO0867</t>
  </si>
  <si>
    <t>Область Ростовская, Район Усть-Донецкий, Рабочий поселок Усть-Донецкий, Улица Промышленная, Дом 3/4</t>
  </si>
  <si>
    <t>RO0826</t>
  </si>
  <si>
    <t>г. Ростов-на-Дону г (район улиц Богданова и 35-линии)</t>
  </si>
  <si>
    <t>RO0868</t>
  </si>
  <si>
    <t>Усть-Донецкий район, станица Раздорская, переулок Комсомольский, 24</t>
  </si>
  <si>
    <t>RO0834</t>
  </si>
  <si>
    <t>Усть-Донецкий район, хутор Крымский</t>
  </si>
  <si>
    <t>RO0870</t>
  </si>
  <si>
    <t>Октябрьский район, хутор Киреевка, улица Буденного, д.25</t>
  </si>
  <si>
    <t>RO0836</t>
  </si>
  <si>
    <t>г. Новочеркасск, ул. Дзержинского, 37Е</t>
  </si>
  <si>
    <t>RO0880</t>
  </si>
  <si>
    <t>Область Ростовская, Город Ростов-на-Дону, Улица 1-я Луговая, Дом 6\территория материально-складской базы</t>
  </si>
  <si>
    <t>RO0838</t>
  </si>
  <si>
    <t>г. Новочеркасск, ул. Ветеринарная, 18</t>
  </si>
  <si>
    <t>RO0882</t>
  </si>
  <si>
    <t>Город Ростов-на-Дону, Улица Металлургическая, в районе дома № 70</t>
  </si>
  <si>
    <t>RO0839</t>
  </si>
  <si>
    <t>Ростовская Область, Октябрьский Район, Калинин Хутор, Центральная Улица</t>
  </si>
  <si>
    <t>RO0884</t>
  </si>
  <si>
    <t>RO0840</t>
  </si>
  <si>
    <t>Октябрьский район, Хутор Суворовка, Улица Красноармейская, Домовладение 2\25 м на юго восток</t>
  </si>
  <si>
    <t>г. Батайск г, Панфилова Улица, дом 21</t>
  </si>
  <si>
    <t>RO0896</t>
  </si>
  <si>
    <t>RO0842</t>
  </si>
  <si>
    <t>Усть-Донецкий район, станица Нижнекундрюченская</t>
  </si>
  <si>
    <t>Область Ростовская, Город Батайск, Улица Шмидта, Дом 5А</t>
  </si>
  <si>
    <t>RO0899</t>
  </si>
  <si>
    <t>Аксайский район, ст-ца Старочеркасская, ул. 2-я Слободская, 25а</t>
  </si>
  <si>
    <t>ПРИЛОЖЕНИЕ № 8 (Общий отчет)</t>
  </si>
  <si>
    <t>к Договору на выполнение работ</t>
  </si>
  <si>
    <t>№ ТО-ЭСТ-РО-2025 от «01» сентября 2025 г.</t>
  </si>
  <si>
    <t>Отчет о выполнении Аварийно-восстановительных и Оперативных работ и работ по Техническому обслуживанию по типу расходов ОрЕх</t>
  </si>
  <si>
    <t>за период</t>
  </si>
  <si>
    <t>г. Ростов-на-Дону</t>
  </si>
  <si>
    <t xml:space="preserve">  Общество с ограниченной ответственностью «Т2-Мобайл» (Ростовский филиал) (сокращенное наименование ООО «Т2 Мобайл» Ростовский филиал), юридическое лицо, зарегистрированное по адресу: Российская Федерация, 108811, г. Москва, поселение Московский, Киевское шоссе 22-й километр, домовладение 6, строение 1, этаж 5, комната 33, в лице Руководителя Макрорегионального филиала "Юг" Общества с ограниченной ответственностью «Т2 Мобайл» Мотлях Константина Геннадьевича, действующего на основании доверенности №77/447-н/77-2024-3-169 от 15.02.2024 г. , именуемое в дальнейшем «Заказчик», с одной стороны, и Общество с ограниченной ответственностью «Эффективные сервисные технологии», юридическое лицо, зарегистрированное по адресу: Российская Федерация, 3350005, Краснодарский край, г. Краснодар, ул. им. Александра Покрышкина д.  25/А, корп.2, помещ.  21,22,23, в лице Директора Нестеренко Евгения Викторовича, действующего на основании Устава, именуемое в дальнейшем «Подрядчик», с другой стороны, совместно именуемые «Стороны», а по отдельности - «Сторона», составили Отчет о выполнении Аварийно – восстановительных и Оперативных работ и работ по Техническому обслуживанию к Акту выполненных работ № _____ от «__» ________ 20_ г. к Договору на выполнение работ № ТО-ЭСТ-РО-2025 от «01» сентября 2025 г. о нижеследующем:</t>
  </si>
  <si>
    <t>Оперативные работы, ТО, Инвентаризация</t>
  </si>
  <si>
    <t>АВР по обеспечению временного энергоснабжения</t>
  </si>
  <si>
    <t>АВР</t>
  </si>
  <si>
    <t>Генерация</t>
  </si>
  <si>
    <t>№ Объекта</t>
  </si>
  <si>
    <t>Расстояние до объекта</t>
  </si>
  <si>
    <t>Объект (основной/дополнительный)</t>
  </si>
  <si>
    <t>Объект, находящийся в труднодоступной местности</t>
  </si>
  <si>
    <t>Номер заявки</t>
  </si>
  <si>
    <t>Дата, Время заявки</t>
  </si>
  <si>
    <t>Дата и Время появления Подрядчика на Объекте</t>
  </si>
  <si>
    <t>Дата и Время ухода Подрядчика с Объекта</t>
  </si>
  <si>
    <t>ФИО сотрудника Исполнителя</t>
  </si>
  <si>
    <t>ФИО сотрудника Заказчика</t>
  </si>
  <si>
    <t>№ п/п работ (по приложению №10)</t>
  </si>
  <si>
    <t>Наименование работ 
(по приложению №10)</t>
  </si>
  <si>
    <t>Описание фактически выполненных работ</t>
  </si>
  <si>
    <t>Оперативные работы, ТО, Инвентаризация.  Количество</t>
  </si>
  <si>
    <t xml:space="preserve"> Оперативные работы, ТО, Инвентаризация. Цена за единицу в рублях без НДС) </t>
  </si>
  <si>
    <t>Генерация, ч</t>
  </si>
  <si>
    <t>Генерация более 24ч, сутки</t>
  </si>
  <si>
    <t>Генерация более 72ч, сутки</t>
  </si>
  <si>
    <t>Генерация, цена за единицу (в руб без НДС)</t>
  </si>
  <si>
    <t>АВР менее 5 часов в рабочее время, стоимость (в руб. без НДС)</t>
  </si>
  <si>
    <t>АВР менее 5 часов во внерабочее время, стоимость (в руб. без НДС)</t>
  </si>
  <si>
    <t>АВР свыше 5 часов в рабочее время (Ставка применяется по истечению 5 часа выполнения АВР), час</t>
  </si>
  <si>
    <t>АВР свыше 5 часов в нерабочее время (Ставка применяется по истечению 5 часа выполнения АВР), час</t>
  </si>
  <si>
    <t>АВР свыше 5 часов (Ставка применяется по истечению 5 часа выполнения АВР) Цена за час (в руб. без НДС)</t>
  </si>
  <si>
    <t>Отмена задания АВР, стоимость (в руб. без НДС)</t>
  </si>
  <si>
    <t>Стоимость работ в заявке (в руб. без НДС)</t>
  </si>
  <si>
    <t>Наименование Оборудования (Материалов), купленного по согласованию с Заказчиком</t>
  </si>
  <si>
    <t>Кол-во Оборудования (Материалов), купленного по согласованию с Заказчиком</t>
  </si>
  <si>
    <t>Стоимость Оборудования (Материалов),  купленного по согласованию с Заказчиком руб. за штуку, без НДС</t>
  </si>
  <si>
    <t>Общая стоимость Оборудования (Материалов),  купленного по согласованию с Заказчиком,руб. без НДС</t>
  </si>
  <si>
    <t>Стоимость километража, руб.</t>
  </si>
  <si>
    <t>Стоимость Заявки с учетом километража, материалов и локации объекта, руб. без НДС</t>
  </si>
  <si>
    <t>Тип штрафа согласно договору (пункт договора)</t>
  </si>
  <si>
    <t>Размер штрафных санкций в процентах от стоимости работ</t>
  </si>
  <si>
    <t>Итоговая Стоимость Заявки с учетом штрафных санкций (руб. без НДС)</t>
  </si>
  <si>
    <t>Счет ТПС (SAP)</t>
  </si>
  <si>
    <t>Оплата за трудный доступ</t>
  </si>
  <si>
    <t>Доплата  по дополнительному объекту</t>
  </si>
  <si>
    <t>Отмена</t>
  </si>
  <si>
    <t>Пастушенко</t>
  </si>
  <si>
    <t>ИТОГО</t>
  </si>
  <si>
    <t>ИТОГО с НДС</t>
  </si>
  <si>
    <t>ПОДПИСИ СТОРОН</t>
  </si>
  <si>
    <t>От исполнителя:</t>
  </si>
  <si>
    <t>От заказчика:</t>
  </si>
  <si>
    <t>МП</t>
  </si>
  <si>
    <t>ПРИЛОЖЕНИЕ № 4 (Справка)</t>
  </si>
  <si>
    <t>8/2</t>
  </si>
  <si>
    <t xml:space="preserve">Справка об использовании оборудования (материалов) к Акту выполненных работ № от </t>
  </si>
  <si>
    <t>Модуль SFP 1000BASE-SX iPasolink</t>
  </si>
  <si>
    <t>SFP GIGE BASE-T RJ45</t>
  </si>
  <si>
    <t>Коаксиальный кабель 8D-FB</t>
  </si>
  <si>
    <t>г.Ростов-на-Дону</t>
  </si>
  <si>
    <t>Разъем N-Type Connector (8D)</t>
  </si>
  <si>
    <t>Разъем TNC-Type Connector (8D)</t>
  </si>
  <si>
    <t>Джампер1/2 highflex 7/16m-7/16 90°m 5.0m</t>
  </si>
  <si>
    <t>Джампер1/2 highflex 7/16m-7/16 90°m2.0m</t>
  </si>
  <si>
    <t>Разъем Teracom 716 Famale(7/8)</t>
  </si>
  <si>
    <t xml:space="preserve">Общество с ограниченной ответственностью «Т2-Мобайл» (Ростовский филиал) (сокращенное наименование ООО «Т2 Мобайл» Ростовский филиал), юридическое лицо, зарегистрированное по адресу: Российская Федерация, 108811, г. Москва, поселение Московский, Киевское шоссе 22-й километр, домовладение 6, строение 1, этаж 5, комната 33, в лице Руководителя Макрорегионального филиала "Юг" Общества с ограниченной ответственностью «Т2 Мобайл» Мотлях Константина Геннадьевича, действующего на основании доверенности №77/447-н/77-2024-3-169 от 15.02.2024 г., именуемое в дальнейшем «Заказчик», с одной стороны, и Общество с ограниченной ответственностью «Эффективные сервисные технологии», юридическое лицо, зарегистрированное по адресу: Российская Федерация, 350005, Краснодарский край, г. Краснодар, ул. им. Александра Покрышкина д.  25/А, корп.2, помещ.  21,22,23, в лице Директора Нестеренко Евгения Викторовича, действующего на основании Устава, именуемое в дальнейшем «Подрядчик», с другой стороны, совместно именуемые «Стороны», а по отдельности - «Сторона», составили Справку об использовании Оборудования (Материалов)       </t>
  </si>
  <si>
    <t>Разъем Teracom 716 Male(7/8)</t>
  </si>
  <si>
    <t>Разъем Teracom 716 Famale(1/2)</t>
  </si>
  <si>
    <t>Разъем Teracom 716 Male(1/2)</t>
  </si>
  <si>
    <t>к Акту выполненных работ №</t>
  </si>
  <si>
    <t>Кабель оптический 100м FSFС</t>
  </si>
  <si>
    <t xml:space="preserve">от </t>
  </si>
  <si>
    <t>Обогреватель на out door</t>
  </si>
  <si>
    <t xml:space="preserve"> к Договору на выполнение работ № ТО-ЭСТ-РО-2025</t>
  </si>
  <si>
    <t>Электропанель Sport  E-II 7358-3 2000W</t>
  </si>
  <si>
    <t>от 01.09.2025 (далее – Договор), о нижеследующем:</t>
  </si>
  <si>
    <t>Радиокабель/ RADIO CABLE, 10 MM REEL 500M</t>
  </si>
  <si>
    <t>Кабель (16хE1) MDR, 1m</t>
  </si>
  <si>
    <t>Кабель коммутационный 2xRJ45</t>
  </si>
  <si>
    <t>1. Подрядчик при выполнении Работ использовал (смонтировал) Оборудование (Материалы), представленное Заказчиком, а именно:</t>
  </si>
  <si>
    <t>Наименование Работ</t>
  </si>
  <si>
    <t>Наименование  Оборудования</t>
  </si>
  <si>
    <t>Заводской №</t>
  </si>
  <si>
    <t>Наименование израсходованного Оборудования (Материалов)</t>
  </si>
  <si>
    <t>Ед. измерения</t>
  </si>
  <si>
    <t>Количество</t>
  </si>
  <si>
    <t>Примечание</t>
  </si>
  <si>
    <t xml:space="preserve">2. Подрядчик при выполнении Работ использовал (смонтировал) Оборудование (Материалы), приобретенное Подрядчиком за счет Заказчика, </t>
  </si>
  <si>
    <t>а именно:</t>
  </si>
  <si>
    <t>ПОДРЯДЧИК</t>
  </si>
  <si>
    <t>Дата согласования стоимости с Заказчиком</t>
  </si>
  <si>
    <t>Стоимость, без НДС, руб.</t>
  </si>
  <si>
    <t>Сумма НДС, руб.</t>
  </si>
  <si>
    <t>Стоимость с НДС, руб.</t>
  </si>
  <si>
    <t>Ед. изм.</t>
  </si>
  <si>
    <t>Кол-во</t>
  </si>
  <si>
    <t xml:space="preserve">Примечание </t>
  </si>
  <si>
    <t>-</t>
  </si>
  <si>
    <t>3. Подрядчик при выполнении Работ демонтировал следующее оборудование Объекта и доставил его на склад Заказчика:</t>
  </si>
  <si>
    <t>________________</t>
  </si>
  <si>
    <t>_________________</t>
  </si>
  <si>
    <t>Унифицированная форма № КС - 2
Утверждена постановлением Госкомстата России
от 11.11.99 № 100</t>
  </si>
  <si>
    <t>1</t>
  </si>
  <si>
    <t>2</t>
  </si>
  <si>
    <t>3</t>
  </si>
  <si>
    <t>4</t>
  </si>
  <si>
    <t>5</t>
  </si>
  <si>
    <t>6</t>
  </si>
  <si>
    <t>7</t>
  </si>
  <si>
    <t>8</t>
  </si>
  <si>
    <t>Код</t>
  </si>
  <si>
    <t>Выполненные работы:</t>
  </si>
  <si>
    <t>Форма по ОКУД</t>
  </si>
  <si>
    <t>0322001</t>
  </si>
  <si>
    <t>Материалы</t>
  </si>
  <si>
    <t>Инвестор</t>
  </si>
  <si>
    <t>по ОКПО</t>
  </si>
  <si>
    <t>(организация, адрес, телефон, факс)</t>
  </si>
  <si>
    <t xml:space="preserve">Итого  </t>
  </si>
  <si>
    <t>Х</t>
  </si>
  <si>
    <t>Заказчик  (Генподрядчик):</t>
  </si>
  <si>
    <t xml:space="preserve">  Сумма НДС  </t>
  </si>
  <si>
    <t xml:space="preserve">Всего с учетом НДС  </t>
  </si>
  <si>
    <t>Подрядчик (Субподрядчик):</t>
  </si>
  <si>
    <t>Стройка</t>
  </si>
  <si>
    <t>(наименование, адрес)</t>
  </si>
  <si>
    <t>Вид деятельности по ОКДП</t>
  </si>
  <si>
    <t>М.П.</t>
  </si>
  <si>
    <t>Договор подряда (контракт)</t>
  </si>
  <si>
    <t>номер</t>
  </si>
  <si>
    <t>дата</t>
  </si>
  <si>
    <t>Доп.Соглашение</t>
  </si>
  <si>
    <t>АКТ</t>
  </si>
  <si>
    <t>О ПРИЕМКЕ ВЫПОЛНЕННЫХ РАБОТ</t>
  </si>
  <si>
    <t>Вид операции</t>
  </si>
  <si>
    <t>Сметная (договорная) стоимость в соответствии с договором подряда (субподряда)</t>
  </si>
  <si>
    <t>руб.</t>
  </si>
  <si>
    <t>Номер документа</t>
  </si>
  <si>
    <t>Дата составления</t>
  </si>
  <si>
    <t>Отчетный период</t>
  </si>
  <si>
    <t>Номер по
порядку</t>
  </si>
  <si>
    <t>Код затрат</t>
  </si>
  <si>
    <t>Наименование работ</t>
  </si>
  <si>
    <t>Номер единичной расценки</t>
  </si>
  <si>
    <t>Единица измерения</t>
  </si>
  <si>
    <t>Выполнено работ</t>
  </si>
  <si>
    <t>с</t>
  </si>
  <si>
    <t>по</t>
  </si>
  <si>
    <t>цена за единицу,
рубль</t>
  </si>
  <si>
    <t>стоимость,
 рубль</t>
  </si>
  <si>
    <t>Унифицированная форма № КС-3</t>
  </si>
  <si>
    <t>Утверждена постановлением Госкомстата России</t>
  </si>
  <si>
    <t>от 11 ноября 1999г. № 100</t>
  </si>
  <si>
    <t xml:space="preserve">Номер по порядку </t>
  </si>
  <si>
    <t xml:space="preserve">Наименование пусковых комплексов, этапов, объектов видов выполненных работ, обрудования и затрат  </t>
  </si>
  <si>
    <t>Стоимость    выполненных  работ и затрат, руб.</t>
  </si>
  <si>
    <t xml:space="preserve">Заказчик </t>
  </si>
  <si>
    <t>с начала проведения работ</t>
  </si>
  <si>
    <t>с начала года</t>
  </si>
  <si>
    <t>в том числе за отчетный период</t>
  </si>
  <si>
    <t>Подрядчик</t>
  </si>
  <si>
    <t>Всего работ и затрат, включаемых в стоимость работ</t>
  </si>
  <si>
    <t>в том числе:</t>
  </si>
  <si>
    <t>Стоимость материалов</t>
  </si>
  <si>
    <t xml:space="preserve">Итого </t>
  </si>
  <si>
    <t>Сумма НДС</t>
  </si>
  <si>
    <t>Всего  с учетом НДС</t>
  </si>
  <si>
    <t xml:space="preserve">   с</t>
  </si>
  <si>
    <t xml:space="preserve">  по</t>
  </si>
  <si>
    <t xml:space="preserve">Заказчик          </t>
  </si>
  <si>
    <t>СПРАВКА</t>
  </si>
  <si>
    <t>О СТОИМОСТИ ВЫПОЛНЕННЫХ РАБОТ И ЗАТРАТ</t>
  </si>
  <si>
    <t>подпись</t>
  </si>
  <si>
    <t xml:space="preserve">Подрядчик     </t>
  </si>
  <si>
    <t>4.1</t>
  </si>
  <si>
    <t>4.2</t>
  </si>
  <si>
    <t>4.5</t>
  </si>
  <si>
    <t>RO2646</t>
  </si>
  <si>
    <t>RO2648</t>
  </si>
  <si>
    <t>RO0498</t>
  </si>
  <si>
    <t>RO2512</t>
  </si>
  <si>
    <t>RO2500</t>
  </si>
  <si>
    <t>RO1636</t>
  </si>
  <si>
    <t>RD0015</t>
  </si>
  <si>
    <t>RO2564</t>
  </si>
  <si>
    <t>RO2703</t>
  </si>
  <si>
    <t>RO2508</t>
  </si>
  <si>
    <t>RO2051</t>
  </si>
  <si>
    <t>RO1984</t>
  </si>
  <si>
    <t>RO0869</t>
  </si>
  <si>
    <t>Сальская</t>
  </si>
  <si>
    <t xml:space="preserve">RO1384 </t>
  </si>
  <si>
    <t>Таганрогская</t>
  </si>
  <si>
    <t xml:space="preserve">RO1478 </t>
  </si>
  <si>
    <t xml:space="preserve">RO2339 </t>
  </si>
  <si>
    <t xml:space="preserve">RO2717 </t>
  </si>
  <si>
    <t xml:space="preserve">RO0950 </t>
  </si>
  <si>
    <t>RO1181</t>
  </si>
  <si>
    <t>RO1253</t>
  </si>
  <si>
    <t>RO1312</t>
  </si>
  <si>
    <t>RO2044</t>
  </si>
  <si>
    <t>RO2711</t>
  </si>
  <si>
    <t>RO2829</t>
  </si>
  <si>
    <t>RO2969</t>
  </si>
  <si>
    <t>RO1983</t>
  </si>
  <si>
    <t>RO1196</t>
  </si>
  <si>
    <t>Ткаченко</t>
  </si>
  <si>
    <t>Котенко</t>
  </si>
  <si>
    <t>Черкашин</t>
  </si>
  <si>
    <t>Баженов</t>
  </si>
  <si>
    <t>Жадько</t>
  </si>
  <si>
    <t>Ларионов</t>
  </si>
  <si>
    <t>RO1603</t>
  </si>
  <si>
    <t>RO1194</t>
  </si>
  <si>
    <t>RO2902</t>
  </si>
  <si>
    <t>RO2981</t>
  </si>
  <si>
    <t>RO2616</t>
  </si>
  <si>
    <t>RO2675</t>
  </si>
  <si>
    <t>RO1173</t>
  </si>
  <si>
    <t>RO1291</t>
  </si>
  <si>
    <t>RO2668</t>
  </si>
  <si>
    <t>RO0878</t>
  </si>
  <si>
    <t>RO2673</t>
  </si>
  <si>
    <t>RO1925</t>
  </si>
  <si>
    <t>RO2737</t>
  </si>
  <si>
    <t>RO2339</t>
  </si>
  <si>
    <t>RO1696</t>
  </si>
  <si>
    <t>RO0786</t>
  </si>
  <si>
    <t>RO2540</t>
  </si>
  <si>
    <t>RO2545</t>
  </si>
  <si>
    <t>RO2896</t>
  </si>
  <si>
    <t>RO2288</t>
  </si>
  <si>
    <t>новое</t>
  </si>
  <si>
    <t>НДС 22%</t>
  </si>
  <si>
    <t>WO06713082</t>
  </si>
  <si>
    <t>WO06713622</t>
  </si>
  <si>
    <t>WO06714067</t>
  </si>
  <si>
    <t>WO06714433</t>
  </si>
  <si>
    <t>WO06711278</t>
  </si>
  <si>
    <t>WO06713153</t>
  </si>
  <si>
    <t>WO06713156</t>
  </si>
  <si>
    <t>WO06716320</t>
  </si>
  <si>
    <t>WO06716466</t>
  </si>
  <si>
    <t>WO06715277</t>
  </si>
  <si>
    <t>WO06715857</t>
  </si>
  <si>
    <t>WO06718732</t>
  </si>
  <si>
    <t>провод 1*50 2метра + 2шт наконечника</t>
  </si>
  <si>
    <t>RO1042</t>
  </si>
  <si>
    <t>RO0976</t>
  </si>
  <si>
    <t>RO2451</t>
  </si>
  <si>
    <t>WO06715431</t>
  </si>
  <si>
    <t>WO06719529</t>
  </si>
  <si>
    <t>WO06719645</t>
  </si>
  <si>
    <t>WO06720288</t>
  </si>
  <si>
    <t>WO06719769</t>
  </si>
  <si>
    <t>WO06720545</t>
  </si>
  <si>
    <t>WO06720624</t>
  </si>
  <si>
    <t>WO06719762</t>
  </si>
  <si>
    <t>WO06722056</t>
  </si>
  <si>
    <t>WO06722174</t>
  </si>
  <si>
    <t>WO06723195</t>
  </si>
  <si>
    <t>WO06723766</t>
  </si>
  <si>
    <t>WO06723940</t>
  </si>
  <si>
    <t>WO06724618</t>
  </si>
  <si>
    <t>WO06724773</t>
  </si>
  <si>
    <t>WO06724848</t>
  </si>
  <si>
    <t>WO06725300</t>
  </si>
  <si>
    <t>WO06724496</t>
  </si>
  <si>
    <t>WO06726234</t>
  </si>
  <si>
    <t>WO06726285</t>
  </si>
  <si>
    <t>RO2258</t>
  </si>
  <si>
    <t>WO06714447</t>
  </si>
  <si>
    <t>WO06714665</t>
  </si>
  <si>
    <t>WO06715791</t>
  </si>
  <si>
    <t>WO06716548</t>
  </si>
  <si>
    <t>WO06716710</t>
  </si>
  <si>
    <t>WO06716272</t>
  </si>
  <si>
    <t>WO06714568</t>
  </si>
  <si>
    <t>WO06720743</t>
  </si>
  <si>
    <t>WO06720824</t>
  </si>
  <si>
    <t>WO06660741</t>
  </si>
  <si>
    <t>WO06721996</t>
  </si>
  <si>
    <t>WO06722511</t>
  </si>
  <si>
    <t>WO06722764</t>
  </si>
  <si>
    <t>WO06720915</t>
  </si>
  <si>
    <t>WO06725541</t>
  </si>
  <si>
    <t>WO06725622</t>
  </si>
  <si>
    <t>WO06726176</t>
  </si>
  <si>
    <t>Чистка фильтра маршрутизатора</t>
  </si>
  <si>
    <t>Замена вводного автомата</t>
  </si>
  <si>
    <t>3ех полюсный автомат ABB</t>
  </si>
  <si>
    <t>WO06718119</t>
  </si>
  <si>
    <t>Новак</t>
  </si>
  <si>
    <t>WO06722253</t>
  </si>
  <si>
    <t>Кривинец</t>
  </si>
  <si>
    <t>WO06714774</t>
  </si>
  <si>
    <t>WO06716665</t>
  </si>
  <si>
    <t>WO06719511</t>
  </si>
  <si>
    <t>WO06722073</t>
  </si>
  <si>
    <t>WO06713841</t>
  </si>
  <si>
    <t>WO06714405</t>
  </si>
  <si>
    <t>WO06697153</t>
  </si>
  <si>
    <t>WO06715685</t>
  </si>
  <si>
    <t>WO06716427</t>
  </si>
  <si>
    <t>WO06716413</t>
  </si>
  <si>
    <t>WO06716442</t>
  </si>
  <si>
    <t>WO06716502</t>
  </si>
  <si>
    <t>WO06717484</t>
  </si>
  <si>
    <t>WO06717706</t>
  </si>
  <si>
    <t>WO06722000</t>
  </si>
  <si>
    <t>WO06721999</t>
  </si>
  <si>
    <t>WO06724099</t>
  </si>
  <si>
    <t>WO06724102</t>
  </si>
  <si>
    <t>WO06724159</t>
  </si>
  <si>
    <t>WO06724214</t>
  </si>
  <si>
    <t>WO06724651</t>
  </si>
  <si>
    <t>WO06725623</t>
  </si>
  <si>
    <t>WO06725558</t>
  </si>
  <si>
    <t>WO06725806</t>
  </si>
  <si>
    <t>Ахундов</t>
  </si>
  <si>
    <t>WO06720686</t>
  </si>
  <si>
    <t>WO06660739</t>
  </si>
  <si>
    <t>WO06722288</t>
  </si>
  <si>
    <t>WO06723494</t>
  </si>
  <si>
    <t>WO06724258</t>
  </si>
  <si>
    <t>WO06725460</t>
  </si>
  <si>
    <t>WO06712892</t>
  </si>
  <si>
    <t>Голиков</t>
  </si>
  <si>
    <t>WO06714528</t>
  </si>
  <si>
    <t>WO06714641</t>
  </si>
  <si>
    <t>WO06715289</t>
  </si>
  <si>
    <t>WO06711353</t>
  </si>
  <si>
    <t>WO06713574</t>
  </si>
  <si>
    <t>WO06717286</t>
  </si>
  <si>
    <t>WO06719301</t>
  </si>
  <si>
    <t>WO06719799</t>
  </si>
  <si>
    <t>WO06531741</t>
  </si>
  <si>
    <t>WO06719222</t>
  </si>
  <si>
    <t>WO06720860</t>
  </si>
  <si>
    <t>WO06722580</t>
  </si>
  <si>
    <t>WO06721282</t>
  </si>
  <si>
    <t>WO06719053</t>
  </si>
  <si>
    <t>WO06723530</t>
  </si>
  <si>
    <t>WO06724458</t>
  </si>
  <si>
    <t>WO06724414</t>
  </si>
  <si>
    <t>WO06720758</t>
  </si>
  <si>
    <t>WO06724597</t>
  </si>
  <si>
    <t>WO06725097</t>
  </si>
  <si>
    <t>WO06689455</t>
  </si>
  <si>
    <t>WO06726884</t>
  </si>
  <si>
    <t>WO06728289</t>
  </si>
  <si>
    <t>WO06724512</t>
  </si>
  <si>
    <t>Чистка фильтров</t>
  </si>
  <si>
    <t>WO06721509</t>
  </si>
  <si>
    <t>WO06717597</t>
  </si>
  <si>
    <t xml:space="preserve">Попов </t>
  </si>
  <si>
    <t>WO06718114</t>
  </si>
  <si>
    <t>WO06718117</t>
  </si>
  <si>
    <t>WO06718125</t>
  </si>
  <si>
    <t>WO06718763</t>
  </si>
  <si>
    <t>WO06719940</t>
  </si>
  <si>
    <t>WO06720033</t>
  </si>
  <si>
    <t>WO06717172</t>
  </si>
  <si>
    <t>WO06724537</t>
  </si>
  <si>
    <t>WO06725961</t>
  </si>
  <si>
    <t>WO06726281</t>
  </si>
  <si>
    <t>WO06722205</t>
  </si>
  <si>
    <t>Тутаев</t>
  </si>
  <si>
    <t>WO06724575</t>
  </si>
  <si>
    <t>WO06713613</t>
  </si>
  <si>
    <t>Шведков</t>
  </si>
  <si>
    <t>WO06714307</t>
  </si>
  <si>
    <t>WO06714385</t>
  </si>
  <si>
    <t>WO06714417</t>
  </si>
  <si>
    <t>WO06714501</t>
  </si>
  <si>
    <t>WO06718168</t>
  </si>
  <si>
    <t>WO06718313</t>
  </si>
  <si>
    <t>WO06718384</t>
  </si>
  <si>
    <t>WO06718536</t>
  </si>
  <si>
    <t>WO06721494</t>
  </si>
  <si>
    <t>WO06721498</t>
  </si>
  <si>
    <t>WO06722800</t>
  </si>
  <si>
    <t>WO06722825</t>
  </si>
  <si>
    <t>WO06722873</t>
  </si>
  <si>
    <t>WO06724161</t>
  </si>
  <si>
    <t>WO06724187</t>
  </si>
  <si>
    <t>WO06724695</t>
  </si>
  <si>
    <t>WO06725019</t>
  </si>
  <si>
    <t>WO06725195</t>
  </si>
  <si>
    <t>WO06719226</t>
  </si>
  <si>
    <t>Католиков</t>
  </si>
  <si>
    <t>WO06719603</t>
  </si>
  <si>
    <t>WO06720289</t>
  </si>
  <si>
    <t>WO06721235</t>
  </si>
  <si>
    <t>WO06722588</t>
  </si>
  <si>
    <t>WO06713085</t>
  </si>
  <si>
    <t>WO06713435</t>
  </si>
  <si>
    <t>WO06714139</t>
  </si>
  <si>
    <t>Доставка ЗИП</t>
  </si>
  <si>
    <t>Диагностика БС</t>
  </si>
  <si>
    <t>Диагностика, проверка CU</t>
  </si>
  <si>
    <t>Настройка СП</t>
  </si>
  <si>
    <t>Монтаж проводов для АКБ*2</t>
  </si>
  <si>
    <t>Монтаж защиты АКБ</t>
  </si>
  <si>
    <t>Изготовление защиты АКБ</t>
  </si>
  <si>
    <t>Работы с защитой АКБ</t>
  </si>
  <si>
    <t>Проверка БС</t>
  </si>
  <si>
    <t>Работы с АКБ</t>
  </si>
  <si>
    <t>Burglary</t>
  </si>
  <si>
    <t>DOOR/Проверка БС</t>
  </si>
  <si>
    <t>Работы с корзиной</t>
  </si>
  <si>
    <t>Приемка БС</t>
  </si>
  <si>
    <t>Работы по заданию</t>
  </si>
  <si>
    <t>Чистка передатчика</t>
  </si>
  <si>
    <t>Обклейка 15 БС(кражи АКБ)</t>
  </si>
  <si>
    <t>DOOR/Проверка БС, взаимодействие с полицией, поездка в отделение</t>
  </si>
  <si>
    <t>Демонтаж фидерной трассы, креплений оптики</t>
  </si>
  <si>
    <t>Юстировка</t>
  </si>
  <si>
    <t>Переключение FXED с прим.зажимов</t>
  </si>
  <si>
    <t>Проверка оптики</t>
  </si>
  <si>
    <t>Рестарт БС, обновлен софт</t>
  </si>
  <si>
    <t>Устранение перепутки</t>
  </si>
  <si>
    <t>Устранение SecOff</t>
  </si>
  <si>
    <t>Диагностика СП</t>
  </si>
  <si>
    <t>Рестарт БС</t>
  </si>
  <si>
    <t>Устранение КЗ в ТШ</t>
  </si>
  <si>
    <t>Титенко</t>
  </si>
  <si>
    <t>Диагностика аварии по питанию</t>
  </si>
  <si>
    <t>Термореле</t>
  </si>
  <si>
    <t>Замена термореле</t>
  </si>
  <si>
    <t>Замена SFP на AREA</t>
  </si>
  <si>
    <t>Ремонт магнита двери и контейнера</t>
  </si>
  <si>
    <t>Проверка на перепутку</t>
  </si>
  <si>
    <t>Проверка контактора</t>
  </si>
  <si>
    <t>Перекросс аварий</t>
  </si>
  <si>
    <t>Переключение оптики</t>
  </si>
  <si>
    <t>Диагностика ВЭС</t>
  </si>
  <si>
    <t>Работы с ВЭС</t>
  </si>
  <si>
    <t>Изменение азимута одной антенны</t>
  </si>
  <si>
    <t>Альп-работы</t>
  </si>
  <si>
    <t>16.03.2026г</t>
  </si>
  <si>
    <t>29.03.2026г.</t>
  </si>
  <si>
    <t>WO06715863</t>
  </si>
  <si>
    <t>WO06714366</t>
  </si>
  <si>
    <t>WO06708638</t>
  </si>
  <si>
    <t>Юкин</t>
  </si>
  <si>
    <t>WO06714363</t>
  </si>
  <si>
    <t xml:space="preserve">Сопровождение </t>
  </si>
  <si>
    <t xml:space="preserve">Осмотр территории, Выезд из Ростова. </t>
  </si>
  <si>
    <t>ОРЕХ 2612-2613</t>
  </si>
  <si>
    <t>6.19.</t>
  </si>
  <si>
    <t>6.20.</t>
  </si>
  <si>
    <t>6.21.</t>
  </si>
  <si>
    <t>6.22.</t>
  </si>
  <si>
    <t>6.23.</t>
  </si>
  <si>
    <t>RO1384</t>
  </si>
  <si>
    <t>RO1052</t>
  </si>
  <si>
    <t>RO1094</t>
  </si>
  <si>
    <t>RO2736</t>
  </si>
  <si>
    <t>RO2501</t>
  </si>
  <si>
    <t>RO1093</t>
  </si>
  <si>
    <t>Изменение механического угла наклона одной антенны</t>
  </si>
  <si>
    <t>Замена джампера</t>
  </si>
  <si>
    <t>Джампер???</t>
  </si>
  <si>
    <t>Работы по заданию. Осмотр БС.</t>
  </si>
  <si>
    <t xml:space="preserve">Замена SFP </t>
  </si>
  <si>
    <t>SFP???</t>
  </si>
  <si>
    <t>Инвентаризация БС</t>
  </si>
  <si>
    <t>Видеотест АКБ</t>
  </si>
  <si>
    <t>Видеотест АКБ, доставка сопровождающего с РТРС</t>
  </si>
  <si>
    <t>Замена 2-ух SFP, джампера</t>
  </si>
  <si>
    <t>WO06722685</t>
  </si>
  <si>
    <t>WO06721420</t>
  </si>
  <si>
    <t>WO06721284</t>
  </si>
  <si>
    <t>ВЭС по прибытию</t>
  </si>
  <si>
    <t>исправить километраж на "24" как в договоре</t>
  </si>
  <si>
    <t>удалить километраж, есть в WO06714417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</si>
</sst>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[hh]:mm"/>
    <numFmt numFmtId="165" formatCode="dd/mm/yy\ hh:mm;@"/>
    <numFmt numFmtId="166" formatCode="dd/mm/yy\ h:mm;@"/>
    <numFmt numFmtId="167" formatCode="yyyy\-mm\-dd\ hh:mm:ss"/>
    <numFmt numFmtId="168" formatCode="dd/mm/yy\ h:mm"/>
    <numFmt numFmtId="169" formatCode="_-* #,##0.00\ _₽_-;\-* #,##0.00\ _₽_-;_-* \-??\ _₽_-;_-@_-"/>
  </numFmts>
  <fonts count="46" x14ac:knownFonts="1">
    <font>
      <sz val="11"/>
      <name val="Calibri"/>
    </font>
    <font>
      <sz val="10"/>
      <name val="Arial"/>
      <family val="2"/>
      <charset val="204"/>
    </font>
    <font>
      <b/>
      <sz val="14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i/>
      <sz val="10"/>
      <color rgb="FF000000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1"/>
      <color rgb="FF0D0D0D"/>
      <name val="Arial"/>
      <family val="2"/>
      <charset val="204"/>
    </font>
    <font>
      <b/>
      <sz val="11"/>
      <name val="Arial"/>
      <family val="2"/>
      <charset val="204"/>
    </font>
    <font>
      <sz val="11"/>
      <color rgb="FFFFFFFF"/>
      <name val="Arial"/>
      <family val="2"/>
      <charset val="204"/>
    </font>
    <font>
      <b/>
      <sz val="12"/>
      <color rgb="FF000000"/>
      <name val="Arial"/>
      <family val="2"/>
      <charset val="204"/>
    </font>
    <font>
      <sz val="11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color rgb="FFFF0000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11"/>
      <color rgb="FF212529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b/>
      <sz val="12"/>
      <name val="Arial"/>
      <family val="2"/>
      <charset val="204"/>
    </font>
    <font>
      <sz val="12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7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name val="Arial Cyr"/>
      <family val="2"/>
      <charset val="204"/>
    </font>
  </fonts>
  <fills count="29">
    <fill>
      <patternFill patternType="none"/>
    </fill>
    <fill>
      <patternFill patternType="gray125"/>
    </fill>
    <fill>
      <patternFill patternType="solid">
        <fgColor theme="4" tint="-0.249977111117893"/>
        <bgColor indexed="65"/>
      </patternFill>
    </fill>
    <fill>
      <patternFill patternType="solid">
        <fgColor theme="0" tint="-0.34998626667073579"/>
        <bgColor indexed="65"/>
      </patternFill>
    </fill>
    <fill>
      <patternFill patternType="solid">
        <fgColor theme="0"/>
      </patternFill>
    </fill>
    <fill>
      <patternFill patternType="solid">
        <fgColor rgb="FFFFFF00"/>
      </patternFill>
    </fill>
    <fill>
      <patternFill patternType="solid">
        <fgColor rgb="FF7030A0"/>
      </patternFill>
    </fill>
    <fill>
      <patternFill patternType="solid">
        <fgColor rgb="FF92D050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rgb="FFDDD9C3"/>
      </patternFill>
    </fill>
    <fill>
      <patternFill patternType="solid">
        <fgColor rgb="FFAEAAAA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rgb="FFEAF1DD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FCDCD"/>
        <bgColor indexed="64"/>
      </patternFill>
    </fill>
  </fills>
  <borders count="9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 applyFill="0" applyBorder="0"/>
    <xf numFmtId="0" fontId="45" fillId="0" borderId="0"/>
  </cellStyleXfs>
  <cellXfs count="1290">
    <xf numFmtId="0" fontId="1" fillId="0" borderId="0" xfId="0" applyFont="1"/>
    <xf numFmtId="0" fontId="1" fillId="0" borderId="0" xfId="0" applyFont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left" vertical="center" indent="1"/>
    </xf>
    <xf numFmtId="14" fontId="1" fillId="0" borderId="0" xfId="0" applyNumberFormat="1" applyFont="1"/>
    <xf numFmtId="0" fontId="1" fillId="3" borderId="5" xfId="0" applyFont="1" applyFill="1" applyBorder="1" applyAlignment="1">
      <alignment horizontal="center" vertical="center"/>
    </xf>
    <xf numFmtId="14" fontId="1" fillId="4" borderId="6" xfId="0" applyNumberFormat="1" applyFont="1" applyFill="1" applyBorder="1" applyAlignment="1">
      <alignment horizontal="left" vertical="center" indent="1"/>
    </xf>
    <xf numFmtId="0" fontId="1" fillId="5" borderId="6" xfId="0" applyFont="1" applyFill="1" applyBorder="1" applyAlignment="1">
      <alignment horizontal="left" vertical="center" wrapText="1" indent="1"/>
    </xf>
    <xf numFmtId="0" fontId="1" fillId="4" borderId="0" xfId="0" applyFont="1" applyFill="1"/>
    <xf numFmtId="0" fontId="1" fillId="5" borderId="6" xfId="0" applyFont="1" applyFill="1" applyBorder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14" fontId="1" fillId="5" borderId="6" xfId="0" applyNumberFormat="1" applyFont="1" applyFill="1" applyBorder="1" applyAlignment="1">
      <alignment horizontal="left" vertical="center" wrapText="1" inden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14" fontId="1" fillId="5" borderId="10" xfId="0" applyNumberFormat="1" applyFont="1" applyFill="1" applyBorder="1" applyAlignment="1">
      <alignment horizontal="left" vertical="center" wrapText="1" indent="1"/>
    </xf>
    <xf numFmtId="0" fontId="1" fillId="0" borderId="11" xfId="0" applyFont="1" applyBorder="1" applyAlignment="1">
      <alignment horizontal="left" vertical="center" wrapText="1" indent="1"/>
    </xf>
    <xf numFmtId="14" fontId="1" fillId="4" borderId="0" xfId="0" applyNumberFormat="1" applyFont="1" applyFill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 inden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inden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 indent="1"/>
    </xf>
    <xf numFmtId="0" fontId="1" fillId="3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indent="1"/>
    </xf>
    <xf numFmtId="0" fontId="1" fillId="3" borderId="2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 indent="1"/>
    </xf>
    <xf numFmtId="0" fontId="9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5" fillId="0" borderId="22" xfId="0" applyFont="1" applyBorder="1" applyAlignment="1">
      <alignment horizontal="center" vertical="center"/>
    </xf>
    <xf numFmtId="2" fontId="15" fillId="0" borderId="2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7" fontId="7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7" borderId="0" xfId="0" applyFont="1" applyFill="1" applyAlignment="1">
      <alignment horizontal="center" vertical="center" wrapText="1"/>
    </xf>
    <xf numFmtId="0" fontId="5" fillId="0" borderId="0" xfId="0" applyFont="1" applyAlignment="1" applyProtection="1">
      <alignment horizontal="center" vertical="center" wrapText="1"/>
      <protection locked="0"/>
    </xf>
    <xf numFmtId="0" fontId="7" fillId="0" borderId="2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167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1" fontId="5" fillId="10" borderId="27" xfId="0" applyNumberFormat="1" applyFont="1" applyFill="1" applyBorder="1" applyAlignment="1">
      <alignment horizontal="center" vertical="center" wrapText="1"/>
    </xf>
    <xf numFmtId="0" fontId="5" fillId="10" borderId="27" xfId="0" applyFont="1" applyFill="1" applyBorder="1" applyAlignment="1">
      <alignment horizontal="center" vertical="center" wrapText="1"/>
    </xf>
    <xf numFmtId="4" fontId="7" fillId="0" borderId="0" xfId="0" applyNumberFormat="1" applyFont="1" applyAlignment="1">
      <alignment horizontal="center" vertical="center" wrapText="1"/>
    </xf>
    <xf numFmtId="169" fontId="7" fillId="0" borderId="0" xfId="0" applyNumberFormat="1" applyFont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textRotation="90" wrapText="1"/>
    </xf>
    <xf numFmtId="1" fontId="5" fillId="0" borderId="27" xfId="0" applyNumberFormat="1" applyFont="1" applyBorder="1" applyAlignment="1">
      <alignment horizontal="center" vertical="center" textRotation="90" wrapText="1"/>
    </xf>
    <xf numFmtId="1" fontId="5" fillId="0" borderId="27" xfId="0" applyNumberFormat="1" applyFont="1" applyBorder="1" applyAlignment="1">
      <alignment horizontal="center" vertical="center" wrapText="1"/>
    </xf>
    <xf numFmtId="167" fontId="5" fillId="0" borderId="27" xfId="0" applyNumberFormat="1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0" fontId="5" fillId="8" borderId="27" xfId="0" applyFont="1" applyFill="1" applyBorder="1" applyAlignment="1">
      <alignment horizontal="center" vertical="center" textRotation="90" wrapText="1"/>
    </xf>
    <xf numFmtId="0" fontId="5" fillId="10" borderId="27" xfId="0" applyFont="1" applyFill="1" applyBorder="1" applyAlignment="1">
      <alignment horizontal="center" vertical="center" textRotation="90" wrapText="1"/>
    </xf>
    <xf numFmtId="0" fontId="5" fillId="9" borderId="27" xfId="0" applyFont="1" applyFill="1" applyBorder="1" applyAlignment="1">
      <alignment horizontal="center" vertical="center" textRotation="90" wrapText="1"/>
    </xf>
    <xf numFmtId="2" fontId="5" fillId="0" borderId="27" xfId="0" applyNumberFormat="1" applyFont="1" applyBorder="1" applyAlignment="1">
      <alignment horizontal="center" vertical="center" textRotation="90" wrapText="1"/>
    </xf>
    <xf numFmtId="4" fontId="7" fillId="0" borderId="28" xfId="0" applyNumberFormat="1" applyFont="1" applyBorder="1" applyAlignment="1">
      <alignment horizontal="center" vertical="center" wrapText="1"/>
    </xf>
    <xf numFmtId="4" fontId="7" fillId="9" borderId="28" xfId="0" applyNumberFormat="1" applyFont="1" applyFill="1" applyBorder="1" applyAlignment="1">
      <alignment horizontal="center" vertical="center" wrapText="1"/>
    </xf>
    <xf numFmtId="2" fontId="7" fillId="9" borderId="39" xfId="0" applyNumberFormat="1" applyFont="1" applyFill="1" applyBorder="1" applyAlignment="1">
      <alignment horizontal="center" vertical="center"/>
    </xf>
    <xf numFmtId="2" fontId="7" fillId="0" borderId="28" xfId="0" applyNumberFormat="1" applyFont="1" applyBorder="1" applyAlignment="1">
      <alignment horizontal="center" vertical="center" wrapText="1"/>
    </xf>
    <xf numFmtId="169" fontId="7" fillId="0" borderId="28" xfId="0" applyNumberFormat="1" applyFont="1" applyBorder="1" applyAlignment="1">
      <alignment horizontal="center" vertical="center" wrapText="1"/>
    </xf>
    <xf numFmtId="10" fontId="7" fillId="0" borderId="28" xfId="0" applyNumberFormat="1" applyFont="1" applyBorder="1" applyAlignment="1">
      <alignment horizontal="center" vertical="center" wrapText="1"/>
    </xf>
    <xf numFmtId="2" fontId="1" fillId="0" borderId="22" xfId="0" applyNumberFormat="1" applyFont="1" applyBorder="1" applyAlignment="1">
      <alignment horizontal="center" vertical="center" wrapText="1"/>
    </xf>
    <xf numFmtId="0" fontId="7" fillId="11" borderId="0" xfId="0" applyFont="1" applyFill="1" applyAlignment="1">
      <alignment horizontal="center" vertical="center" wrapText="1"/>
    </xf>
    <xf numFmtId="0" fontId="7" fillId="12" borderId="0" xfId="0" applyFont="1" applyFill="1" applyAlignment="1">
      <alignment horizontal="center" vertical="center" wrapText="1"/>
    </xf>
    <xf numFmtId="0" fontId="7" fillId="13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2" fontId="16" fillId="0" borderId="0" xfId="0" applyNumberFormat="1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4" fontId="16" fillId="0" borderId="0" xfId="0" applyNumberFormat="1" applyFont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4" fontId="17" fillId="0" borderId="25" xfId="0" applyNumberFormat="1" applyFont="1" applyBorder="1" applyAlignment="1">
      <alignment horizontal="right" vertical="center" wrapText="1"/>
    </xf>
    <xf numFmtId="4" fontId="16" fillId="0" borderId="25" xfId="0" applyNumberFormat="1" applyFont="1" applyBorder="1" applyAlignment="1">
      <alignment horizontal="center" vertical="center" wrapText="1"/>
    </xf>
    <xf numFmtId="169" fontId="17" fillId="0" borderId="22" xfId="0" applyNumberFormat="1" applyFont="1" applyBorder="1" applyAlignment="1">
      <alignment horizontal="left" vertical="center" wrapText="1"/>
    </xf>
    <xf numFmtId="169" fontId="17" fillId="0" borderId="22" xfId="0" applyNumberFormat="1" applyFont="1" applyBorder="1" applyAlignment="1">
      <alignment horizontal="center" vertical="center" wrapText="1"/>
    </xf>
    <xf numFmtId="4" fontId="17" fillId="5" borderId="22" xfId="0" applyNumberFormat="1" applyFont="1" applyFill="1" applyBorder="1" applyAlignment="1">
      <alignment horizontal="right" vertical="center" wrapText="1"/>
    </xf>
    <xf numFmtId="4" fontId="17" fillId="0" borderId="40" xfId="0" applyNumberFormat="1" applyFont="1" applyBorder="1" applyAlignment="1">
      <alignment horizontal="right" vertical="center" wrapText="1"/>
    </xf>
    <xf numFmtId="167" fontId="16" fillId="0" borderId="0" xfId="0" applyNumberFormat="1" applyFont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 wrapText="1"/>
    </xf>
    <xf numFmtId="169" fontId="17" fillId="0" borderId="22" xfId="0" applyNumberFormat="1" applyFont="1" applyBorder="1" applyAlignment="1">
      <alignment horizontal="left" vertical="center"/>
    </xf>
    <xf numFmtId="0" fontId="7" fillId="0" borderId="22" xfId="0" applyFont="1" applyBorder="1" applyAlignment="1">
      <alignment horizontal="center" vertical="center"/>
    </xf>
    <xf numFmtId="169" fontId="17" fillId="0" borderId="22" xfId="0" applyNumberFormat="1" applyFont="1" applyBorder="1" applyAlignment="1">
      <alignment horizontal="right" vertical="center" wrapText="1"/>
    </xf>
    <xf numFmtId="2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20" fontId="7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left" vertical="center" wrapText="1"/>
    </xf>
    <xf numFmtId="167" fontId="5" fillId="0" borderId="0" xfId="0" applyNumberFormat="1" applyFont="1" applyAlignment="1">
      <alignment horizontal="center" vertical="center" wrapText="1"/>
    </xf>
    <xf numFmtId="167" fontId="7" fillId="0" borderId="0" xfId="0" applyNumberFormat="1" applyFont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left" vertical="center"/>
    </xf>
    <xf numFmtId="167" fontId="7" fillId="0" borderId="0" xfId="0" applyNumberFormat="1" applyFont="1" applyAlignment="1">
      <alignment horizontal="left" vertical="center"/>
    </xf>
    <xf numFmtId="0" fontId="16" fillId="0" borderId="0" xfId="0" applyFont="1"/>
    <xf numFmtId="49" fontId="16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/>
    </xf>
    <xf numFmtId="0" fontId="16" fillId="0" borderId="0" xfId="0" applyFont="1" applyAlignment="1">
      <alignment horizontal="right" vertical="center"/>
    </xf>
    <xf numFmtId="0" fontId="19" fillId="0" borderId="0" xfId="0" applyFont="1"/>
    <xf numFmtId="0" fontId="20" fillId="0" borderId="0" xfId="0" applyFont="1"/>
    <xf numFmtId="49" fontId="21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 wrapText="1"/>
    </xf>
    <xf numFmtId="0" fontId="24" fillId="0" borderId="0" xfId="0" applyFont="1"/>
    <xf numFmtId="0" fontId="16" fillId="0" borderId="0" xfId="0" applyFont="1" applyAlignment="1">
      <alignment wrapText="1"/>
    </xf>
    <xf numFmtId="1" fontId="25" fillId="0" borderId="0" xfId="0" applyNumberFormat="1" applyFont="1" applyAlignment="1">
      <alignment wrapText="1"/>
    </xf>
    <xf numFmtId="0" fontId="16" fillId="0" borderId="0" xfId="0" applyFont="1" applyAlignment="1">
      <alignment horizontal="right" wrapText="1"/>
    </xf>
    <xf numFmtId="14" fontId="25" fillId="0" borderId="0" xfId="0" applyNumberFormat="1" applyFont="1" applyAlignment="1">
      <alignment wrapText="1"/>
    </xf>
    <xf numFmtId="0" fontId="23" fillId="0" borderId="0" xfId="0" applyFont="1" applyAlignment="1" applyProtection="1">
      <alignment vertical="top"/>
      <protection locked="0"/>
    </xf>
    <xf numFmtId="0" fontId="24" fillId="0" borderId="42" xfId="0" applyFont="1" applyBorder="1" applyAlignment="1">
      <alignment wrapText="1"/>
    </xf>
    <xf numFmtId="0" fontId="24" fillId="0" borderId="43" xfId="0" applyFont="1" applyBorder="1" applyAlignment="1">
      <alignment wrapText="1"/>
    </xf>
    <xf numFmtId="0" fontId="17" fillId="0" borderId="23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8" fillId="0" borderId="24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7" fillId="0" borderId="41" xfId="0" applyFont="1" applyBorder="1" applyAlignment="1">
      <alignment horizontal="center" vertical="center"/>
    </xf>
    <xf numFmtId="0" fontId="26" fillId="0" borderId="41" xfId="0" applyFont="1" applyBorder="1" applyAlignment="1">
      <alignment vertical="center" wrapText="1"/>
    </xf>
    <xf numFmtId="0" fontId="1" fillId="0" borderId="41" xfId="0" applyFont="1" applyBorder="1" applyAlignment="1">
      <alignment horizontal="left" vertical="center" wrapText="1"/>
    </xf>
    <xf numFmtId="49" fontId="18" fillId="0" borderId="0" xfId="0" applyNumberFormat="1" applyFont="1" applyAlignment="1">
      <alignment horizontal="center" vertical="center"/>
    </xf>
    <xf numFmtId="0" fontId="27" fillId="0" borderId="41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23" fillId="0" borderId="0" xfId="0" applyFont="1" applyAlignment="1" applyProtection="1">
      <alignment horizontal="center" vertical="center" wrapText="1"/>
      <protection locked="0"/>
    </xf>
    <xf numFmtId="0" fontId="28" fillId="0" borderId="0" xfId="0" applyFont="1" applyAlignment="1">
      <alignment horizontal="center" vertical="center"/>
    </xf>
    <xf numFmtId="49" fontId="2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18" fillId="0" borderId="0" xfId="0" applyFont="1"/>
    <xf numFmtId="0" fontId="23" fillId="0" borderId="0" xfId="0" applyFont="1" applyAlignment="1">
      <alignment horizontal="center" wrapText="1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vertical="center" wrapText="1"/>
    </xf>
    <xf numFmtId="0" fontId="16" fillId="0" borderId="46" xfId="0" applyFont="1" applyBorder="1" applyAlignment="1">
      <alignment horizontal="center" vertical="center" wrapText="1"/>
    </xf>
    <xf numFmtId="0" fontId="24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253" xfId="0" applyFont="1" applyBorder="1"/>
    <xf numFmtId="0" fontId="1" fillId="0" borderId="0" xfId="0" applyFont="1" applyAlignment="1">
      <alignment horizontal="right" vertical="center"/>
    </xf>
    <xf numFmtId="169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596" xfId="0" applyFont="1" applyBorder="1" applyAlignment="1">
      <alignment horizont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 applyAlignment="1">
      <alignment horizontal="left"/>
    </xf>
    <xf numFmtId="0" fontId="35" fillId="0" borderId="0" xfId="0" applyFont="1" applyAlignment="1">
      <alignment horizontal="right"/>
    </xf>
    <xf numFmtId="0" fontId="36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0" fontId="36" fillId="0" borderId="0" xfId="0" applyFont="1" applyAlignment="1">
      <alignment horizontal="right"/>
    </xf>
    <xf numFmtId="0" fontId="36" fillId="0" borderId="0" xfId="0" applyFont="1"/>
    <xf numFmtId="0" fontId="34" fillId="0" borderId="846" xfId="0" applyFont="1" applyBorder="1"/>
    <xf numFmtId="0" fontId="38" fillId="0" borderId="0" xfId="0" applyFont="1" applyAlignment="1">
      <alignment horizontal="right"/>
    </xf>
    <xf numFmtId="0" fontId="37" fillId="0" borderId="0" xfId="0" applyFont="1"/>
    <xf numFmtId="0" fontId="34" fillId="0" borderId="846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34" fillId="0" borderId="0" xfId="0" applyFont="1" applyAlignment="1">
      <alignment horizontal="right"/>
    </xf>
    <xf numFmtId="0" fontId="38" fillId="0" borderId="0" xfId="0" applyFont="1"/>
    <xf numFmtId="2" fontId="34" fillId="0" borderId="846" xfId="0" applyNumberFormat="1" applyFont="1" applyBorder="1" applyAlignment="1">
      <alignment horizontal="center" vertical="top" wrapText="1"/>
    </xf>
    <xf numFmtId="0" fontId="37" fillId="0" borderId="0" xfId="0" applyFont="1" applyAlignment="1">
      <alignment horizontal="right"/>
    </xf>
    <xf numFmtId="0" fontId="34" fillId="0" borderId="846" xfId="0" applyFont="1" applyBorder="1" applyAlignment="1">
      <alignment horizontal="center" vertical="top" wrapText="1"/>
    </xf>
    <xf numFmtId="0" fontId="32" fillId="0" borderId="846" xfId="0" applyFont="1" applyBorder="1" applyAlignment="1">
      <alignment horizontal="center"/>
    </xf>
    <xf numFmtId="0" fontId="27" fillId="0" borderId="0" xfId="0" applyFont="1"/>
    <xf numFmtId="1" fontId="32" fillId="0" borderId="846" xfId="0" applyNumberFormat="1" applyFont="1" applyBorder="1" applyAlignment="1">
      <alignment horizontal="center"/>
    </xf>
    <xf numFmtId="0" fontId="39" fillId="0" borderId="846" xfId="0" applyFont="1" applyBorder="1"/>
    <xf numFmtId="0" fontId="39" fillId="0" borderId="846" xfId="0" applyFont="1" applyBorder="1" applyAlignment="1">
      <alignment horizontal="justify" vertical="center" wrapText="1"/>
    </xf>
    <xf numFmtId="0" fontId="34" fillId="0" borderId="0" xfId="0" applyFont="1" applyAlignment="1">
      <alignment horizontal="left"/>
    </xf>
    <xf numFmtId="4" fontId="39" fillId="0" borderId="868" xfId="0" applyNumberFormat="1" applyFont="1" applyBorder="1" applyAlignment="1">
      <alignment vertical="top" wrapText="1"/>
    </xf>
    <xf numFmtId="0" fontId="34" fillId="0" borderId="0" xfId="0" applyFont="1" applyAlignment="1">
      <alignment horizontal="left" vertical="center"/>
    </xf>
    <xf numFmtId="4" fontId="40" fillId="0" borderId="846" xfId="0" applyNumberFormat="1" applyFont="1" applyBorder="1" applyAlignment="1">
      <alignment horizontal="center" vertical="top"/>
    </xf>
    <xf numFmtId="0" fontId="34" fillId="0" borderId="0" xfId="0" applyFont="1" applyAlignment="1">
      <alignment vertical="center" wrapText="1"/>
    </xf>
    <xf numFmtId="4" fontId="40" fillId="0" borderId="846" xfId="0" applyNumberFormat="1" applyFont="1" applyBorder="1" applyAlignment="1">
      <alignment horizontal="center" vertical="center"/>
    </xf>
    <xf numFmtId="4" fontId="39" fillId="0" borderId="846" xfId="0" applyNumberFormat="1" applyFont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justify" vertical="top" wrapText="1"/>
    </xf>
    <xf numFmtId="0" fontId="39" fillId="0" borderId="846" xfId="0" applyFont="1" applyBorder="1" applyAlignment="1">
      <alignment horizontal="center" vertical="center"/>
    </xf>
    <xf numFmtId="0" fontId="39" fillId="0" borderId="846" xfId="0" applyFont="1" applyBorder="1" applyAlignment="1">
      <alignment horizontal="left" vertical="center" wrapText="1"/>
    </xf>
    <xf numFmtId="0" fontId="37" fillId="0" borderId="0" xfId="0" applyFont="1" applyAlignment="1">
      <alignment horizontal="right" wrapText="1"/>
    </xf>
    <xf numFmtId="0" fontId="41" fillId="0" borderId="0" xfId="0" applyFont="1" applyAlignment="1">
      <alignment horizontal="left"/>
    </xf>
    <xf numFmtId="0" fontId="37" fillId="0" borderId="0" xfId="0" applyFont="1" applyAlignment="1">
      <alignment horizontal="right" vertical="center"/>
    </xf>
    <xf numFmtId="0" fontId="34" fillId="0" borderId="878" xfId="0" applyFont="1" applyBorder="1" applyAlignment="1">
      <alignment horizontal="right" vertical="center"/>
    </xf>
    <xf numFmtId="49" fontId="39" fillId="0" borderId="846" xfId="0" applyNumberFormat="1" applyFont="1" applyBorder="1" applyAlignment="1">
      <alignment horizontal="left" vertical="center" wrapText="1"/>
    </xf>
    <xf numFmtId="0" fontId="34" fillId="0" borderId="878" xfId="0" applyFont="1" applyBorder="1" applyAlignment="1">
      <alignment horizontal="right"/>
    </xf>
    <xf numFmtId="4" fontId="39" fillId="0" borderId="189" xfId="0" applyNumberFormat="1" applyFont="1" applyBorder="1" applyAlignment="1">
      <alignment vertical="top" wrapText="1"/>
    </xf>
    <xf numFmtId="0" fontId="39" fillId="0" borderId="0" xfId="0" applyFont="1" applyAlignment="1">
      <alignment vertical="top"/>
    </xf>
    <xf numFmtId="0" fontId="39" fillId="0" borderId="0" xfId="0" applyFont="1" applyAlignment="1">
      <alignment horizontal="left" vertical="top"/>
    </xf>
    <xf numFmtId="4" fontId="39" fillId="0" borderId="0" xfId="0" applyNumberFormat="1" applyFont="1" applyAlignment="1">
      <alignment horizontal="center"/>
    </xf>
    <xf numFmtId="4" fontId="39" fillId="0" borderId="0" xfId="0" applyNumberFormat="1" applyFont="1" applyAlignment="1">
      <alignment horizontal="justify" vertical="top" wrapText="1"/>
    </xf>
    <xf numFmtId="4" fontId="39" fillId="0" borderId="884" xfId="0" applyNumberFormat="1" applyFont="1" applyBorder="1" applyAlignment="1">
      <alignment vertical="top" wrapText="1"/>
    </xf>
    <xf numFmtId="0" fontId="34" fillId="0" borderId="0" xfId="0" applyFont="1" applyAlignment="1">
      <alignment wrapText="1"/>
    </xf>
    <xf numFmtId="0" fontId="34" fillId="0" borderId="596" xfId="0" applyFont="1" applyBorder="1" applyAlignment="1">
      <alignment wrapText="1"/>
    </xf>
    <xf numFmtId="4" fontId="39" fillId="0" borderId="0" xfId="0" applyNumberFormat="1" applyFont="1" applyAlignment="1">
      <alignment horizontal="justify" vertical="center"/>
    </xf>
    <xf numFmtId="4" fontId="39" fillId="0" borderId="888" xfId="0" applyNumberFormat="1" applyFont="1" applyBorder="1" applyAlignment="1">
      <alignment vertical="top" wrapText="1"/>
    </xf>
    <xf numFmtId="0" fontId="39" fillId="0" borderId="0" xfId="0" applyFont="1"/>
    <xf numFmtId="4" fontId="39" fillId="0" borderId="0" xfId="0" applyNumberFormat="1" applyFont="1" applyAlignment="1">
      <alignment horizontal="right" vertical="center"/>
    </xf>
    <xf numFmtId="0" fontId="34" fillId="0" borderId="22" xfId="0" applyFont="1" applyBorder="1" applyAlignment="1">
      <alignment horizontal="center"/>
    </xf>
    <xf numFmtId="4" fontId="42" fillId="0" borderId="891" xfId="0" applyNumberFormat="1" applyFont="1" applyBorder="1" applyAlignment="1">
      <alignment horizontal="right" vertical="center"/>
    </xf>
    <xf numFmtId="0" fontId="34" fillId="0" borderId="0" xfId="0" applyFont="1" applyAlignment="1">
      <alignment horizontal="left" vertical="top"/>
    </xf>
    <xf numFmtId="0" fontId="34" fillId="0" borderId="0" xfId="0" applyFont="1" applyAlignment="1">
      <alignment horizontal="center" vertical="top" wrapText="1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justify" vertical="center"/>
    </xf>
    <xf numFmtId="1" fontId="34" fillId="0" borderId="0" xfId="0" applyNumberFormat="1" applyFont="1" applyAlignment="1">
      <alignment horizontal="justify" vertical="top" wrapText="1"/>
    </xf>
    <xf numFmtId="1" fontId="34" fillId="4" borderId="22" xfId="0" applyNumberFormat="1" applyFont="1" applyFill="1" applyBorder="1" applyAlignment="1">
      <alignment horizontal="center"/>
    </xf>
    <xf numFmtId="14" fontId="34" fillId="4" borderId="22" xfId="0" applyNumberFormat="1" applyFont="1" applyFill="1" applyBorder="1" applyAlignment="1">
      <alignment horizontal="center"/>
    </xf>
    <xf numFmtId="2" fontId="34" fillId="0" borderId="0" xfId="0" applyNumberFormat="1" applyFont="1" applyAlignment="1">
      <alignment horizontal="justify" vertical="top" wrapText="1"/>
    </xf>
    <xf numFmtId="0" fontId="43" fillId="0" borderId="0" xfId="0" applyFont="1" applyAlignment="1">
      <alignment horizontal="left"/>
    </xf>
    <xf numFmtId="0" fontId="43" fillId="0" borderId="895" xfId="0" applyFont="1" applyBorder="1" applyAlignment="1">
      <alignment horizontal="center"/>
    </xf>
    <xf numFmtId="0" fontId="43" fillId="0" borderId="0" xfId="0" applyFont="1"/>
    <xf numFmtId="0" fontId="32" fillId="0" borderId="895" xfId="0" applyFont="1" applyBorder="1" applyAlignment="1">
      <alignment horizontal="center"/>
    </xf>
    <xf numFmtId="0" fontId="32" fillId="0" borderId="0" xfId="0" applyFont="1" applyAlignment="1">
      <alignment horizontal="left" vertical="top"/>
    </xf>
    <xf numFmtId="0" fontId="32" fillId="0" borderId="0" xfId="0" applyFont="1" applyAlignment="1">
      <alignment horizontal="center" vertical="top" wrapText="1"/>
    </xf>
    <xf numFmtId="1" fontId="43" fillId="0" borderId="0" xfId="0" applyNumberFormat="1" applyFont="1" applyAlignment="1">
      <alignment horizontal="center"/>
    </xf>
    <xf numFmtId="1" fontId="32" fillId="0" borderId="0" xfId="0" applyNumberFormat="1" applyFont="1" applyAlignment="1">
      <alignment horizontal="center"/>
    </xf>
    <xf numFmtId="0" fontId="7" fillId="15" borderId="28" xfId="0" applyFont="1" applyFill="1" applyBorder="1" applyAlignment="1">
      <alignment horizontal="center" vertical="center" wrapText="1"/>
    </xf>
    <xf numFmtId="0" fontId="7" fillId="15" borderId="22" xfId="0" applyFont="1" applyFill="1" applyBorder="1" applyAlignment="1">
      <alignment horizontal="center" vertical="center" wrapText="1"/>
    </xf>
    <xf numFmtId="1" fontId="7" fillId="16" borderId="28" xfId="0" applyNumberFormat="1" applyFont="1" applyFill="1" applyBorder="1" applyAlignment="1">
      <alignment horizontal="center" vertical="center" wrapText="1"/>
    </xf>
    <xf numFmtId="4" fontId="7" fillId="16" borderId="28" xfId="0" applyNumberFormat="1" applyFont="1" applyFill="1" applyBorder="1" applyAlignment="1">
      <alignment horizontal="center" vertical="center" wrapText="1"/>
    </xf>
    <xf numFmtId="4" fontId="7" fillId="17" borderId="28" xfId="0" applyNumberFormat="1" applyFont="1" applyFill="1" applyBorder="1" applyAlignment="1">
      <alignment horizontal="center" vertical="center" wrapText="1"/>
    </xf>
    <xf numFmtId="0" fontId="7" fillId="16" borderId="28" xfId="0" applyFont="1" applyFill="1" applyBorder="1" applyAlignment="1">
      <alignment horizontal="center" vertical="center" wrapText="1"/>
    </xf>
    <xf numFmtId="2" fontId="7" fillId="16" borderId="28" xfId="0" applyNumberFormat="1" applyFont="1" applyFill="1" applyBorder="1" applyAlignment="1">
      <alignment horizontal="center" vertical="center" wrapText="1"/>
    </xf>
    <xf numFmtId="4" fontId="7" fillId="19" borderId="22" xfId="0" applyNumberFormat="1" applyFont="1" applyFill="1" applyBorder="1" applyAlignment="1">
      <alignment horizontal="center" vertical="center" wrapText="1"/>
    </xf>
    <xf numFmtId="0" fontId="6" fillId="15" borderId="896" xfId="0" applyFont="1" applyFill="1" applyBorder="1" applyAlignment="1">
      <alignment horizontal="center" vertical="center"/>
    </xf>
    <xf numFmtId="49" fontId="5" fillId="0" borderId="896" xfId="0" applyNumberFormat="1" applyFont="1" applyBorder="1" applyAlignment="1">
      <alignment horizontal="center" vertical="center"/>
    </xf>
    <xf numFmtId="0" fontId="7" fillId="0" borderId="896" xfId="0" applyFont="1" applyBorder="1" applyAlignment="1">
      <alignment horizontal="center" vertical="center" wrapText="1"/>
    </xf>
    <xf numFmtId="2" fontId="15" fillId="15" borderId="896" xfId="0" applyNumberFormat="1" applyFont="1" applyFill="1" applyBorder="1" applyAlignment="1">
      <alignment horizontal="center" vertical="center" wrapText="1"/>
    </xf>
    <xf numFmtId="0" fontId="4" fillId="21" borderId="896" xfId="0" applyFont="1" applyFill="1" applyBorder="1" applyAlignment="1">
      <alignment vertical="center"/>
    </xf>
    <xf numFmtId="0" fontId="4" fillId="21" borderId="896" xfId="0" applyFont="1" applyFill="1" applyBorder="1" applyAlignment="1">
      <alignment horizontal="center" vertical="center" wrapText="1"/>
    </xf>
    <xf numFmtId="0" fontId="4" fillId="21" borderId="896" xfId="0" applyFont="1" applyFill="1" applyBorder="1" applyAlignment="1">
      <alignment vertical="center" wrapText="1"/>
    </xf>
    <xf numFmtId="0" fontId="0" fillId="0" borderId="0" xfId="0"/>
    <xf numFmtId="0" fontId="5" fillId="22" borderId="896" xfId="0" applyFont="1" applyFill="1" applyBorder="1" applyAlignment="1">
      <alignment vertical="center"/>
    </xf>
    <xf numFmtId="0" fontId="5" fillId="22" borderId="896" xfId="0" applyFont="1" applyFill="1" applyBorder="1" applyAlignment="1">
      <alignment vertical="center" wrapText="1"/>
    </xf>
    <xf numFmtId="16" fontId="6" fillId="0" borderId="896" xfId="0" applyNumberFormat="1" applyFont="1" applyBorder="1" applyAlignment="1">
      <alignment horizontal="left" vertical="center"/>
    </xf>
    <xf numFmtId="0" fontId="7" fillId="0" borderId="897" xfId="0" applyFont="1" applyBorder="1" applyAlignment="1">
      <alignment vertical="center" wrapText="1"/>
    </xf>
    <xf numFmtId="0" fontId="3" fillId="0" borderId="898" xfId="0" applyFont="1" applyBorder="1" applyAlignment="1">
      <alignment vertical="center" wrapText="1"/>
    </xf>
    <xf numFmtId="0" fontId="6" fillId="0" borderId="896" xfId="0" applyFont="1" applyBorder="1" applyAlignment="1">
      <alignment vertical="center"/>
    </xf>
    <xf numFmtId="0" fontId="7" fillId="0" borderId="899" xfId="0" applyFont="1" applyBorder="1" applyAlignment="1">
      <alignment vertical="center" wrapText="1"/>
    </xf>
    <xf numFmtId="0" fontId="3" fillId="0" borderId="900" xfId="0" applyFont="1" applyBorder="1" applyAlignment="1">
      <alignment vertical="center" wrapText="1"/>
    </xf>
    <xf numFmtId="0" fontId="3" fillId="0" borderId="901" xfId="0" applyFont="1" applyBorder="1" applyAlignment="1">
      <alignment vertical="center" wrapText="1"/>
    </xf>
    <xf numFmtId="0" fontId="3" fillId="0" borderId="899" xfId="0" applyFont="1" applyBorder="1" applyAlignment="1">
      <alignment vertical="center" wrapText="1"/>
    </xf>
    <xf numFmtId="0" fontId="6" fillId="0" borderId="897" xfId="0" applyFont="1" applyBorder="1" applyAlignment="1">
      <alignment horizontal="center" vertical="center" wrapText="1"/>
    </xf>
    <xf numFmtId="0" fontId="7" fillId="0" borderId="898" xfId="0" applyFont="1" applyBorder="1" applyAlignment="1">
      <alignment vertical="center" wrapText="1"/>
    </xf>
    <xf numFmtId="0" fontId="6" fillId="0" borderId="899" xfId="0" applyFont="1" applyBorder="1" applyAlignment="1">
      <alignment horizontal="center" vertical="center" wrapText="1"/>
    </xf>
    <xf numFmtId="0" fontId="7" fillId="0" borderId="900" xfId="0" applyFont="1" applyBorder="1" applyAlignment="1">
      <alignment vertical="center" wrapText="1"/>
    </xf>
    <xf numFmtId="0" fontId="7" fillId="0" borderId="896" xfId="0" applyFont="1" applyBorder="1" applyAlignment="1">
      <alignment vertical="center" wrapText="1"/>
    </xf>
    <xf numFmtId="0" fontId="3" fillId="0" borderId="896" xfId="0" applyFont="1" applyBorder="1" applyAlignment="1">
      <alignment vertical="center" wrapText="1"/>
    </xf>
    <xf numFmtId="0" fontId="7" fillId="22" borderId="896" xfId="0" applyFont="1" applyFill="1" applyBorder="1" applyAlignment="1">
      <alignment vertical="center" wrapText="1"/>
    </xf>
    <xf numFmtId="0" fontId="8" fillId="23" borderId="896" xfId="0" applyFont="1" applyFill="1" applyBorder="1" applyAlignment="1">
      <alignment vertical="center" wrapText="1"/>
    </xf>
    <xf numFmtId="0" fontId="4" fillId="23" borderId="896" xfId="0" applyFont="1" applyFill="1" applyBorder="1" applyAlignment="1">
      <alignment vertical="center" wrapText="1"/>
    </xf>
    <xf numFmtId="0" fontId="4" fillId="23" borderId="896" xfId="0" applyFont="1" applyFill="1" applyBorder="1" applyAlignment="1">
      <alignment vertical="center"/>
    </xf>
    <xf numFmtId="49" fontId="5" fillId="0" borderId="896" xfId="0" applyNumberFormat="1" applyFont="1" applyBorder="1" applyAlignment="1">
      <alignment vertical="center"/>
    </xf>
    <xf numFmtId="0" fontId="7" fillId="0" borderId="896" xfId="0" applyFont="1" applyBorder="1"/>
    <xf numFmtId="0" fontId="4" fillId="23" borderId="902" xfId="0" applyFont="1" applyFill="1" applyBorder="1" applyAlignment="1">
      <alignment vertical="center"/>
    </xf>
    <xf numFmtId="0" fontId="4" fillId="23" borderId="902" xfId="0" applyFont="1" applyFill="1" applyBorder="1" applyAlignment="1">
      <alignment vertical="center" wrapText="1"/>
    </xf>
    <xf numFmtId="0" fontId="4" fillId="23" borderId="903" xfId="0" applyFont="1" applyFill="1" applyBorder="1" applyAlignment="1">
      <alignment vertical="center" wrapText="1"/>
    </xf>
    <xf numFmtId="0" fontId="4" fillId="23" borderId="904" xfId="0" applyFont="1" applyFill="1" applyBorder="1" applyAlignment="1">
      <alignment vertical="center"/>
    </xf>
    <xf numFmtId="0" fontId="4" fillId="23" borderId="905" xfId="0" applyFont="1" applyFill="1" applyBorder="1" applyAlignment="1">
      <alignment vertical="center" wrapText="1"/>
    </xf>
    <xf numFmtId="0" fontId="4" fillId="23" borderId="907" xfId="0" applyFont="1" applyFill="1" applyBorder="1" applyAlignment="1">
      <alignment vertical="center"/>
    </xf>
    <xf numFmtId="0" fontId="4" fillId="23" borderId="0" xfId="0" applyFont="1" applyFill="1" applyAlignment="1">
      <alignment vertical="center" wrapText="1"/>
    </xf>
    <xf numFmtId="0" fontId="4" fillId="23" borderId="908" xfId="0" applyFont="1" applyFill="1" applyBorder="1" applyAlignment="1">
      <alignment vertical="center"/>
    </xf>
    <xf numFmtId="0" fontId="4" fillId="23" borderId="909" xfId="0" applyFont="1" applyFill="1" applyBorder="1" applyAlignment="1">
      <alignment vertical="center" wrapText="1"/>
    </xf>
    <xf numFmtId="0" fontId="7" fillId="0" borderId="896" xfId="0" applyFont="1" applyBorder="1" applyAlignment="1">
      <alignment wrapText="1"/>
    </xf>
    <xf numFmtId="0" fontId="0" fillId="0" borderId="896" xfId="0" applyBorder="1"/>
    <xf numFmtId="1" fontId="1" fillId="0" borderId="896" xfId="0" applyNumberFormat="1" applyFont="1" applyBorder="1" applyAlignment="1">
      <alignment horizontal="center" vertical="center" wrapText="1"/>
    </xf>
    <xf numFmtId="2" fontId="15" fillId="0" borderId="896" xfId="0" applyNumberFormat="1" applyFont="1" applyBorder="1" applyAlignment="1">
      <alignment horizontal="center" vertical="center" wrapText="1"/>
    </xf>
    <xf numFmtId="0" fontId="6" fillId="0" borderId="896" xfId="0" applyFont="1" applyBorder="1" applyAlignment="1">
      <alignment horizontal="center" vertical="center"/>
    </xf>
    <xf numFmtId="1" fontId="7" fillId="16" borderId="846" xfId="0" applyNumberFormat="1" applyFont="1" applyFill="1" applyBorder="1" applyAlignment="1">
      <alignment horizontal="center" vertical="center" wrapText="1"/>
    </xf>
    <xf numFmtId="0" fontId="7" fillId="16" borderId="846" xfId="0" applyFont="1" applyFill="1" applyBorder="1" applyAlignment="1">
      <alignment horizontal="center" vertical="center" wrapText="1"/>
    </xf>
    <xf numFmtId="4" fontId="7" fillId="9" borderId="846" xfId="0" applyNumberFormat="1" applyFont="1" applyFill="1" applyBorder="1" applyAlignment="1">
      <alignment horizontal="center" vertical="center" wrapText="1"/>
    </xf>
    <xf numFmtId="2" fontId="7" fillId="9" borderId="846" xfId="0" applyNumberFormat="1" applyFont="1" applyFill="1" applyBorder="1" applyAlignment="1">
      <alignment horizontal="center" vertical="center"/>
    </xf>
    <xf numFmtId="10" fontId="7" fillId="0" borderId="846" xfId="0" applyNumberFormat="1" applyFont="1" applyBorder="1" applyAlignment="1">
      <alignment horizontal="center" vertical="center" wrapText="1"/>
    </xf>
    <xf numFmtId="2" fontId="1" fillId="19" borderId="896" xfId="0" applyNumberFormat="1" applyFont="1" applyFill="1" applyBorder="1" applyAlignment="1" applyProtection="1">
      <alignment horizontal="center" vertical="center" wrapText="1"/>
      <protection locked="0"/>
    </xf>
    <xf numFmtId="4" fontId="7" fillId="9" borderId="896" xfId="0" applyNumberFormat="1" applyFont="1" applyFill="1" applyBorder="1" applyAlignment="1">
      <alignment horizontal="center" vertical="center" wrapText="1"/>
    </xf>
    <xf numFmtId="2" fontId="7" fillId="9" borderId="896" xfId="0" applyNumberFormat="1" applyFont="1" applyFill="1" applyBorder="1" applyAlignment="1">
      <alignment horizontal="center" vertical="center"/>
    </xf>
    <xf numFmtId="10" fontId="7" fillId="0" borderId="896" xfId="0" applyNumberFormat="1" applyFont="1" applyBorder="1" applyAlignment="1">
      <alignment horizontal="center" vertical="center" wrapText="1"/>
    </xf>
    <xf numFmtId="0" fontId="7" fillId="0" borderId="846" xfId="0" applyFont="1" applyBorder="1" applyAlignment="1">
      <alignment horizontal="center" vertical="center" wrapText="1"/>
    </xf>
    <xf numFmtId="166" fontId="1" fillId="18" borderId="846" xfId="0" applyNumberFormat="1" applyFont="1" applyFill="1" applyBorder="1" applyAlignment="1" applyProtection="1">
      <alignment horizontal="center" vertical="center" wrapText="1"/>
      <protection locked="0"/>
    </xf>
    <xf numFmtId="166" fontId="1" fillId="18" borderId="846" xfId="0" applyNumberFormat="1" applyFont="1" applyFill="1" applyBorder="1" applyAlignment="1">
      <alignment horizontal="center" vertical="center" wrapText="1"/>
    </xf>
    <xf numFmtId="166" fontId="1" fillId="0" borderId="896" xfId="0" applyNumberFormat="1" applyFont="1" applyBorder="1" applyAlignment="1">
      <alignment horizontal="center" vertical="center"/>
    </xf>
    <xf numFmtId="166" fontId="1" fillId="18" borderId="896" xfId="0" applyNumberFormat="1" applyFont="1" applyFill="1" applyBorder="1" applyAlignment="1" applyProtection="1">
      <alignment horizontal="center" vertical="center" wrapText="1"/>
      <protection locked="0"/>
    </xf>
    <xf numFmtId="4" fontId="7" fillId="18" borderId="28" xfId="1" applyNumberFormat="1" applyFont="1" applyFill="1" applyBorder="1" applyAlignment="1">
      <alignment horizontal="center" vertical="center" wrapText="1"/>
    </xf>
    <xf numFmtId="2" fontId="7" fillId="18" borderId="39" xfId="0" applyNumberFormat="1" applyFont="1" applyFill="1" applyBorder="1" applyAlignment="1">
      <alignment horizontal="center" vertical="center"/>
    </xf>
    <xf numFmtId="0" fontId="12" fillId="0" borderId="912" xfId="0" applyFont="1" applyBorder="1" applyAlignment="1">
      <alignment horizontal="center" textRotation="90" readingOrder="1"/>
    </xf>
    <xf numFmtId="0" fontId="12" fillId="0" borderId="912" xfId="0" applyFont="1" applyBorder="1" applyAlignment="1">
      <alignment horizontal="center" wrapText="1"/>
    </xf>
    <xf numFmtId="0" fontId="12" fillId="0" borderId="912" xfId="0" applyFont="1" applyBorder="1" applyAlignment="1">
      <alignment horizontal="center" textRotation="90" wrapText="1" readingOrder="1"/>
    </xf>
    <xf numFmtId="0" fontId="14" fillId="0" borderId="912" xfId="0" applyFont="1" applyBorder="1" applyAlignment="1">
      <alignment horizontal="center" textRotation="90" wrapText="1" readingOrder="1"/>
    </xf>
    <xf numFmtId="0" fontId="3" fillId="0" borderId="896" xfId="0" applyFont="1" applyBorder="1" applyAlignment="1">
      <alignment horizontal="center" vertical="center" wrapText="1"/>
    </xf>
    <xf numFmtId="0" fontId="6" fillId="0" borderId="896" xfId="0" applyFont="1" applyBorder="1" applyAlignment="1">
      <alignment horizontal="center" vertical="center" wrapText="1"/>
    </xf>
    <xf numFmtId="0" fontId="0" fillId="0" borderId="896" xfId="0" applyBorder="1" applyAlignment="1">
      <alignment horizontal="left" vertical="center" wrapText="1"/>
    </xf>
    <xf numFmtId="0" fontId="3" fillId="0" borderId="896" xfId="0" applyFont="1" applyBorder="1" applyAlignment="1">
      <alignment horizontal="left" vertical="center" wrapText="1"/>
    </xf>
    <xf numFmtId="0" fontId="3" fillId="0" borderId="896" xfId="0" applyFont="1" applyBorder="1" applyAlignment="1">
      <alignment horizontal="center" vertical="center"/>
    </xf>
    <xf numFmtId="0" fontId="0" fillId="0" borderId="896" xfId="0" applyBorder="1" applyAlignment="1">
      <alignment horizontal="center" vertical="center"/>
    </xf>
    <xf numFmtId="49" fontId="11" fillId="0" borderId="896" xfId="0" applyNumberFormat="1" applyFont="1" applyBorder="1" applyAlignment="1">
      <alignment horizontal="center" vertical="center"/>
    </xf>
    <xf numFmtId="0" fontId="5" fillId="0" borderId="896" xfId="0" applyFont="1" applyBorder="1" applyAlignment="1">
      <alignment horizontal="center" vertical="center"/>
    </xf>
    <xf numFmtId="49" fontId="10" fillId="0" borderId="896" xfId="0" applyNumberFormat="1" applyFont="1" applyBorder="1" applyAlignment="1">
      <alignment horizontal="center"/>
    </xf>
    <xf numFmtId="0" fontId="0" fillId="0" borderId="896" xfId="0" applyBorder="1" applyAlignment="1">
      <alignment vertical="center" wrapText="1"/>
    </xf>
    <xf numFmtId="0" fontId="0" fillId="0" borderId="896" xfId="0" applyBorder="1" applyAlignment="1">
      <alignment wrapText="1"/>
    </xf>
    <xf numFmtId="0" fontId="12" fillId="0" borderId="896" xfId="0" applyFont="1" applyBorder="1"/>
    <xf numFmtId="0" fontId="13" fillId="0" borderId="896" xfId="0" applyFont="1" applyBorder="1" applyAlignment="1">
      <alignment horizontal="center" vertical="center"/>
    </xf>
    <xf numFmtId="166" fontId="1" fillId="0" borderId="896" xfId="0" applyNumberFormat="1" applyFont="1" applyFill="1" applyBorder="1" applyAlignment="1">
      <alignment horizontal="center" vertical="center"/>
    </xf>
    <xf numFmtId="0" fontId="7" fillId="15" borderId="846" xfId="0" applyFont="1" applyFill="1" applyBorder="1" applyAlignment="1">
      <alignment horizontal="center" vertical="center" wrapText="1"/>
    </xf>
    <xf numFmtId="1" fontId="3" fillId="0" borderId="896" xfId="0" applyNumberFormat="1" applyFont="1" applyBorder="1" applyAlignment="1">
      <alignment horizontal="center" vertical="center" wrapText="1"/>
    </xf>
    <xf numFmtId="0" fontId="7" fillId="15" borderId="896" xfId="0" applyFont="1" applyFill="1" applyBorder="1" applyAlignment="1">
      <alignment horizontal="center" vertical="center" wrapText="1"/>
    </xf>
    <xf numFmtId="2" fontId="1" fillId="0" borderId="896" xfId="0" applyNumberFormat="1" applyFont="1" applyBorder="1" applyAlignment="1">
      <alignment horizontal="center" vertical="center" wrapText="1"/>
    </xf>
    <xf numFmtId="168" fontId="1" fillId="20" borderId="846" xfId="0" applyNumberFormat="1" applyFont="1" applyFill="1" applyBorder="1" applyAlignment="1">
      <alignment horizontal="center" vertical="center" wrapText="1"/>
    </xf>
    <xf numFmtId="166" fontId="1" fillId="18" borderId="911" xfId="0" applyNumberFormat="1" applyFont="1" applyFill="1" applyBorder="1" applyAlignment="1" applyProtection="1">
      <alignment horizontal="center" vertical="center" wrapText="1"/>
      <protection locked="0"/>
    </xf>
    <xf numFmtId="49" fontId="5" fillId="15" borderId="896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 textRotation="90" wrapText="1"/>
    </xf>
    <xf numFmtId="2" fontId="15" fillId="0" borderId="896" xfId="0" applyNumberFormat="1" applyFont="1" applyFill="1" applyBorder="1" applyAlignment="1">
      <alignment horizontal="center" vertical="center" wrapText="1"/>
    </xf>
    <xf numFmtId="0" fontId="7" fillId="0" borderId="896" xfId="0" applyFont="1" applyBorder="1" applyAlignment="1">
      <alignment horizontal="center" vertical="center"/>
    </xf>
    <xf numFmtId="1" fontId="7" fillId="15" borderId="896" xfId="0" applyNumberFormat="1" applyFont="1" applyFill="1" applyBorder="1" applyAlignment="1">
      <alignment horizontal="center" vertical="center" wrapText="1"/>
    </xf>
    <xf numFmtId="166" fontId="7" fillId="15" borderId="896" xfId="0" applyNumberFormat="1" applyFont="1" applyFill="1" applyBorder="1" applyAlignment="1">
      <alignment horizontal="center" vertical="center"/>
    </xf>
    <xf numFmtId="0" fontId="5" fillId="15" borderId="896" xfId="0" applyFont="1" applyFill="1" applyBorder="1" applyAlignment="1">
      <alignment horizontal="center" vertical="center" wrapText="1"/>
    </xf>
    <xf numFmtId="16" fontId="6" fillId="27" borderId="896" xfId="0" applyNumberFormat="1" applyFont="1" applyFill="1" applyBorder="1" applyAlignment="1">
      <alignment horizontal="center" vertical="center" wrapText="1"/>
    </xf>
    <xf numFmtId="0" fontId="5" fillId="25" borderId="896" xfId="0" applyFont="1" applyFill="1" applyBorder="1" applyAlignment="1">
      <alignment horizontal="center" vertical="center" wrapText="1"/>
    </xf>
    <xf numFmtId="166" fontId="1" fillId="28" borderId="846" xfId="0" applyNumberFormat="1" applyFont="1" applyFill="1" applyBorder="1" applyAlignment="1" applyProtection="1">
      <alignment horizontal="center" vertical="center" wrapText="1"/>
      <protection locked="0"/>
    </xf>
    <xf numFmtId="166" fontId="1" fillId="28" borderId="896" xfId="0" applyNumberFormat="1" applyFont="1" applyFill="1" applyBorder="1" applyAlignment="1" applyProtection="1">
      <alignment horizontal="center" vertical="center" wrapText="1"/>
      <protection locked="0"/>
    </xf>
    <xf numFmtId="166" fontId="1" fillId="28" borderId="846" xfId="0" applyNumberFormat="1" applyFont="1" applyFill="1" applyBorder="1" applyAlignment="1">
      <alignment horizontal="center" vertical="center" wrapText="1"/>
    </xf>
    <xf numFmtId="166" fontId="1" fillId="15" borderId="896" xfId="0" applyNumberFormat="1" applyFont="1" applyFill="1" applyBorder="1" applyAlignment="1">
      <alignment horizontal="center" vertical="center"/>
    </xf>
    <xf numFmtId="1" fontId="1" fillId="15" borderId="896" xfId="0" applyNumberFormat="1" applyFont="1" applyFill="1" applyBorder="1" applyAlignment="1">
      <alignment horizontal="center" vertical="center" wrapText="1"/>
    </xf>
    <xf numFmtId="1" fontId="1" fillId="24" borderId="896" xfId="0" applyNumberFormat="1" applyFont="1" applyFill="1" applyBorder="1" applyAlignment="1">
      <alignment horizontal="center" vertical="center" wrapText="1"/>
    </xf>
    <xf numFmtId="2" fontId="1" fillId="0" borderId="878" xfId="0" applyNumberFormat="1" applyFont="1" applyBorder="1" applyAlignment="1">
      <alignment horizontal="center" vertical="center" wrapText="1"/>
    </xf>
    <xf numFmtId="166" fontId="1" fillId="18" borderId="892" xfId="0" applyNumberFormat="1" applyFont="1" applyFill="1" applyBorder="1" applyAlignment="1" applyProtection="1">
      <alignment horizontal="center" vertical="center" wrapText="1"/>
      <protection locked="0"/>
    </xf>
    <xf numFmtId="166" fontId="1" fillId="18" borderId="892" xfId="0" applyNumberFormat="1" applyFont="1" applyFill="1" applyBorder="1" applyAlignment="1">
      <alignment horizontal="center" vertical="center" wrapText="1"/>
    </xf>
    <xf numFmtId="168" fontId="1" fillId="20" borderId="892" xfId="0" applyNumberFormat="1" applyFont="1" applyFill="1" applyBorder="1" applyAlignment="1">
      <alignment horizontal="center" vertical="center" wrapText="1"/>
    </xf>
    <xf numFmtId="2" fontId="1" fillId="15" borderId="896" xfId="0" applyNumberFormat="1" applyFont="1" applyFill="1" applyBorder="1" applyAlignment="1">
      <alignment horizontal="center" vertical="center" wrapText="1"/>
    </xf>
    <xf numFmtId="166" fontId="1" fillId="25" borderId="896" xfId="0" applyNumberFormat="1" applyFont="1" applyFill="1" applyBorder="1" applyAlignment="1">
      <alignment horizontal="center" vertical="center"/>
    </xf>
    <xf numFmtId="166" fontId="1" fillId="18" borderId="896" xfId="0" applyNumberFormat="1" applyFont="1" applyFill="1" applyBorder="1" applyAlignment="1">
      <alignment horizontal="center" vertical="center" wrapText="1"/>
    </xf>
    <xf numFmtId="4" fontId="7" fillId="18" borderId="846" xfId="1" applyNumberFormat="1" applyFont="1" applyFill="1" applyBorder="1" applyAlignment="1">
      <alignment horizontal="center" vertical="center" wrapText="1"/>
    </xf>
    <xf numFmtId="2" fontId="7" fillId="18" borderId="846" xfId="0" applyNumberFormat="1" applyFont="1" applyFill="1" applyBorder="1" applyAlignment="1">
      <alignment horizontal="center" vertical="center"/>
    </xf>
    <xf numFmtId="166" fontId="1" fillId="18" borderId="911" xfId="0" applyNumberFormat="1" applyFont="1" applyFill="1" applyBorder="1" applyAlignment="1">
      <alignment horizontal="center" vertical="center" wrapText="1"/>
    </xf>
    <xf numFmtId="2" fontId="3" fillId="26" borderId="896" xfId="0" applyNumberFormat="1" applyFont="1" applyFill="1" applyBorder="1" applyAlignment="1">
      <alignment horizontal="center" vertical="center" wrapText="1"/>
    </xf>
    <xf numFmtId="1" fontId="1" fillId="24" borderId="878" xfId="0" applyNumberFormat="1" applyFont="1" applyFill="1" applyBorder="1" applyAlignment="1">
      <alignment horizontal="center" vertical="center" wrapText="1"/>
    </xf>
    <xf numFmtId="2" fontId="6" fillId="0" borderId="896" xfId="0" applyNumberFormat="1" applyFont="1" applyFill="1" applyBorder="1" applyAlignment="1">
      <alignment horizontal="center" vertical="center" wrapText="1"/>
    </xf>
    <xf numFmtId="2" fontId="15" fillId="0" borderId="846" xfId="0" applyNumberFormat="1" applyFont="1" applyFill="1" applyBorder="1" applyAlignment="1">
      <alignment horizontal="center" vertical="center" wrapText="1"/>
    </xf>
    <xf numFmtId="0" fontId="5" fillId="0" borderId="896" xfId="0" applyFont="1" applyFill="1" applyBorder="1" applyAlignment="1">
      <alignment horizontal="center" vertical="center"/>
    </xf>
    <xf numFmtId="2" fontId="5" fillId="0" borderId="896" xfId="0" applyNumberFormat="1" applyFont="1" applyFill="1" applyBorder="1" applyAlignment="1">
      <alignment horizontal="center" vertical="center" wrapText="1"/>
    </xf>
    <xf numFmtId="2" fontId="1" fillId="0" borderId="0" xfId="0" applyNumberFormat="1" applyFont="1" applyBorder="1" applyAlignment="1">
      <alignment horizontal="center" vertical="center" wrapText="1"/>
    </xf>
    <xf numFmtId="2" fontId="7" fillId="0" borderId="846" xfId="0" applyNumberFormat="1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textRotation="180"/>
    </xf>
    <xf numFmtId="0" fontId="1" fillId="0" borderId="16" xfId="0" applyFont="1" applyBorder="1" applyAlignment="1">
      <alignment horizontal="center" vertical="center" textRotation="180"/>
    </xf>
    <xf numFmtId="0" fontId="1" fillId="0" borderId="18" xfId="0" applyFont="1" applyBorder="1" applyAlignment="1">
      <alignment horizontal="center" vertical="center" textRotation="180"/>
    </xf>
    <xf numFmtId="0" fontId="1" fillId="0" borderId="19" xfId="0" applyFont="1" applyBorder="1" applyAlignment="1">
      <alignment horizontal="center" vertical="center" textRotation="180"/>
    </xf>
    <xf numFmtId="0" fontId="1" fillId="0" borderId="7" xfId="0" applyFont="1" applyBorder="1" applyAlignment="1">
      <alignment horizontal="center" vertical="center" textRotation="180"/>
    </xf>
    <xf numFmtId="0" fontId="1" fillId="0" borderId="13" xfId="0" applyFont="1" applyBorder="1" applyAlignment="1">
      <alignment horizontal="center" vertical="center" textRotation="180"/>
    </xf>
    <xf numFmtId="0" fontId="1" fillId="0" borderId="17" xfId="0" applyFont="1" applyBorder="1" applyAlignment="1">
      <alignment horizontal="center" vertical="center" textRotation="180"/>
    </xf>
    <xf numFmtId="0" fontId="1" fillId="0" borderId="20" xfId="0" applyFont="1" applyBorder="1" applyAlignment="1">
      <alignment horizontal="center" vertical="center" textRotation="180"/>
    </xf>
    <xf numFmtId="0" fontId="4" fillId="23" borderId="909" xfId="0" applyFont="1" applyFill="1" applyBorder="1" applyAlignment="1">
      <alignment vertical="center" wrapText="1"/>
    </xf>
    <xf numFmtId="0" fontId="4" fillId="23" borderId="910" xfId="0" applyFont="1" applyFill="1" applyBorder="1" applyAlignment="1">
      <alignment vertical="center" wrapText="1"/>
    </xf>
    <xf numFmtId="0" fontId="4" fillId="23" borderId="903" xfId="0" applyFont="1" applyFill="1" applyBorder="1" applyAlignment="1">
      <alignment vertical="center" wrapText="1"/>
    </xf>
    <xf numFmtId="0" fontId="4" fillId="23" borderId="902" xfId="0" applyFont="1" applyFill="1" applyBorder="1" applyAlignment="1">
      <alignment vertical="center" wrapText="1"/>
    </xf>
    <xf numFmtId="0" fontId="4" fillId="23" borderId="905" xfId="0" applyFont="1" applyFill="1" applyBorder="1" applyAlignment="1">
      <alignment vertical="center" wrapText="1"/>
    </xf>
    <xf numFmtId="0" fontId="4" fillId="23" borderId="906" xfId="0" applyFont="1" applyFill="1" applyBorder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/>
    </xf>
    <xf numFmtId="0" fontId="5" fillId="8" borderId="29" xfId="0" applyFont="1" applyFill="1" applyBorder="1" applyAlignment="1">
      <alignment horizontal="center" vertical="center" wrapText="1"/>
    </xf>
    <xf numFmtId="0" fontId="5" fillId="8" borderId="30" xfId="0" applyFont="1" applyFill="1" applyBorder="1" applyAlignment="1">
      <alignment horizontal="center" vertical="center" wrapText="1"/>
    </xf>
    <xf numFmtId="1" fontId="5" fillId="10" borderId="27" xfId="0" applyNumberFormat="1" applyFont="1" applyFill="1" applyBorder="1" applyAlignment="1">
      <alignment horizontal="center" vertical="center" wrapText="1"/>
    </xf>
    <xf numFmtId="1" fontId="5" fillId="10" borderId="31" xfId="0" applyNumberFormat="1" applyFont="1" applyFill="1" applyBorder="1" applyAlignment="1">
      <alignment horizontal="center" vertical="center" wrapText="1"/>
    </xf>
    <xf numFmtId="1" fontId="5" fillId="10" borderId="32" xfId="0" applyNumberFormat="1" applyFont="1" applyFill="1" applyBorder="1" applyAlignment="1">
      <alignment horizontal="center" vertical="center" wrapText="1"/>
    </xf>
    <xf numFmtId="1" fontId="5" fillId="10" borderId="33" xfId="0" applyNumberFormat="1" applyFont="1" applyFill="1" applyBorder="1" applyAlignment="1">
      <alignment horizontal="center" vertical="center" wrapText="1"/>
    </xf>
    <xf numFmtId="0" fontId="5" fillId="10" borderId="27" xfId="0" applyFont="1" applyFill="1" applyBorder="1" applyAlignment="1">
      <alignment horizontal="center" vertical="center" wrapText="1"/>
    </xf>
    <xf numFmtId="0" fontId="5" fillId="10" borderId="34" xfId="0" applyFont="1" applyFill="1" applyBorder="1" applyAlignment="1">
      <alignment horizontal="center" vertical="center" wrapText="1"/>
    </xf>
    <xf numFmtId="0" fontId="5" fillId="10" borderId="35" xfId="0" applyFont="1" applyFill="1" applyBorder="1" applyAlignment="1">
      <alignment horizontal="center" vertical="center" wrapText="1"/>
    </xf>
    <xf numFmtId="0" fontId="5" fillId="10" borderId="36" xfId="0" applyFont="1" applyFill="1" applyBorder="1" applyAlignment="1">
      <alignment horizontal="center" vertical="center" wrapText="1"/>
    </xf>
    <xf numFmtId="0" fontId="5" fillId="10" borderId="37" xfId="0" applyFont="1" applyFill="1" applyBorder="1" applyAlignment="1">
      <alignment horizontal="center" vertical="center" wrapText="1"/>
    </xf>
    <xf numFmtId="0" fontId="5" fillId="10" borderId="38" xfId="0" applyFont="1" applyFill="1" applyBorder="1" applyAlignment="1">
      <alignment horizontal="center" vertical="center" wrapText="1"/>
    </xf>
    <xf numFmtId="0" fontId="23" fillId="0" borderId="0" xfId="0" applyFont="1" applyAlignment="1">
      <alignment wrapText="1"/>
    </xf>
    <xf numFmtId="0" fontId="22" fillId="0" borderId="0" xfId="0" applyFont="1" applyAlignment="1">
      <alignment horizontal="left" vertical="center" wrapText="1"/>
    </xf>
    <xf numFmtId="0" fontId="16" fillId="0" borderId="0" xfId="0" applyFont="1" applyAlignment="1">
      <alignment vertical="top" wrapText="1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justify" vertical="center" wrapText="1"/>
    </xf>
    <xf numFmtId="0" fontId="16" fillId="0" borderId="0" xfId="0" applyFont="1" applyAlignment="1">
      <alignment horizontal="justify" vertical="center"/>
    </xf>
    <xf numFmtId="0" fontId="1" fillId="0" borderId="253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621" xfId="0" applyFont="1" applyBorder="1" applyAlignment="1">
      <alignment horizontal="left" wrapText="1"/>
    </xf>
    <xf numFmtId="0" fontId="1" fillId="0" borderId="622" xfId="0" applyFont="1" applyBorder="1" applyAlignment="1">
      <alignment horizontal="left" wrapText="1"/>
    </xf>
    <xf numFmtId="0" fontId="1" fillId="0" borderId="623" xfId="0" applyFont="1" applyBorder="1" applyAlignment="1">
      <alignment horizontal="left" wrapText="1"/>
    </xf>
    <xf numFmtId="0" fontId="1" fillId="0" borderId="624" xfId="0" applyFont="1" applyBorder="1" applyAlignment="1">
      <alignment horizontal="left" wrapText="1"/>
    </xf>
    <xf numFmtId="0" fontId="1" fillId="0" borderId="625" xfId="0" applyFont="1" applyBorder="1" applyAlignment="1">
      <alignment horizontal="left" wrapText="1"/>
    </xf>
    <xf numFmtId="0" fontId="1" fillId="0" borderId="626" xfId="0" applyFont="1" applyBorder="1" applyAlignment="1">
      <alignment horizontal="left" wrapText="1"/>
    </xf>
    <xf numFmtId="0" fontId="1" fillId="0" borderId="627" xfId="0" applyFont="1" applyBorder="1" applyAlignment="1">
      <alignment horizontal="left" wrapText="1"/>
    </xf>
    <xf numFmtId="0" fontId="1" fillId="0" borderId="628" xfId="0" applyFont="1" applyBorder="1" applyAlignment="1">
      <alignment horizontal="left" wrapText="1"/>
    </xf>
    <xf numFmtId="0" fontId="1" fillId="0" borderId="629" xfId="0" applyFont="1" applyBorder="1" applyAlignment="1">
      <alignment horizontal="left" wrapText="1"/>
    </xf>
    <xf numFmtId="0" fontId="1" fillId="0" borderId="630" xfId="0" applyFont="1" applyBorder="1" applyAlignment="1">
      <alignment horizontal="left" wrapText="1"/>
    </xf>
    <xf numFmtId="0" fontId="1" fillId="0" borderId="631" xfId="0" applyFont="1" applyBorder="1" applyAlignment="1">
      <alignment horizontal="left" wrapText="1"/>
    </xf>
    <xf numFmtId="0" fontId="1" fillId="0" borderId="632" xfId="0" applyFont="1" applyBorder="1" applyAlignment="1">
      <alignment horizontal="left" wrapText="1"/>
    </xf>
    <xf numFmtId="0" fontId="1" fillId="0" borderId="633" xfId="0" applyFont="1" applyBorder="1" applyAlignment="1">
      <alignment horizontal="left" wrapText="1"/>
    </xf>
    <xf numFmtId="0" fontId="1" fillId="0" borderId="634" xfId="0" applyFont="1" applyBorder="1" applyAlignment="1">
      <alignment horizontal="left" wrapText="1"/>
    </xf>
    <xf numFmtId="0" fontId="1" fillId="0" borderId="635" xfId="0" applyFont="1" applyBorder="1" applyAlignment="1">
      <alignment horizontal="left" wrapText="1"/>
    </xf>
    <xf numFmtId="0" fontId="1" fillId="0" borderId="559" xfId="0" applyFont="1" applyBorder="1" applyAlignment="1">
      <alignment horizontal="left" wrapText="1"/>
    </xf>
    <xf numFmtId="0" fontId="1" fillId="0" borderId="560" xfId="0" applyFont="1" applyBorder="1" applyAlignment="1">
      <alignment horizontal="left" wrapText="1"/>
    </xf>
    <xf numFmtId="0" fontId="1" fillId="0" borderId="561" xfId="0" applyFont="1" applyBorder="1" applyAlignment="1">
      <alignment horizontal="left" wrapText="1"/>
    </xf>
    <xf numFmtId="0" fontId="1" fillId="0" borderId="562" xfId="0" applyFont="1" applyBorder="1" applyAlignment="1">
      <alignment horizontal="left" wrapText="1"/>
    </xf>
    <xf numFmtId="0" fontId="1" fillId="0" borderId="563" xfId="0" applyFont="1" applyBorder="1" applyAlignment="1">
      <alignment horizontal="left" wrapText="1"/>
    </xf>
    <xf numFmtId="0" fontId="1" fillId="0" borderId="564" xfId="0" applyFont="1" applyBorder="1" applyAlignment="1">
      <alignment horizontal="left" wrapText="1"/>
    </xf>
    <xf numFmtId="0" fontId="1" fillId="0" borderId="565" xfId="0" applyFont="1" applyBorder="1" applyAlignment="1">
      <alignment horizontal="left" wrapText="1"/>
    </xf>
    <xf numFmtId="0" fontId="1" fillId="0" borderId="566" xfId="0" applyFont="1" applyBorder="1" applyAlignment="1">
      <alignment horizontal="left" wrapText="1"/>
    </xf>
    <xf numFmtId="0" fontId="1" fillId="0" borderId="567" xfId="0" applyFont="1" applyBorder="1" applyAlignment="1">
      <alignment horizontal="left" wrapText="1"/>
    </xf>
    <xf numFmtId="0" fontId="1" fillId="0" borderId="568" xfId="0" applyFont="1" applyBorder="1" applyAlignment="1">
      <alignment horizontal="left" wrapText="1"/>
    </xf>
    <xf numFmtId="0" fontId="1" fillId="0" borderId="569" xfId="0" applyFont="1" applyBorder="1" applyAlignment="1">
      <alignment horizontal="left" wrapText="1"/>
    </xf>
    <xf numFmtId="0" fontId="1" fillId="0" borderId="570" xfId="0" applyFont="1" applyBorder="1" applyAlignment="1">
      <alignment horizontal="left" wrapText="1"/>
    </xf>
    <xf numFmtId="0" fontId="1" fillId="0" borderId="571" xfId="0" applyFont="1" applyBorder="1" applyAlignment="1">
      <alignment horizontal="left" wrapText="1"/>
    </xf>
    <xf numFmtId="0" fontId="1" fillId="0" borderId="572" xfId="0" applyFont="1" applyBorder="1" applyAlignment="1">
      <alignment horizontal="left" wrapText="1"/>
    </xf>
    <xf numFmtId="0" fontId="1" fillId="0" borderId="573" xfId="0" applyFont="1" applyBorder="1" applyAlignment="1">
      <alignment horizontal="left" wrapText="1"/>
    </xf>
    <xf numFmtId="0" fontId="1" fillId="0" borderId="574" xfId="0" applyFont="1" applyBorder="1" applyAlignment="1">
      <alignment horizontal="center"/>
    </xf>
    <xf numFmtId="0" fontId="1" fillId="0" borderId="575" xfId="0" applyFont="1" applyBorder="1" applyAlignment="1">
      <alignment horizontal="center"/>
    </xf>
    <xf numFmtId="0" fontId="1" fillId="0" borderId="576" xfId="0" applyFont="1" applyBorder="1" applyAlignment="1">
      <alignment horizontal="center"/>
    </xf>
    <xf numFmtId="0" fontId="1" fillId="0" borderId="577" xfId="0" applyFont="1" applyBorder="1" applyAlignment="1">
      <alignment horizontal="center"/>
    </xf>
    <xf numFmtId="0" fontId="1" fillId="0" borderId="578" xfId="0" applyFont="1" applyBorder="1" applyAlignment="1">
      <alignment horizontal="center"/>
    </xf>
    <xf numFmtId="0" fontId="1" fillId="0" borderId="579" xfId="0" applyFont="1" applyBorder="1" applyAlignment="1">
      <alignment horizontal="center"/>
    </xf>
    <xf numFmtId="0" fontId="1" fillId="0" borderId="580" xfId="0" applyFont="1" applyBorder="1" applyAlignment="1">
      <alignment horizontal="center"/>
    </xf>
    <xf numFmtId="0" fontId="1" fillId="0" borderId="581" xfId="0" applyFont="1" applyBorder="1" applyAlignment="1">
      <alignment horizontal="center"/>
    </xf>
    <xf numFmtId="0" fontId="1" fillId="0" borderId="582" xfId="0" applyFont="1" applyBorder="1" applyAlignment="1">
      <alignment horizontal="center"/>
    </xf>
    <xf numFmtId="0" fontId="1" fillId="0" borderId="583" xfId="0" applyFont="1" applyBorder="1" applyAlignment="1">
      <alignment horizontal="center"/>
    </xf>
    <xf numFmtId="0" fontId="1" fillId="0" borderId="584" xfId="0" applyFont="1" applyBorder="1" applyAlignment="1">
      <alignment horizontal="center"/>
    </xf>
    <xf numFmtId="0" fontId="1" fillId="0" borderId="585" xfId="0" applyFont="1" applyBorder="1" applyAlignment="1">
      <alignment horizontal="center"/>
    </xf>
    <xf numFmtId="0" fontId="1" fillId="0" borderId="586" xfId="0" applyFont="1" applyBorder="1" applyAlignment="1">
      <alignment horizontal="center"/>
    </xf>
    <xf numFmtId="0" fontId="1" fillId="0" borderId="587" xfId="0" applyFont="1" applyBorder="1" applyAlignment="1">
      <alignment horizontal="center"/>
    </xf>
    <xf numFmtId="0" fontId="1" fillId="0" borderId="153" xfId="0" applyFont="1" applyBorder="1" applyAlignment="1">
      <alignment horizontal="center" vertical="center"/>
    </xf>
    <xf numFmtId="0" fontId="1" fillId="0" borderId="293" xfId="0" applyFont="1" applyBorder="1" applyAlignment="1">
      <alignment horizontal="center" vertical="center"/>
    </xf>
    <xf numFmtId="0" fontId="1" fillId="0" borderId="294" xfId="0" applyFont="1" applyBorder="1" applyAlignment="1">
      <alignment horizontal="center" vertical="center"/>
    </xf>
    <xf numFmtId="0" fontId="1" fillId="0" borderId="156" xfId="0" applyFont="1" applyBorder="1" applyAlignment="1">
      <alignment horizontal="center" vertical="center"/>
    </xf>
    <xf numFmtId="0" fontId="1" fillId="0" borderId="295" xfId="0" applyFont="1" applyBorder="1" applyAlignment="1">
      <alignment horizontal="center" vertical="center"/>
    </xf>
    <xf numFmtId="0" fontId="1" fillId="0" borderId="296" xfId="0" applyFont="1" applyBorder="1" applyAlignment="1">
      <alignment horizontal="center" vertical="center"/>
    </xf>
    <xf numFmtId="0" fontId="1" fillId="0" borderId="297" xfId="0" applyFont="1" applyBorder="1" applyAlignment="1">
      <alignment horizontal="center" vertical="center"/>
    </xf>
    <xf numFmtId="0" fontId="1" fillId="0" borderId="298" xfId="0" applyFont="1" applyBorder="1" applyAlignment="1">
      <alignment horizontal="center" vertical="center"/>
    </xf>
    <xf numFmtId="0" fontId="1" fillId="0" borderId="299" xfId="0" applyFont="1" applyBorder="1" applyAlignment="1">
      <alignment horizontal="center" vertical="center"/>
    </xf>
    <xf numFmtId="0" fontId="1" fillId="0" borderId="300" xfId="0" applyFont="1" applyBorder="1" applyAlignment="1">
      <alignment horizontal="center" vertical="center"/>
    </xf>
    <xf numFmtId="0" fontId="1" fillId="0" borderId="301" xfId="0" applyFont="1" applyBorder="1" applyAlignment="1">
      <alignment horizontal="center" vertical="center"/>
    </xf>
    <xf numFmtId="0" fontId="1" fillId="0" borderId="302" xfId="0" applyFont="1" applyBorder="1" applyAlignment="1">
      <alignment horizontal="center" vertical="center"/>
    </xf>
    <xf numFmtId="0" fontId="1" fillId="0" borderId="303" xfId="0" applyFont="1" applyBorder="1" applyAlignment="1">
      <alignment horizontal="center" vertical="center"/>
    </xf>
    <xf numFmtId="0" fontId="1" fillId="0" borderId="304" xfId="0" applyFont="1" applyBorder="1" applyAlignment="1">
      <alignment horizontal="center" vertical="center"/>
    </xf>
    <xf numFmtId="0" fontId="1" fillId="0" borderId="305" xfId="0" applyFont="1" applyBorder="1" applyAlignment="1">
      <alignment horizontal="center" vertical="center"/>
    </xf>
    <xf numFmtId="0" fontId="1" fillId="0" borderId="306" xfId="0" applyFont="1" applyBorder="1" applyAlignment="1">
      <alignment horizontal="center" vertical="center"/>
    </xf>
    <xf numFmtId="0" fontId="1" fillId="0" borderId="307" xfId="0" applyFont="1" applyBorder="1" applyAlignment="1">
      <alignment horizontal="center" vertical="center"/>
    </xf>
    <xf numFmtId="0" fontId="1" fillId="0" borderId="308" xfId="0" applyFont="1" applyBorder="1" applyAlignment="1">
      <alignment horizontal="center" vertical="center"/>
    </xf>
    <xf numFmtId="0" fontId="1" fillId="0" borderId="309" xfId="0" applyFont="1" applyBorder="1" applyAlignment="1">
      <alignment horizontal="center" vertical="center"/>
    </xf>
    <xf numFmtId="0" fontId="1" fillId="0" borderId="310" xfId="0" applyFont="1" applyBorder="1" applyAlignment="1">
      <alignment horizontal="center" vertical="center"/>
    </xf>
    <xf numFmtId="0" fontId="1" fillId="0" borderId="311" xfId="0" applyFont="1" applyBorder="1" applyAlignment="1">
      <alignment horizontal="center" vertical="center"/>
    </xf>
    <xf numFmtId="0" fontId="1" fillId="0" borderId="312" xfId="0" applyFont="1" applyBorder="1" applyAlignment="1">
      <alignment horizontal="center" vertical="center"/>
    </xf>
    <xf numFmtId="0" fontId="1" fillId="0" borderId="313" xfId="0" applyFont="1" applyBorder="1" applyAlignment="1">
      <alignment horizontal="center" vertical="center"/>
    </xf>
    <xf numFmtId="0" fontId="1" fillId="0" borderId="314" xfId="0" applyFont="1" applyBorder="1" applyAlignment="1">
      <alignment horizontal="center" vertical="center"/>
    </xf>
    <xf numFmtId="0" fontId="1" fillId="0" borderId="315" xfId="0" applyFont="1" applyBorder="1" applyAlignment="1">
      <alignment horizontal="center" vertical="center"/>
    </xf>
    <xf numFmtId="0" fontId="1" fillId="0" borderId="316" xfId="0" applyFont="1" applyBorder="1" applyAlignment="1">
      <alignment horizontal="center" vertical="center"/>
    </xf>
    <xf numFmtId="0" fontId="1" fillId="0" borderId="317" xfId="0" applyFont="1" applyBorder="1" applyAlignment="1">
      <alignment horizontal="center" vertical="center"/>
    </xf>
    <xf numFmtId="0" fontId="1" fillId="0" borderId="318" xfId="0" applyFont="1" applyBorder="1" applyAlignment="1">
      <alignment horizontal="center" vertical="center"/>
    </xf>
    <xf numFmtId="0" fontId="1" fillId="0" borderId="330" xfId="0" applyFont="1" applyBorder="1" applyAlignment="1">
      <alignment horizontal="center" vertical="center"/>
    </xf>
    <xf numFmtId="0" fontId="1" fillId="0" borderId="331" xfId="0" applyFont="1" applyBorder="1" applyAlignment="1">
      <alignment horizontal="center" vertical="center"/>
    </xf>
    <xf numFmtId="0" fontId="1" fillId="0" borderId="332" xfId="0" applyFont="1" applyBorder="1" applyAlignment="1">
      <alignment horizontal="center" vertical="center"/>
    </xf>
    <xf numFmtId="0" fontId="1" fillId="0" borderId="333" xfId="0" applyFont="1" applyBorder="1" applyAlignment="1">
      <alignment horizontal="center" vertical="center"/>
    </xf>
    <xf numFmtId="0" fontId="1" fillId="0" borderId="334" xfId="0" applyFont="1" applyBorder="1" applyAlignment="1">
      <alignment horizontal="center" vertical="center"/>
    </xf>
    <xf numFmtId="0" fontId="1" fillId="0" borderId="326" xfId="0" applyFont="1" applyBorder="1" applyAlignment="1">
      <alignment horizontal="center" vertical="center"/>
    </xf>
    <xf numFmtId="0" fontId="1" fillId="0" borderId="327" xfId="0" applyFont="1" applyBorder="1" applyAlignment="1">
      <alignment horizontal="center" vertical="center"/>
    </xf>
    <xf numFmtId="0" fontId="1" fillId="0" borderId="328" xfId="0" applyFont="1" applyBorder="1" applyAlignment="1">
      <alignment horizontal="center" vertical="center"/>
    </xf>
    <xf numFmtId="0" fontId="1" fillId="0" borderId="329" xfId="0" applyFont="1" applyBorder="1" applyAlignment="1">
      <alignment horizontal="center" vertical="center"/>
    </xf>
    <xf numFmtId="0" fontId="1" fillId="0" borderId="323" xfId="0" applyFont="1" applyBorder="1" applyAlignment="1">
      <alignment horizontal="center" vertical="center"/>
    </xf>
    <xf numFmtId="0" fontId="1" fillId="0" borderId="324" xfId="0" applyFont="1" applyBorder="1" applyAlignment="1">
      <alignment horizontal="center" vertical="center"/>
    </xf>
    <xf numFmtId="0" fontId="1" fillId="0" borderId="325" xfId="0" applyFont="1" applyBorder="1" applyAlignment="1">
      <alignment horizontal="center" vertical="center"/>
    </xf>
    <xf numFmtId="0" fontId="1" fillId="0" borderId="319" xfId="0" applyFont="1" applyBorder="1" applyAlignment="1">
      <alignment horizontal="center" vertical="center"/>
    </xf>
    <xf numFmtId="0" fontId="1" fillId="0" borderId="320" xfId="0" applyFont="1" applyBorder="1" applyAlignment="1">
      <alignment horizontal="center" vertical="center"/>
    </xf>
    <xf numFmtId="0" fontId="1" fillId="0" borderId="321" xfId="0" applyFont="1" applyBorder="1" applyAlignment="1">
      <alignment horizontal="center" vertical="center"/>
    </xf>
    <xf numFmtId="0" fontId="1" fillId="0" borderId="322" xfId="0" applyFont="1" applyBorder="1" applyAlignment="1">
      <alignment horizontal="center" vertical="center"/>
    </xf>
    <xf numFmtId="169" fontId="1" fillId="0" borderId="351" xfId="0" applyNumberFormat="1" applyFont="1" applyBorder="1" applyAlignment="1">
      <alignment horizontal="right" vertical="center"/>
    </xf>
    <xf numFmtId="169" fontId="1" fillId="0" borderId="352" xfId="0" applyNumberFormat="1" applyFont="1" applyBorder="1" applyAlignment="1">
      <alignment horizontal="right" vertical="center"/>
    </xf>
    <xf numFmtId="169" fontId="1" fillId="0" borderId="353" xfId="0" applyNumberFormat="1" applyFont="1" applyBorder="1" applyAlignment="1">
      <alignment horizontal="right" vertical="center"/>
    </xf>
    <xf numFmtId="169" fontId="1" fillId="0" borderId="354" xfId="0" applyNumberFormat="1" applyFont="1" applyBorder="1" applyAlignment="1">
      <alignment horizontal="right" vertical="center"/>
    </xf>
    <xf numFmtId="169" fontId="1" fillId="0" borderId="355" xfId="0" applyNumberFormat="1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342" xfId="0" applyFont="1" applyBorder="1" applyAlignment="1">
      <alignment horizontal="center" vertical="center"/>
    </xf>
    <xf numFmtId="0" fontId="1" fillId="0" borderId="343" xfId="0" applyFont="1" applyBorder="1" applyAlignment="1">
      <alignment horizontal="center" vertical="center"/>
    </xf>
    <xf numFmtId="0" fontId="1" fillId="0" borderId="344" xfId="0" applyFont="1" applyBorder="1" applyAlignment="1">
      <alignment horizontal="center" vertical="center"/>
    </xf>
    <xf numFmtId="0" fontId="1" fillId="0" borderId="345" xfId="0" applyFont="1" applyBorder="1" applyAlignment="1">
      <alignment horizontal="center" vertical="center"/>
    </xf>
    <xf numFmtId="169" fontId="1" fillId="0" borderId="346" xfId="0" applyNumberFormat="1" applyFont="1" applyBorder="1" applyAlignment="1">
      <alignment horizontal="center" vertical="center"/>
    </xf>
    <xf numFmtId="169" fontId="1" fillId="0" borderId="347" xfId="0" applyNumberFormat="1" applyFont="1" applyBorder="1" applyAlignment="1">
      <alignment horizontal="center" vertical="center"/>
    </xf>
    <xf numFmtId="169" fontId="1" fillId="0" borderId="348" xfId="0" applyNumberFormat="1" applyFont="1" applyBorder="1" applyAlignment="1">
      <alignment horizontal="center" vertical="center"/>
    </xf>
    <xf numFmtId="169" fontId="1" fillId="0" borderId="349" xfId="0" applyNumberFormat="1" applyFont="1" applyBorder="1" applyAlignment="1">
      <alignment horizontal="center" vertical="center"/>
    </xf>
    <xf numFmtId="169" fontId="1" fillId="0" borderId="350" xfId="0" applyNumberFormat="1" applyFont="1" applyBorder="1" applyAlignment="1">
      <alignment horizontal="center" vertical="center"/>
    </xf>
    <xf numFmtId="0" fontId="1" fillId="0" borderId="636" xfId="0" applyFont="1" applyBorder="1" applyAlignment="1">
      <alignment horizontal="center"/>
    </xf>
    <xf numFmtId="0" fontId="1" fillId="0" borderId="637" xfId="0" applyFont="1" applyBorder="1" applyAlignment="1">
      <alignment horizontal="center"/>
    </xf>
    <xf numFmtId="0" fontId="1" fillId="0" borderId="638" xfId="0" applyFont="1" applyBorder="1" applyAlignment="1">
      <alignment horizontal="center"/>
    </xf>
    <xf numFmtId="0" fontId="1" fillId="0" borderId="639" xfId="0" applyFont="1" applyBorder="1" applyAlignment="1">
      <alignment horizontal="center"/>
    </xf>
    <xf numFmtId="0" fontId="1" fillId="0" borderId="640" xfId="0" applyFont="1" applyBorder="1" applyAlignment="1">
      <alignment horizontal="center"/>
    </xf>
    <xf numFmtId="0" fontId="1" fillId="0" borderId="641" xfId="0" applyFont="1" applyBorder="1" applyAlignment="1">
      <alignment horizontal="center"/>
    </xf>
    <xf numFmtId="0" fontId="1" fillId="0" borderId="642" xfId="0" applyFont="1" applyBorder="1" applyAlignment="1">
      <alignment horizontal="center"/>
    </xf>
    <xf numFmtId="0" fontId="1" fillId="0" borderId="643" xfId="0" applyFont="1" applyBorder="1" applyAlignment="1">
      <alignment horizontal="center"/>
    </xf>
    <xf numFmtId="0" fontId="1" fillId="0" borderId="644" xfId="0" applyFont="1" applyBorder="1" applyAlignment="1">
      <alignment horizontal="center"/>
    </xf>
    <xf numFmtId="0" fontId="1" fillId="0" borderId="645" xfId="0" applyFont="1" applyBorder="1" applyAlignment="1">
      <alignment horizontal="center"/>
    </xf>
    <xf numFmtId="0" fontId="1" fillId="0" borderId="646" xfId="0" applyFont="1" applyBorder="1" applyAlignment="1">
      <alignment horizontal="center"/>
    </xf>
    <xf numFmtId="0" fontId="1" fillId="0" borderId="647" xfId="0" applyFont="1" applyBorder="1" applyAlignment="1">
      <alignment horizontal="center"/>
    </xf>
    <xf numFmtId="0" fontId="1" fillId="0" borderId="648" xfId="0" applyFont="1" applyBorder="1" applyAlignment="1">
      <alignment horizontal="center"/>
    </xf>
    <xf numFmtId="169" fontId="15" fillId="0" borderId="419" xfId="0" applyNumberFormat="1" applyFont="1" applyBorder="1" applyAlignment="1">
      <alignment horizontal="right" vertical="center"/>
    </xf>
    <xf numFmtId="169" fontId="15" fillId="0" borderId="420" xfId="0" applyNumberFormat="1" applyFont="1" applyBorder="1" applyAlignment="1">
      <alignment horizontal="right" vertical="center"/>
    </xf>
    <xf numFmtId="169" fontId="15" fillId="0" borderId="421" xfId="0" applyNumberFormat="1" applyFont="1" applyBorder="1" applyAlignment="1">
      <alignment horizontal="right" vertical="center"/>
    </xf>
    <xf numFmtId="169" fontId="15" fillId="0" borderId="422" xfId="0" applyNumberFormat="1" applyFont="1" applyBorder="1" applyAlignment="1">
      <alignment horizontal="right" vertical="center"/>
    </xf>
    <xf numFmtId="169" fontId="15" fillId="0" borderId="423" xfId="0" applyNumberFormat="1" applyFont="1" applyBorder="1" applyAlignment="1">
      <alignment horizontal="right" vertical="center"/>
    </xf>
    <xf numFmtId="169" fontId="1" fillId="0" borderId="414" xfId="0" applyNumberFormat="1" applyFont="1" applyBorder="1" applyAlignment="1">
      <alignment horizontal="center" vertical="center"/>
    </xf>
    <xf numFmtId="169" fontId="1" fillId="0" borderId="415" xfId="0" applyNumberFormat="1" applyFont="1" applyBorder="1" applyAlignment="1">
      <alignment horizontal="center" vertical="center"/>
    </xf>
    <xf numFmtId="169" fontId="1" fillId="0" borderId="416" xfId="0" applyNumberFormat="1" applyFont="1" applyBorder="1" applyAlignment="1">
      <alignment horizontal="center" vertical="center"/>
    </xf>
    <xf numFmtId="169" fontId="1" fillId="0" borderId="417" xfId="0" applyNumberFormat="1" applyFont="1" applyBorder="1" applyAlignment="1">
      <alignment horizontal="center" vertical="center"/>
    </xf>
    <xf numFmtId="169" fontId="1" fillId="0" borderId="418" xfId="0" applyNumberFormat="1" applyFont="1" applyBorder="1" applyAlignment="1">
      <alignment horizontal="center" vertical="center"/>
    </xf>
    <xf numFmtId="0" fontId="1" fillId="0" borderId="410" xfId="0" applyFont="1" applyBorder="1" applyAlignment="1">
      <alignment horizontal="center" vertical="center"/>
    </xf>
    <xf numFmtId="0" fontId="1" fillId="0" borderId="411" xfId="0" applyFont="1" applyBorder="1" applyAlignment="1">
      <alignment horizontal="center" vertical="center"/>
    </xf>
    <xf numFmtId="0" fontId="1" fillId="0" borderId="412" xfId="0" applyFont="1" applyBorder="1" applyAlignment="1">
      <alignment horizontal="center" vertical="center"/>
    </xf>
    <xf numFmtId="0" fontId="1" fillId="0" borderId="413" xfId="0" applyFont="1" applyBorder="1" applyAlignment="1">
      <alignment horizontal="center" vertical="center"/>
    </xf>
    <xf numFmtId="169" fontId="1" fillId="0" borderId="398" xfId="0" applyNumberFormat="1" applyFont="1" applyBorder="1" applyAlignment="1">
      <alignment horizontal="right" vertical="center"/>
    </xf>
    <xf numFmtId="169" fontId="1" fillId="0" borderId="399" xfId="0" applyNumberFormat="1" applyFont="1" applyBorder="1" applyAlignment="1">
      <alignment horizontal="right" vertical="center"/>
    </xf>
    <xf numFmtId="169" fontId="1" fillId="0" borderId="400" xfId="0" applyNumberFormat="1" applyFont="1" applyBorder="1" applyAlignment="1">
      <alignment horizontal="right" vertical="center"/>
    </xf>
    <xf numFmtId="169" fontId="1" fillId="0" borderId="401" xfId="0" applyNumberFormat="1" applyFont="1" applyBorder="1" applyAlignment="1">
      <alignment horizontal="right" vertical="center"/>
    </xf>
    <xf numFmtId="169" fontId="1" fillId="0" borderId="402" xfId="0" applyNumberFormat="1" applyFont="1" applyBorder="1" applyAlignment="1">
      <alignment horizontal="right" vertical="center"/>
    </xf>
    <xf numFmtId="169" fontId="1" fillId="0" borderId="393" xfId="0" applyNumberFormat="1" applyFont="1" applyBorder="1" applyAlignment="1">
      <alignment horizontal="center" vertical="center"/>
    </xf>
    <xf numFmtId="169" fontId="1" fillId="0" borderId="394" xfId="0" applyNumberFormat="1" applyFont="1" applyBorder="1" applyAlignment="1">
      <alignment horizontal="center" vertical="center"/>
    </xf>
    <xf numFmtId="169" fontId="1" fillId="0" borderId="395" xfId="0" applyNumberFormat="1" applyFont="1" applyBorder="1" applyAlignment="1">
      <alignment horizontal="center" vertical="center"/>
    </xf>
    <xf numFmtId="169" fontId="1" fillId="0" borderId="396" xfId="0" applyNumberFormat="1" applyFont="1" applyBorder="1" applyAlignment="1">
      <alignment horizontal="center" vertical="center"/>
    </xf>
    <xf numFmtId="169" fontId="1" fillId="0" borderId="397" xfId="0" applyNumberFormat="1" applyFont="1" applyBorder="1" applyAlignment="1">
      <alignment horizontal="center" vertical="center"/>
    </xf>
    <xf numFmtId="0" fontId="1" fillId="0" borderId="389" xfId="0" applyFont="1" applyBorder="1" applyAlignment="1">
      <alignment horizontal="center" vertical="center"/>
    </xf>
    <xf numFmtId="0" fontId="1" fillId="0" borderId="390" xfId="0" applyFont="1" applyBorder="1" applyAlignment="1">
      <alignment horizontal="center" vertical="center"/>
    </xf>
    <xf numFmtId="0" fontId="1" fillId="0" borderId="391" xfId="0" applyFont="1" applyBorder="1" applyAlignment="1">
      <alignment horizontal="center" vertical="center"/>
    </xf>
    <xf numFmtId="0" fontId="1" fillId="0" borderId="392" xfId="0" applyFont="1" applyBorder="1" applyAlignment="1">
      <alignment horizontal="center" vertical="center"/>
    </xf>
    <xf numFmtId="0" fontId="30" fillId="0" borderId="204" xfId="0" applyFont="1" applyBorder="1" applyAlignment="1">
      <alignment horizontal="center" vertical="center"/>
    </xf>
    <xf numFmtId="0" fontId="30" fillId="0" borderId="205" xfId="0" applyFont="1" applyBorder="1" applyAlignment="1">
      <alignment horizontal="center" vertical="center"/>
    </xf>
    <xf numFmtId="0" fontId="30" fillId="0" borderId="206" xfId="0" applyFont="1" applyBorder="1" applyAlignment="1">
      <alignment horizontal="center" vertical="center"/>
    </xf>
    <xf numFmtId="0" fontId="30" fillId="0" borderId="207" xfId="0" applyFont="1" applyBorder="1" applyAlignment="1">
      <alignment horizontal="center" vertical="center"/>
    </xf>
    <xf numFmtId="0" fontId="30" fillId="0" borderId="208" xfId="0" applyFont="1" applyBorder="1" applyAlignment="1">
      <alignment horizontal="center" vertical="center"/>
    </xf>
    <xf numFmtId="0" fontId="30" fillId="0" borderId="209" xfId="0" applyFont="1" applyBorder="1" applyAlignment="1">
      <alignment horizontal="center" vertical="center"/>
    </xf>
    <xf numFmtId="0" fontId="30" fillId="0" borderId="210" xfId="0" applyFont="1" applyBorder="1" applyAlignment="1">
      <alignment horizontal="center" vertical="center"/>
    </xf>
    <xf numFmtId="0" fontId="30" fillId="0" borderId="211" xfId="0" applyFont="1" applyBorder="1" applyAlignment="1">
      <alignment horizontal="center" vertical="center"/>
    </xf>
    <xf numFmtId="0" fontId="30" fillId="0" borderId="212" xfId="0" applyFont="1" applyBorder="1" applyAlignment="1">
      <alignment horizontal="center" vertical="center"/>
    </xf>
    <xf numFmtId="0" fontId="30" fillId="0" borderId="213" xfId="0" applyFont="1" applyBorder="1" applyAlignment="1">
      <alignment horizontal="center" vertical="center"/>
    </xf>
    <xf numFmtId="0" fontId="30" fillId="0" borderId="214" xfId="0" applyFont="1" applyBorder="1" applyAlignment="1">
      <alignment horizontal="center" vertical="center"/>
    </xf>
    <xf numFmtId="0" fontId="30" fillId="0" borderId="215" xfId="0" applyFont="1" applyBorder="1" applyAlignment="1">
      <alignment horizontal="center" vertical="center"/>
    </xf>
    <xf numFmtId="0" fontId="30" fillId="0" borderId="216" xfId="0" applyFont="1" applyBorder="1" applyAlignment="1">
      <alignment horizontal="center" vertical="center"/>
    </xf>
    <xf numFmtId="0" fontId="30" fillId="0" borderId="217" xfId="0" applyFont="1" applyBorder="1" applyAlignment="1">
      <alignment horizontal="center" vertical="center"/>
    </xf>
    <xf numFmtId="0" fontId="30" fillId="0" borderId="218" xfId="0" applyFont="1" applyBorder="1" applyAlignment="1">
      <alignment horizontal="center" vertical="center"/>
    </xf>
    <xf numFmtId="0" fontId="30" fillId="0" borderId="219" xfId="0" applyFont="1" applyBorder="1" applyAlignment="1">
      <alignment horizontal="center" vertical="center"/>
    </xf>
    <xf numFmtId="0" fontId="30" fillId="0" borderId="220" xfId="0" applyFont="1" applyBorder="1" applyAlignment="1">
      <alignment horizontal="center" vertical="center"/>
    </xf>
    <xf numFmtId="0" fontId="30" fillId="0" borderId="221" xfId="0" applyFont="1" applyBorder="1" applyAlignment="1">
      <alignment horizontal="center" vertical="center"/>
    </xf>
    <xf numFmtId="0" fontId="30" fillId="0" borderId="222" xfId="0" applyFont="1" applyBorder="1" applyAlignment="1">
      <alignment horizontal="center" vertical="center"/>
    </xf>
    <xf numFmtId="0" fontId="30" fillId="0" borderId="223" xfId="0" applyFont="1" applyBorder="1" applyAlignment="1">
      <alignment horizontal="center" vertical="center"/>
    </xf>
    <xf numFmtId="0" fontId="30" fillId="0" borderId="224" xfId="0" applyFont="1" applyBorder="1" applyAlignment="1">
      <alignment horizontal="center" vertical="center"/>
    </xf>
    <xf numFmtId="0" fontId="30" fillId="0" borderId="225" xfId="0" applyFont="1" applyBorder="1" applyAlignment="1">
      <alignment horizontal="center" vertical="center"/>
    </xf>
    <xf numFmtId="0" fontId="30" fillId="0" borderId="226" xfId="0" applyFont="1" applyBorder="1" applyAlignment="1">
      <alignment horizontal="center" vertical="center"/>
    </xf>
    <xf numFmtId="0" fontId="30" fillId="0" borderId="227" xfId="0" applyFont="1" applyBorder="1" applyAlignment="1">
      <alignment horizontal="center" vertical="center"/>
    </xf>
    <xf numFmtId="0" fontId="30" fillId="0" borderId="228" xfId="0" applyFont="1" applyBorder="1" applyAlignment="1">
      <alignment horizontal="center" vertical="center"/>
    </xf>
    <xf numFmtId="0" fontId="30" fillId="0" borderId="229" xfId="0" applyFont="1" applyBorder="1" applyAlignment="1">
      <alignment horizontal="center" vertical="center"/>
    </xf>
    <xf numFmtId="0" fontId="30" fillId="0" borderId="230" xfId="0" applyFont="1" applyBorder="1" applyAlignment="1">
      <alignment horizontal="center" vertical="center"/>
    </xf>
    <xf numFmtId="0" fontId="30" fillId="0" borderId="231" xfId="0" applyFont="1" applyBorder="1" applyAlignment="1">
      <alignment horizontal="center" vertical="center"/>
    </xf>
    <xf numFmtId="0" fontId="30" fillId="0" borderId="232" xfId="0" applyFont="1" applyBorder="1" applyAlignment="1">
      <alignment horizontal="center" vertical="center"/>
    </xf>
    <xf numFmtId="0" fontId="30" fillId="0" borderId="233" xfId="0" applyFont="1" applyBorder="1" applyAlignment="1">
      <alignment horizontal="center" vertical="center"/>
    </xf>
    <xf numFmtId="0" fontId="30" fillId="0" borderId="234" xfId="0" applyFont="1" applyBorder="1" applyAlignment="1">
      <alignment horizontal="center" vertical="center"/>
    </xf>
    <xf numFmtId="0" fontId="30" fillId="0" borderId="235" xfId="0" applyFont="1" applyBorder="1" applyAlignment="1">
      <alignment horizontal="center" vertical="center"/>
    </xf>
    <xf numFmtId="0" fontId="30" fillId="0" borderId="236" xfId="0" applyFont="1" applyBorder="1" applyAlignment="1">
      <alignment horizontal="center" vertical="center"/>
    </xf>
    <xf numFmtId="0" fontId="30" fillId="0" borderId="237" xfId="0" applyFont="1" applyBorder="1" applyAlignment="1">
      <alignment horizontal="center" vertical="center"/>
    </xf>
    <xf numFmtId="0" fontId="30" fillId="0" borderId="238" xfId="0" applyFont="1" applyBorder="1" applyAlignment="1">
      <alignment horizontal="center" vertical="center"/>
    </xf>
    <xf numFmtId="0" fontId="30" fillId="0" borderId="239" xfId="0" applyFont="1" applyBorder="1" applyAlignment="1">
      <alignment horizontal="center" vertical="center"/>
    </xf>
    <xf numFmtId="0" fontId="30" fillId="0" borderId="240" xfId="0" applyFont="1" applyBorder="1" applyAlignment="1">
      <alignment horizontal="center" vertical="center"/>
    </xf>
    <xf numFmtId="0" fontId="30" fillId="0" borderId="241" xfId="0" applyFont="1" applyBorder="1" applyAlignment="1">
      <alignment horizontal="center" vertical="center"/>
    </xf>
    <xf numFmtId="0" fontId="30" fillId="0" borderId="242" xfId="0" applyFont="1" applyBorder="1" applyAlignment="1">
      <alignment horizontal="center" vertical="center"/>
    </xf>
    <xf numFmtId="0" fontId="30" fillId="0" borderId="243" xfId="0" applyFont="1" applyBorder="1" applyAlignment="1">
      <alignment horizontal="center" vertical="center"/>
    </xf>
    <xf numFmtId="0" fontId="30" fillId="0" borderId="244" xfId="0" applyFont="1" applyBorder="1" applyAlignment="1">
      <alignment horizontal="center" vertical="center"/>
    </xf>
    <xf numFmtId="0" fontId="30" fillId="0" borderId="245" xfId="0" applyFont="1" applyBorder="1" applyAlignment="1">
      <alignment horizontal="center" vertical="center"/>
    </xf>
    <xf numFmtId="0" fontId="30" fillId="0" borderId="246" xfId="0" applyFont="1" applyBorder="1" applyAlignment="1">
      <alignment horizontal="center" vertical="center"/>
    </xf>
    <xf numFmtId="0" fontId="30" fillId="0" borderId="247" xfId="0" applyFont="1" applyBorder="1" applyAlignment="1">
      <alignment horizontal="center" vertical="center"/>
    </xf>
    <xf numFmtId="0" fontId="30" fillId="0" borderId="248" xfId="0" applyFont="1" applyBorder="1" applyAlignment="1">
      <alignment horizontal="center" vertical="center"/>
    </xf>
    <xf numFmtId="0" fontId="30" fillId="0" borderId="249" xfId="0" applyFont="1" applyBorder="1" applyAlignment="1">
      <alignment horizontal="center" vertical="center"/>
    </xf>
    <xf numFmtId="0" fontId="30" fillId="0" borderId="250" xfId="0" applyFont="1" applyBorder="1" applyAlignment="1">
      <alignment horizontal="center" vertical="center"/>
    </xf>
    <xf numFmtId="0" fontId="30" fillId="0" borderId="251" xfId="0" applyFont="1" applyBorder="1" applyAlignment="1">
      <alignment horizontal="center" vertical="center"/>
    </xf>
    <xf numFmtId="0" fontId="30" fillId="0" borderId="252" xfId="0" applyFont="1" applyBorder="1" applyAlignment="1">
      <alignment horizontal="center" vertical="center"/>
    </xf>
    <xf numFmtId="0" fontId="29" fillId="0" borderId="47" xfId="0" applyFont="1" applyBorder="1" applyAlignment="1">
      <alignment horizontal="center" vertical="center"/>
    </xf>
    <xf numFmtId="0" fontId="29" fillId="0" borderId="48" xfId="0" applyFont="1" applyBorder="1" applyAlignment="1">
      <alignment horizontal="center" vertical="center"/>
    </xf>
    <xf numFmtId="0" fontId="29" fillId="0" borderId="49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 vertical="center"/>
    </xf>
    <xf numFmtId="0" fontId="29" fillId="0" borderId="52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/>
    </xf>
    <xf numFmtId="0" fontId="29" fillId="0" borderId="56" xfId="0" applyFont="1" applyBorder="1" applyAlignment="1">
      <alignment horizontal="center" vertical="center"/>
    </xf>
    <xf numFmtId="0" fontId="29" fillId="0" borderId="57" xfId="0" applyFont="1" applyBorder="1" applyAlignment="1">
      <alignment horizontal="center" vertical="center"/>
    </xf>
    <xf numFmtId="0" fontId="29" fillId="0" borderId="58" xfId="0" applyFont="1" applyBorder="1" applyAlignment="1">
      <alignment horizontal="center" vertical="center"/>
    </xf>
    <xf numFmtId="0" fontId="29" fillId="0" borderId="59" xfId="0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/>
    </xf>
    <xf numFmtId="0" fontId="29" fillId="0" borderId="61" xfId="0" applyFont="1" applyBorder="1" applyAlignment="1">
      <alignment horizontal="center" vertical="center"/>
    </xf>
    <xf numFmtId="0" fontId="29" fillId="0" borderId="62" xfId="0" applyFont="1" applyBorder="1" applyAlignment="1">
      <alignment horizontal="center" vertical="center"/>
    </xf>
    <xf numFmtId="0" fontId="29" fillId="0" borderId="63" xfId="0" applyFont="1" applyBorder="1" applyAlignment="1">
      <alignment horizontal="center" vertical="center"/>
    </xf>
    <xf numFmtId="0" fontId="29" fillId="0" borderId="64" xfId="0" applyFont="1" applyBorder="1" applyAlignment="1">
      <alignment horizontal="center" vertical="center"/>
    </xf>
    <xf numFmtId="0" fontId="29" fillId="0" borderId="65" xfId="0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0" fontId="29" fillId="0" borderId="67" xfId="0" applyFont="1" applyBorder="1" applyAlignment="1">
      <alignment horizontal="center" vertical="center"/>
    </xf>
    <xf numFmtId="0" fontId="29" fillId="0" borderId="68" xfId="0" applyFont="1" applyBorder="1" applyAlignment="1">
      <alignment horizontal="center" vertical="center"/>
    </xf>
    <xf numFmtId="0" fontId="29" fillId="0" borderId="69" xfId="0" applyFont="1" applyBorder="1" applyAlignment="1">
      <alignment horizontal="center" vertical="center"/>
    </xf>
    <xf numFmtId="0" fontId="29" fillId="0" borderId="70" xfId="0" applyFont="1" applyBorder="1" applyAlignment="1">
      <alignment horizontal="center" vertical="center"/>
    </xf>
    <xf numFmtId="0" fontId="29" fillId="0" borderId="71" xfId="0" applyFont="1" applyBorder="1" applyAlignment="1">
      <alignment horizontal="center" vertical="center"/>
    </xf>
    <xf numFmtId="0" fontId="29" fillId="0" borderId="72" xfId="0" applyFont="1" applyBorder="1" applyAlignment="1">
      <alignment horizontal="center" vertical="center"/>
    </xf>
    <xf numFmtId="0" fontId="29" fillId="0" borderId="73" xfId="0" applyFont="1" applyBorder="1" applyAlignment="1">
      <alignment horizontal="center" vertical="center"/>
    </xf>
    <xf numFmtId="0" fontId="30" fillId="0" borderId="703" xfId="0" applyFont="1" applyBorder="1" applyAlignment="1">
      <alignment horizontal="center" vertical="center" wrapText="1"/>
    </xf>
    <xf numFmtId="0" fontId="30" fillId="0" borderId="704" xfId="0" applyFont="1" applyBorder="1" applyAlignment="1">
      <alignment horizontal="center" vertical="center" wrapText="1"/>
    </xf>
    <xf numFmtId="0" fontId="30" fillId="0" borderId="705" xfId="0" applyFont="1" applyBorder="1" applyAlignment="1">
      <alignment horizontal="center" vertical="center" wrapText="1"/>
    </xf>
    <xf numFmtId="0" fontId="30" fillId="0" borderId="775" xfId="0" applyFont="1" applyBorder="1" applyAlignment="1">
      <alignment horizontal="center" vertical="center" wrapText="1"/>
    </xf>
    <xf numFmtId="0" fontId="30" fillId="0" borderId="776" xfId="0" applyFont="1" applyBorder="1" applyAlignment="1">
      <alignment horizontal="center" vertical="center" wrapText="1"/>
    </xf>
    <xf numFmtId="0" fontId="30" fillId="0" borderId="777" xfId="0" applyFont="1" applyBorder="1" applyAlignment="1">
      <alignment horizontal="center" vertical="center" wrapText="1"/>
    </xf>
    <xf numFmtId="0" fontId="30" fillId="0" borderId="706" xfId="0" applyFont="1" applyBorder="1" applyAlignment="1">
      <alignment horizontal="center" vertical="center" wrapText="1"/>
    </xf>
    <xf numFmtId="0" fontId="30" fillId="0" borderId="707" xfId="0" applyFont="1" applyBorder="1" applyAlignment="1">
      <alignment horizontal="center" vertical="center" wrapText="1"/>
    </xf>
    <xf numFmtId="0" fontId="30" fillId="0" borderId="708" xfId="0" applyFont="1" applyBorder="1" applyAlignment="1">
      <alignment horizontal="center" vertical="center" wrapText="1"/>
    </xf>
    <xf numFmtId="0" fontId="30" fillId="0" borderId="778" xfId="0" applyFont="1" applyBorder="1" applyAlignment="1">
      <alignment horizontal="center" vertical="center" wrapText="1"/>
    </xf>
    <xf numFmtId="0" fontId="30" fillId="0" borderId="779" xfId="0" applyFont="1" applyBorder="1" applyAlignment="1">
      <alignment horizontal="center" vertical="center" wrapText="1"/>
    </xf>
    <xf numFmtId="0" fontId="30" fillId="0" borderId="780" xfId="0" applyFont="1" applyBorder="1" applyAlignment="1">
      <alignment horizontal="center" vertical="center" wrapText="1"/>
    </xf>
    <xf numFmtId="0" fontId="30" fillId="0" borderId="709" xfId="0" applyFont="1" applyBorder="1" applyAlignment="1">
      <alignment horizontal="center" vertical="center" wrapText="1"/>
    </xf>
    <xf numFmtId="0" fontId="30" fillId="0" borderId="710" xfId="0" applyFont="1" applyBorder="1" applyAlignment="1">
      <alignment horizontal="center" vertical="center" wrapText="1"/>
    </xf>
    <xf numFmtId="0" fontId="30" fillId="0" borderId="711" xfId="0" applyFont="1" applyBorder="1" applyAlignment="1">
      <alignment horizontal="center" vertical="center" wrapText="1"/>
    </xf>
    <xf numFmtId="0" fontId="30" fillId="0" borderId="712" xfId="0" applyFont="1" applyBorder="1" applyAlignment="1">
      <alignment horizontal="center" vertical="center" wrapText="1"/>
    </xf>
    <xf numFmtId="0" fontId="30" fillId="0" borderId="713" xfId="0" applyFont="1" applyBorder="1" applyAlignment="1">
      <alignment horizontal="center" vertical="center" wrapText="1"/>
    </xf>
    <xf numFmtId="0" fontId="30" fillId="0" borderId="714" xfId="0" applyFont="1" applyBorder="1" applyAlignment="1">
      <alignment horizontal="center" vertical="center" wrapText="1"/>
    </xf>
    <xf numFmtId="0" fontId="30" fillId="0" borderId="715" xfId="0" applyFont="1" applyBorder="1" applyAlignment="1">
      <alignment horizontal="center" vertical="center" wrapText="1"/>
    </xf>
    <xf numFmtId="0" fontId="30" fillId="0" borderId="716" xfId="0" applyFont="1" applyBorder="1" applyAlignment="1">
      <alignment horizontal="center" vertical="center" wrapText="1"/>
    </xf>
    <xf numFmtId="0" fontId="30" fillId="0" borderId="717" xfId="0" applyFont="1" applyBorder="1" applyAlignment="1">
      <alignment horizontal="center" vertical="center" wrapText="1"/>
    </xf>
    <xf numFmtId="0" fontId="30" fillId="0" borderId="718" xfId="0" applyFont="1" applyBorder="1" applyAlignment="1">
      <alignment horizontal="center" vertical="center" wrapText="1"/>
    </xf>
    <xf numFmtId="0" fontId="30" fillId="0" borderId="719" xfId="0" applyFont="1" applyBorder="1" applyAlignment="1">
      <alignment horizontal="center" vertical="center" wrapText="1"/>
    </xf>
    <xf numFmtId="0" fontId="30" fillId="0" borderId="720" xfId="0" applyFont="1" applyBorder="1" applyAlignment="1">
      <alignment horizontal="center" vertical="center" wrapText="1"/>
    </xf>
    <xf numFmtId="0" fontId="30" fillId="0" borderId="721" xfId="0" applyFont="1" applyBorder="1" applyAlignment="1">
      <alignment horizontal="center" vertical="center" wrapText="1"/>
    </xf>
    <xf numFmtId="0" fontId="30" fillId="0" borderId="722" xfId="0" applyFont="1" applyBorder="1" applyAlignment="1">
      <alignment horizontal="center" vertical="center" wrapText="1"/>
    </xf>
    <xf numFmtId="0" fontId="30" fillId="0" borderId="723" xfId="0" applyFont="1" applyBorder="1" applyAlignment="1">
      <alignment horizontal="center" vertical="center" wrapText="1"/>
    </xf>
    <xf numFmtId="0" fontId="30" fillId="0" borderId="724" xfId="0" applyFont="1" applyBorder="1" applyAlignment="1">
      <alignment horizontal="center" vertical="center" wrapText="1"/>
    </xf>
    <xf numFmtId="0" fontId="30" fillId="0" borderId="725" xfId="0" applyFont="1" applyBorder="1" applyAlignment="1">
      <alignment horizontal="center" vertical="center" wrapText="1"/>
    </xf>
    <xf numFmtId="0" fontId="30" fillId="0" borderId="726" xfId="0" applyFont="1" applyBorder="1" applyAlignment="1">
      <alignment horizontal="center" vertical="center" wrapText="1"/>
    </xf>
    <xf numFmtId="0" fontId="30" fillId="0" borderId="727" xfId="0" applyFont="1" applyBorder="1" applyAlignment="1">
      <alignment horizontal="center" vertical="center" wrapText="1"/>
    </xf>
    <xf numFmtId="0" fontId="30" fillId="0" borderId="728" xfId="0" applyFont="1" applyBorder="1" applyAlignment="1">
      <alignment horizontal="center" vertical="center" wrapText="1"/>
    </xf>
    <xf numFmtId="0" fontId="30" fillId="0" borderId="729" xfId="0" applyFont="1" applyBorder="1" applyAlignment="1">
      <alignment horizontal="center" vertical="center" wrapText="1"/>
    </xf>
    <xf numFmtId="0" fontId="30" fillId="0" borderId="730" xfId="0" applyFont="1" applyBorder="1" applyAlignment="1">
      <alignment horizontal="center" vertical="center" wrapText="1"/>
    </xf>
    <xf numFmtId="0" fontId="30" fillId="0" borderId="731" xfId="0" applyFont="1" applyBorder="1" applyAlignment="1">
      <alignment horizontal="center" vertical="center" wrapText="1"/>
    </xf>
    <xf numFmtId="0" fontId="30" fillId="0" borderId="781" xfId="0" applyFont="1" applyBorder="1" applyAlignment="1">
      <alignment horizontal="center" vertical="center" wrapText="1"/>
    </xf>
    <xf numFmtId="0" fontId="30" fillId="0" borderId="782" xfId="0" applyFont="1" applyBorder="1" applyAlignment="1">
      <alignment horizontal="center" vertical="center" wrapText="1"/>
    </xf>
    <xf numFmtId="0" fontId="30" fillId="0" borderId="783" xfId="0" applyFont="1" applyBorder="1" applyAlignment="1">
      <alignment horizontal="center" vertical="center" wrapText="1"/>
    </xf>
    <xf numFmtId="0" fontId="30" fillId="0" borderId="784" xfId="0" applyFont="1" applyBorder="1" applyAlignment="1">
      <alignment horizontal="center" vertical="center" wrapText="1"/>
    </xf>
    <xf numFmtId="0" fontId="30" fillId="0" borderId="785" xfId="0" applyFont="1" applyBorder="1" applyAlignment="1">
      <alignment horizontal="center" vertical="center" wrapText="1"/>
    </xf>
    <xf numFmtId="0" fontId="30" fillId="0" borderId="786" xfId="0" applyFont="1" applyBorder="1" applyAlignment="1">
      <alignment horizontal="center" vertical="center" wrapText="1"/>
    </xf>
    <xf numFmtId="0" fontId="30" fillId="0" borderId="787" xfId="0" applyFont="1" applyBorder="1" applyAlignment="1">
      <alignment horizontal="center" vertical="center" wrapText="1"/>
    </xf>
    <xf numFmtId="0" fontId="30" fillId="0" borderId="788" xfId="0" applyFont="1" applyBorder="1" applyAlignment="1">
      <alignment horizontal="center" vertical="center" wrapText="1"/>
    </xf>
    <xf numFmtId="0" fontId="30" fillId="0" borderId="789" xfId="0" applyFont="1" applyBorder="1" applyAlignment="1">
      <alignment horizontal="center" vertical="center" wrapText="1"/>
    </xf>
    <xf numFmtId="0" fontId="30" fillId="0" borderId="790" xfId="0" applyFont="1" applyBorder="1" applyAlignment="1">
      <alignment horizontal="center" vertical="center" wrapText="1"/>
    </xf>
    <xf numFmtId="0" fontId="30" fillId="0" borderId="791" xfId="0" applyFont="1" applyBorder="1" applyAlignment="1">
      <alignment horizontal="center" vertical="center" wrapText="1"/>
    </xf>
    <xf numFmtId="0" fontId="30" fillId="0" borderId="792" xfId="0" applyFont="1" applyBorder="1" applyAlignment="1">
      <alignment horizontal="center" vertical="center" wrapText="1"/>
    </xf>
    <xf numFmtId="0" fontId="30" fillId="0" borderId="793" xfId="0" applyFont="1" applyBorder="1" applyAlignment="1">
      <alignment horizontal="center" vertical="center" wrapText="1"/>
    </xf>
    <xf numFmtId="0" fontId="30" fillId="0" borderId="794" xfId="0" applyFont="1" applyBorder="1" applyAlignment="1">
      <alignment horizontal="center" vertical="center" wrapText="1"/>
    </xf>
    <xf numFmtId="0" fontId="30" fillId="0" borderId="795" xfId="0" applyFont="1" applyBorder="1" applyAlignment="1">
      <alignment horizontal="center" vertical="center" wrapText="1"/>
    </xf>
    <xf numFmtId="0" fontId="30" fillId="0" borderId="796" xfId="0" applyFont="1" applyBorder="1" applyAlignment="1">
      <alignment horizontal="center" vertical="center" wrapText="1"/>
    </xf>
    <xf numFmtId="0" fontId="30" fillId="0" borderId="797" xfId="0" applyFont="1" applyBorder="1" applyAlignment="1">
      <alignment horizontal="center" vertical="center" wrapText="1"/>
    </xf>
    <xf numFmtId="0" fontId="30" fillId="0" borderId="798" xfId="0" applyFont="1" applyBorder="1" applyAlignment="1">
      <alignment horizontal="center" vertical="center" wrapText="1"/>
    </xf>
    <xf numFmtId="0" fontId="30" fillId="0" borderId="799" xfId="0" applyFont="1" applyBorder="1" applyAlignment="1">
      <alignment horizontal="center" vertical="center" wrapText="1"/>
    </xf>
    <xf numFmtId="0" fontId="30" fillId="0" borderId="800" xfId="0" applyFont="1" applyBorder="1" applyAlignment="1">
      <alignment horizontal="center" vertical="center" wrapText="1"/>
    </xf>
    <xf numFmtId="0" fontId="30" fillId="0" borderId="801" xfId="0" applyFont="1" applyBorder="1" applyAlignment="1">
      <alignment horizontal="center" vertical="center" wrapText="1"/>
    </xf>
    <xf numFmtId="0" fontId="30" fillId="0" borderId="802" xfId="0" applyFont="1" applyBorder="1" applyAlignment="1">
      <alignment horizontal="center" vertical="center" wrapText="1"/>
    </xf>
    <xf numFmtId="0" fontId="30" fillId="0" borderId="803" xfId="0" applyFont="1" applyBorder="1" applyAlignment="1">
      <alignment horizontal="center" vertical="center" wrapText="1"/>
    </xf>
    <xf numFmtId="0" fontId="30" fillId="0" borderId="732" xfId="0" applyFont="1" applyBorder="1" applyAlignment="1">
      <alignment horizontal="center" vertical="center" wrapText="1"/>
    </xf>
    <xf numFmtId="0" fontId="30" fillId="0" borderId="733" xfId="0" applyFont="1" applyBorder="1" applyAlignment="1">
      <alignment horizontal="center" vertical="center" wrapText="1"/>
    </xf>
    <xf numFmtId="0" fontId="30" fillId="0" borderId="804" xfId="0" applyFont="1" applyBorder="1" applyAlignment="1">
      <alignment horizontal="center" vertical="center" wrapText="1"/>
    </xf>
    <xf numFmtId="0" fontId="30" fillId="0" borderId="805" xfId="0" applyFont="1" applyBorder="1" applyAlignment="1">
      <alignment horizontal="center" vertical="center" wrapText="1"/>
    </xf>
    <xf numFmtId="0" fontId="30" fillId="0" borderId="806" xfId="0" applyFont="1" applyBorder="1" applyAlignment="1">
      <alignment horizontal="center" vertical="center" wrapText="1"/>
    </xf>
    <xf numFmtId="0" fontId="29" fillId="0" borderId="74" xfId="0" applyFont="1" applyBorder="1" applyAlignment="1">
      <alignment horizontal="center" vertical="center"/>
    </xf>
    <xf numFmtId="0" fontId="29" fillId="0" borderId="75" xfId="0" applyFont="1" applyBorder="1" applyAlignment="1">
      <alignment horizontal="center" vertical="center"/>
    </xf>
    <xf numFmtId="0" fontId="30" fillId="0" borderId="96" xfId="0" applyFont="1" applyBorder="1" applyAlignment="1">
      <alignment horizontal="center" vertical="center"/>
    </xf>
    <xf numFmtId="0" fontId="30" fillId="0" borderId="97" xfId="0" applyFont="1" applyBorder="1" applyAlignment="1">
      <alignment horizontal="center" vertical="center"/>
    </xf>
    <xf numFmtId="0" fontId="30" fillId="0" borderId="98" xfId="0" applyFont="1" applyBorder="1" applyAlignment="1">
      <alignment horizontal="center" vertical="center"/>
    </xf>
    <xf numFmtId="0" fontId="30" fillId="0" borderId="99" xfId="0" applyFont="1" applyBorder="1" applyAlignment="1">
      <alignment horizontal="center" vertical="center"/>
    </xf>
    <xf numFmtId="0" fontId="30" fillId="0" borderId="100" xfId="0" applyFont="1" applyBorder="1" applyAlignment="1">
      <alignment horizontal="center" vertical="center"/>
    </xf>
    <xf numFmtId="0" fontId="30" fillId="0" borderId="101" xfId="0" applyFont="1" applyBorder="1" applyAlignment="1">
      <alignment horizontal="center" vertical="center"/>
    </xf>
    <xf numFmtId="0" fontId="30" fillId="0" borderId="102" xfId="0" applyFont="1" applyBorder="1" applyAlignment="1">
      <alignment horizontal="center" vertical="center"/>
    </xf>
    <xf numFmtId="0" fontId="30" fillId="0" borderId="103" xfId="0" applyFont="1" applyBorder="1" applyAlignment="1">
      <alignment horizontal="center" vertical="center"/>
    </xf>
    <xf numFmtId="0" fontId="30" fillId="0" borderId="104" xfId="0" applyFont="1" applyBorder="1" applyAlignment="1">
      <alignment horizontal="center" vertical="center"/>
    </xf>
    <xf numFmtId="0" fontId="30" fillId="0" borderId="105" xfId="0" applyFont="1" applyBorder="1" applyAlignment="1">
      <alignment horizontal="center" vertical="center"/>
    </xf>
    <xf numFmtId="0" fontId="30" fillId="0" borderId="106" xfId="0" applyFont="1" applyBorder="1" applyAlignment="1">
      <alignment horizontal="center" vertical="center"/>
    </xf>
    <xf numFmtId="0" fontId="30" fillId="0" borderId="107" xfId="0" applyFont="1" applyBorder="1" applyAlignment="1">
      <alignment horizontal="center" vertical="center"/>
    </xf>
    <xf numFmtId="0" fontId="30" fillId="0" borderId="108" xfId="0" applyFont="1" applyBorder="1" applyAlignment="1">
      <alignment horizontal="center" vertical="center"/>
    </xf>
    <xf numFmtId="0" fontId="30" fillId="0" borderId="109" xfId="0" applyFont="1" applyBorder="1" applyAlignment="1">
      <alignment horizontal="center" vertical="center"/>
    </xf>
    <xf numFmtId="0" fontId="30" fillId="0" borderId="110" xfId="0" applyFont="1" applyBorder="1" applyAlignment="1">
      <alignment horizontal="center" vertical="center"/>
    </xf>
    <xf numFmtId="0" fontId="30" fillId="0" borderId="111" xfId="0" applyFont="1" applyBorder="1" applyAlignment="1">
      <alignment horizontal="center" vertical="center"/>
    </xf>
    <xf numFmtId="0" fontId="30" fillId="0" borderId="112" xfId="0" applyFont="1" applyBorder="1" applyAlignment="1">
      <alignment horizontal="center" vertical="center"/>
    </xf>
    <xf numFmtId="0" fontId="30" fillId="0" borderId="113" xfId="0" applyFont="1" applyBorder="1" applyAlignment="1">
      <alignment horizontal="center" vertical="center"/>
    </xf>
    <xf numFmtId="0" fontId="30" fillId="0" borderId="114" xfId="0" applyFont="1" applyBorder="1" applyAlignment="1">
      <alignment horizontal="center" vertical="center"/>
    </xf>
    <xf numFmtId="0" fontId="30" fillId="0" borderId="115" xfId="0" applyFont="1" applyBorder="1" applyAlignment="1">
      <alignment horizontal="center" vertical="center"/>
    </xf>
    <xf numFmtId="0" fontId="30" fillId="0" borderId="116" xfId="0" applyFont="1" applyBorder="1" applyAlignment="1">
      <alignment horizontal="center" vertical="center"/>
    </xf>
    <xf numFmtId="0" fontId="30" fillId="0" borderId="117" xfId="0" applyFont="1" applyBorder="1" applyAlignment="1">
      <alignment horizontal="center" vertical="center"/>
    </xf>
    <xf numFmtId="0" fontId="30" fillId="0" borderId="118" xfId="0" applyFont="1" applyBorder="1" applyAlignment="1">
      <alignment horizontal="center" vertical="center"/>
    </xf>
    <xf numFmtId="0" fontId="30" fillId="0" borderId="119" xfId="0" applyFont="1" applyBorder="1" applyAlignment="1">
      <alignment horizontal="center" vertical="center"/>
    </xf>
    <xf numFmtId="0" fontId="30" fillId="0" borderId="120" xfId="0" applyFont="1" applyBorder="1" applyAlignment="1">
      <alignment horizontal="center" vertical="center"/>
    </xf>
    <xf numFmtId="0" fontId="30" fillId="0" borderId="121" xfId="0" applyFont="1" applyBorder="1" applyAlignment="1">
      <alignment horizontal="center" vertical="center"/>
    </xf>
    <xf numFmtId="0" fontId="30" fillId="0" borderId="122" xfId="0" applyFont="1" applyBorder="1" applyAlignment="1">
      <alignment horizontal="center" vertical="center"/>
    </xf>
    <xf numFmtId="0" fontId="30" fillId="0" borderId="123" xfId="0" applyFont="1" applyBorder="1" applyAlignment="1">
      <alignment horizontal="center" vertical="center"/>
    </xf>
    <xf numFmtId="0" fontId="30" fillId="0" borderId="124" xfId="0" applyFont="1" applyBorder="1" applyAlignment="1">
      <alignment horizontal="center" vertical="center"/>
    </xf>
    <xf numFmtId="0" fontId="30" fillId="0" borderId="125" xfId="0" applyFont="1" applyBorder="1" applyAlignment="1">
      <alignment horizontal="center" vertical="center"/>
    </xf>
    <xf numFmtId="0" fontId="30" fillId="0" borderId="126" xfId="0" applyFont="1" applyBorder="1" applyAlignment="1">
      <alignment horizontal="center" vertical="center"/>
    </xf>
    <xf numFmtId="0" fontId="30" fillId="0" borderId="127" xfId="0" applyFont="1" applyBorder="1" applyAlignment="1">
      <alignment horizontal="center" vertical="center"/>
    </xf>
    <xf numFmtId="0" fontId="30" fillId="0" borderId="128" xfId="0" applyFont="1" applyBorder="1" applyAlignment="1">
      <alignment horizontal="center" vertical="center"/>
    </xf>
    <xf numFmtId="0" fontId="30" fillId="0" borderId="129" xfId="0" applyFont="1" applyBorder="1" applyAlignment="1">
      <alignment horizontal="center" vertical="center"/>
    </xf>
    <xf numFmtId="0" fontId="30" fillId="0" borderId="130" xfId="0" applyFont="1" applyBorder="1" applyAlignment="1">
      <alignment horizontal="center" vertical="center"/>
    </xf>
    <xf numFmtId="0" fontId="30" fillId="0" borderId="131" xfId="0" applyFont="1" applyBorder="1" applyAlignment="1">
      <alignment horizontal="center" vertical="center"/>
    </xf>
    <xf numFmtId="0" fontId="30" fillId="0" borderId="132" xfId="0" applyFont="1" applyBorder="1" applyAlignment="1">
      <alignment horizontal="center" vertical="center"/>
    </xf>
    <xf numFmtId="0" fontId="30" fillId="0" borderId="133" xfId="0" applyFont="1" applyBorder="1" applyAlignment="1">
      <alignment horizontal="center" vertical="center"/>
    </xf>
    <xf numFmtId="0" fontId="30" fillId="0" borderId="134" xfId="0" applyFont="1" applyBorder="1" applyAlignment="1">
      <alignment horizontal="center" vertical="center"/>
    </xf>
    <xf numFmtId="0" fontId="30" fillId="0" borderId="135" xfId="0" applyFont="1" applyBorder="1" applyAlignment="1">
      <alignment horizontal="center" vertical="center"/>
    </xf>
    <xf numFmtId="0" fontId="30" fillId="0" borderId="136" xfId="0" applyFont="1" applyBorder="1" applyAlignment="1">
      <alignment horizontal="center" vertical="center"/>
    </xf>
    <xf numFmtId="0" fontId="30" fillId="0" borderId="137" xfId="0" applyFont="1" applyBorder="1" applyAlignment="1">
      <alignment horizontal="center" vertical="center"/>
    </xf>
    <xf numFmtId="0" fontId="30" fillId="0" borderId="138" xfId="0" applyFont="1" applyBorder="1" applyAlignment="1">
      <alignment horizontal="center" vertical="center"/>
    </xf>
    <xf numFmtId="0" fontId="30" fillId="0" borderId="139" xfId="0" applyFont="1" applyBorder="1" applyAlignment="1">
      <alignment horizontal="center" vertical="center"/>
    </xf>
    <xf numFmtId="0" fontId="30" fillId="0" borderId="140" xfId="0" applyFont="1" applyBorder="1" applyAlignment="1">
      <alignment horizontal="center" vertical="center"/>
    </xf>
    <xf numFmtId="0" fontId="30" fillId="0" borderId="141" xfId="0" applyFont="1" applyBorder="1" applyAlignment="1">
      <alignment horizontal="center" vertical="center"/>
    </xf>
    <xf numFmtId="0" fontId="30" fillId="0" borderId="142" xfId="0" applyFont="1" applyBorder="1" applyAlignment="1">
      <alignment horizontal="center" vertical="center"/>
    </xf>
    <xf numFmtId="0" fontId="30" fillId="0" borderId="143" xfId="0" applyFont="1" applyBorder="1" applyAlignment="1">
      <alignment horizontal="center" vertical="center"/>
    </xf>
    <xf numFmtId="0" fontId="30" fillId="0" borderId="144" xfId="0" applyFont="1" applyBorder="1" applyAlignment="1">
      <alignment horizontal="center" vertical="center"/>
    </xf>
    <xf numFmtId="0" fontId="1" fillId="0" borderId="159" xfId="0" applyFont="1" applyBorder="1" applyAlignment="1">
      <alignment horizontal="left" vertical="center" wrapText="1"/>
    </xf>
    <xf numFmtId="0" fontId="1" fillId="0" borderId="160" xfId="0" applyFont="1" applyBorder="1" applyAlignment="1">
      <alignment horizontal="left" vertical="center" wrapText="1"/>
    </xf>
    <xf numFmtId="0" fontId="1" fillId="0" borderId="161" xfId="0" applyFont="1" applyBorder="1" applyAlignment="1">
      <alignment horizontal="left" vertical="center" wrapText="1"/>
    </xf>
    <xf numFmtId="0" fontId="1" fillId="0" borderId="162" xfId="0" applyFont="1" applyBorder="1" applyAlignment="1">
      <alignment horizontal="left" vertical="center" wrapText="1"/>
    </xf>
    <xf numFmtId="0" fontId="1" fillId="0" borderId="163" xfId="0" applyFont="1" applyBorder="1" applyAlignment="1">
      <alignment horizontal="left" vertical="center" wrapText="1"/>
    </xf>
    <xf numFmtId="0" fontId="1" fillId="0" borderId="164" xfId="0" applyFont="1" applyBorder="1" applyAlignment="1">
      <alignment horizontal="left" vertical="center" wrapText="1"/>
    </xf>
    <xf numFmtId="0" fontId="1" fillId="0" borderId="165" xfId="0" applyFont="1" applyBorder="1" applyAlignment="1">
      <alignment horizontal="left" vertical="center" wrapText="1"/>
    </xf>
    <xf numFmtId="0" fontId="1" fillId="0" borderId="166" xfId="0" applyFont="1" applyBorder="1" applyAlignment="1">
      <alignment horizontal="left" vertical="center" wrapText="1"/>
    </xf>
    <xf numFmtId="0" fontId="1" fillId="0" borderId="167" xfId="0" applyFont="1" applyBorder="1" applyAlignment="1">
      <alignment horizontal="left" vertical="center" wrapText="1"/>
    </xf>
    <xf numFmtId="0" fontId="1" fillId="0" borderId="168" xfId="0" applyFont="1" applyBorder="1" applyAlignment="1">
      <alignment horizontal="left" vertical="center" wrapText="1"/>
    </xf>
    <xf numFmtId="0" fontId="1" fillId="0" borderId="169" xfId="0" applyFont="1" applyBorder="1" applyAlignment="1">
      <alignment horizontal="left" vertical="center" wrapText="1"/>
    </xf>
    <xf numFmtId="0" fontId="1" fillId="0" borderId="170" xfId="0" applyFont="1" applyBorder="1" applyAlignment="1">
      <alignment horizontal="left" vertical="center" wrapText="1"/>
    </xf>
    <xf numFmtId="0" fontId="1" fillId="0" borderId="171" xfId="0" applyFont="1" applyBorder="1" applyAlignment="1">
      <alignment horizontal="left" vertical="center" wrapText="1"/>
    </xf>
    <xf numFmtId="0" fontId="1" fillId="0" borderId="172" xfId="0" applyFont="1" applyBorder="1" applyAlignment="1">
      <alignment horizontal="left" vertical="center" wrapText="1"/>
    </xf>
    <xf numFmtId="0" fontId="1" fillId="0" borderId="173" xfId="0" applyFont="1" applyBorder="1" applyAlignment="1">
      <alignment horizontal="left" vertical="center" wrapText="1"/>
    </xf>
    <xf numFmtId="0" fontId="1" fillId="0" borderId="174" xfId="0" applyFont="1" applyBorder="1" applyAlignment="1">
      <alignment horizontal="left" vertical="center" wrapText="1"/>
    </xf>
    <xf numFmtId="0" fontId="1" fillId="0" borderId="175" xfId="0" applyFont="1" applyBorder="1" applyAlignment="1">
      <alignment horizontal="left" vertical="center" wrapText="1"/>
    </xf>
    <xf numFmtId="0" fontId="1" fillId="0" borderId="176" xfId="0" applyFont="1" applyBorder="1" applyAlignment="1">
      <alignment horizontal="left" vertical="center" wrapText="1"/>
    </xf>
    <xf numFmtId="0" fontId="1" fillId="0" borderId="177" xfId="0" applyFont="1" applyBorder="1" applyAlignment="1">
      <alignment horizontal="left" vertical="center" wrapText="1"/>
    </xf>
    <xf numFmtId="0" fontId="1" fillId="0" borderId="178" xfId="0" applyFont="1" applyBorder="1" applyAlignment="1">
      <alignment horizontal="left" vertical="center" wrapText="1"/>
    </xf>
    <xf numFmtId="0" fontId="1" fillId="0" borderId="179" xfId="0" applyFont="1" applyBorder="1" applyAlignment="1">
      <alignment horizontal="left" vertical="center" wrapText="1"/>
    </xf>
    <xf numFmtId="0" fontId="1" fillId="0" borderId="180" xfId="0" applyFont="1" applyBorder="1" applyAlignment="1">
      <alignment horizontal="left" vertical="center" wrapText="1"/>
    </xf>
    <xf numFmtId="0" fontId="1" fillId="0" borderId="181" xfId="0" applyFont="1" applyBorder="1" applyAlignment="1">
      <alignment horizontal="left" vertical="center" wrapText="1"/>
    </xf>
    <xf numFmtId="0" fontId="1" fillId="0" borderId="182" xfId="0" applyFont="1" applyBorder="1" applyAlignment="1">
      <alignment horizontal="center" vertical="center"/>
    </xf>
    <xf numFmtId="0" fontId="1" fillId="0" borderId="183" xfId="0" applyFont="1" applyBorder="1" applyAlignment="1">
      <alignment horizontal="center" vertical="center"/>
    </xf>
    <xf numFmtId="169" fontId="1" fillId="0" borderId="189" xfId="0" applyNumberFormat="1" applyFont="1" applyBorder="1" applyAlignment="1">
      <alignment horizontal="center" vertical="center"/>
    </xf>
    <xf numFmtId="169" fontId="1" fillId="0" borderId="0" xfId="0" applyNumberFormat="1" applyFont="1" applyAlignment="1">
      <alignment horizontal="center" vertical="center"/>
    </xf>
    <xf numFmtId="169" fontId="1" fillId="0" borderId="190" xfId="0" applyNumberFormat="1" applyFont="1" applyBorder="1" applyAlignment="1">
      <alignment horizontal="center" vertical="center"/>
    </xf>
    <xf numFmtId="0" fontId="1" fillId="0" borderId="184" xfId="0" applyFont="1" applyBorder="1" applyAlignment="1">
      <alignment horizontal="center" vertical="center"/>
    </xf>
    <xf numFmtId="0" fontId="1" fillId="0" borderId="185" xfId="0" applyFont="1" applyBorder="1" applyAlignment="1">
      <alignment horizontal="center" vertical="center"/>
    </xf>
    <xf numFmtId="169" fontId="1" fillId="14" borderId="191" xfId="0" applyNumberFormat="1" applyFont="1" applyFill="1" applyBorder="1" applyAlignment="1">
      <alignment horizontal="center" vertical="center"/>
    </xf>
    <xf numFmtId="169" fontId="1" fillId="14" borderId="192" xfId="0" applyNumberFormat="1" applyFont="1" applyFill="1" applyBorder="1" applyAlignment="1">
      <alignment horizontal="center" vertical="center"/>
    </xf>
    <xf numFmtId="169" fontId="1" fillId="14" borderId="193" xfId="0" applyNumberFormat="1" applyFont="1" applyFill="1" applyBorder="1" applyAlignment="1">
      <alignment horizontal="center" vertical="center"/>
    </xf>
    <xf numFmtId="169" fontId="1" fillId="14" borderId="194" xfId="0" applyNumberFormat="1" applyFont="1" applyFill="1" applyBorder="1" applyAlignment="1">
      <alignment horizontal="center" vertical="center"/>
    </xf>
    <xf numFmtId="169" fontId="1" fillId="14" borderId="195" xfId="0" applyNumberFormat="1" applyFont="1" applyFill="1" applyBorder="1" applyAlignment="1">
      <alignment horizontal="center" vertical="center"/>
    </xf>
    <xf numFmtId="0" fontId="1" fillId="0" borderId="186" xfId="0" applyFont="1" applyBorder="1" applyAlignment="1">
      <alignment horizontal="center" vertical="center"/>
    </xf>
    <xf numFmtId="0" fontId="1" fillId="0" borderId="187" xfId="0" applyFont="1" applyBorder="1" applyAlignment="1">
      <alignment horizontal="center" vertical="center"/>
    </xf>
    <xf numFmtId="0" fontId="1" fillId="0" borderId="188" xfId="0" applyFont="1" applyBorder="1" applyAlignment="1">
      <alignment horizontal="center" vertical="center"/>
    </xf>
    <xf numFmtId="0" fontId="1" fillId="0" borderId="157" xfId="0" applyFont="1" applyBorder="1" applyAlignment="1">
      <alignment horizontal="center" vertical="center"/>
    </xf>
    <xf numFmtId="0" fontId="1" fillId="0" borderId="158" xfId="0" applyFont="1" applyBorder="1" applyAlignment="1">
      <alignment horizontal="center" vertical="center"/>
    </xf>
    <xf numFmtId="0" fontId="1" fillId="0" borderId="154" xfId="0" applyFont="1" applyBorder="1" applyAlignment="1">
      <alignment horizontal="center" vertical="center"/>
    </xf>
    <xf numFmtId="0" fontId="1" fillId="0" borderId="155" xfId="0" applyFont="1" applyBorder="1" applyAlignment="1">
      <alignment horizontal="center" vertical="center"/>
    </xf>
    <xf numFmtId="169" fontId="1" fillId="0" borderId="0" xfId="0" applyNumberFormat="1" applyFont="1" applyAlignment="1">
      <alignment horizontal="right"/>
    </xf>
    <xf numFmtId="0" fontId="30" fillId="0" borderId="734" xfId="0" applyFont="1" applyBorder="1" applyAlignment="1">
      <alignment horizontal="center" vertical="center" wrapText="1"/>
    </xf>
    <xf numFmtId="0" fontId="30" fillId="0" borderId="735" xfId="0" applyFont="1" applyBorder="1" applyAlignment="1">
      <alignment horizontal="center" vertical="center" wrapText="1"/>
    </xf>
    <xf numFmtId="0" fontId="30" fillId="0" borderId="807" xfId="0" applyFont="1" applyBorder="1" applyAlignment="1">
      <alignment horizontal="center" vertical="center" wrapText="1"/>
    </xf>
    <xf numFmtId="0" fontId="30" fillId="0" borderId="808" xfId="0" applyFont="1" applyBorder="1" applyAlignment="1">
      <alignment horizontal="center" vertical="center" wrapText="1"/>
    </xf>
    <xf numFmtId="0" fontId="30" fillId="0" borderId="809" xfId="0" applyFont="1" applyBorder="1" applyAlignment="1">
      <alignment horizontal="center" vertical="center" wrapText="1"/>
    </xf>
    <xf numFmtId="0" fontId="30" fillId="0" borderId="810" xfId="0" applyFont="1" applyBorder="1" applyAlignment="1">
      <alignment horizontal="center" vertical="center" wrapText="1"/>
    </xf>
    <xf numFmtId="0" fontId="30" fillId="0" borderId="811" xfId="0" applyFont="1" applyBorder="1" applyAlignment="1">
      <alignment horizontal="center" vertical="center" wrapText="1"/>
    </xf>
    <xf numFmtId="0" fontId="30" fillId="0" borderId="812" xfId="0" applyFont="1" applyBorder="1" applyAlignment="1">
      <alignment horizontal="center" vertical="center" wrapText="1"/>
    </xf>
    <xf numFmtId="0" fontId="30" fillId="0" borderId="813" xfId="0" applyFont="1" applyBorder="1" applyAlignment="1">
      <alignment horizontal="center" vertical="center" wrapText="1"/>
    </xf>
    <xf numFmtId="0" fontId="29" fillId="0" borderId="78" xfId="0" applyFont="1" applyBorder="1" applyAlignment="1">
      <alignment horizontal="center" vertical="center"/>
    </xf>
    <xf numFmtId="0" fontId="29" fillId="0" borderId="79" xfId="0" applyFont="1" applyBorder="1" applyAlignment="1">
      <alignment horizontal="center" vertical="center"/>
    </xf>
    <xf numFmtId="0" fontId="29" fillId="0" borderId="80" xfId="0" applyFont="1" applyBorder="1" applyAlignment="1">
      <alignment horizontal="center" vertical="center"/>
    </xf>
    <xf numFmtId="0" fontId="29" fillId="0" borderId="76" xfId="0" applyFont="1" applyBorder="1" applyAlignment="1">
      <alignment horizontal="center" vertical="center"/>
    </xf>
    <xf numFmtId="0" fontId="29" fillId="0" borderId="77" xfId="0" applyFont="1" applyBorder="1" applyAlignment="1">
      <alignment horizontal="center" vertical="center"/>
    </xf>
    <xf numFmtId="0" fontId="30" fillId="0" borderId="736" xfId="0" applyFont="1" applyBorder="1" applyAlignment="1">
      <alignment horizontal="center" vertical="center" wrapText="1"/>
    </xf>
    <xf numFmtId="0" fontId="30" fillId="0" borderId="737" xfId="0" applyFont="1" applyBorder="1" applyAlignment="1">
      <alignment horizontal="center" vertical="center" wrapText="1"/>
    </xf>
    <xf numFmtId="0" fontId="30" fillId="0" borderId="738" xfId="0" applyFont="1" applyBorder="1" applyAlignment="1">
      <alignment horizontal="center" vertical="center" wrapText="1"/>
    </xf>
    <xf numFmtId="0" fontId="30" fillId="0" borderId="739" xfId="0" applyFont="1" applyBorder="1" applyAlignment="1">
      <alignment horizontal="center" vertical="center" wrapText="1"/>
    </xf>
    <xf numFmtId="0" fontId="30" fillId="0" borderId="740" xfId="0" applyFont="1" applyBorder="1" applyAlignment="1">
      <alignment horizontal="center" vertical="center" wrapText="1"/>
    </xf>
    <xf numFmtId="0" fontId="30" fillId="0" borderId="741" xfId="0" applyFont="1" applyBorder="1" applyAlignment="1">
      <alignment horizontal="center" vertical="center" wrapText="1"/>
    </xf>
    <xf numFmtId="0" fontId="30" fillId="0" borderId="742" xfId="0" applyFont="1" applyBorder="1" applyAlignment="1">
      <alignment horizontal="center" vertical="center" wrapText="1"/>
    </xf>
    <xf numFmtId="0" fontId="30" fillId="0" borderId="743" xfId="0" applyFont="1" applyBorder="1" applyAlignment="1">
      <alignment horizontal="center" vertical="center" wrapText="1"/>
    </xf>
    <xf numFmtId="0" fontId="30" fillId="0" borderId="744" xfId="0" applyFont="1" applyBorder="1" applyAlignment="1">
      <alignment horizontal="center" vertical="center" wrapText="1"/>
    </xf>
    <xf numFmtId="0" fontId="30" fillId="0" borderId="745" xfId="0" applyFont="1" applyBorder="1" applyAlignment="1">
      <alignment horizontal="center" vertical="center" wrapText="1"/>
    </xf>
    <xf numFmtId="0" fontId="30" fillId="0" borderId="746" xfId="0" applyFont="1" applyBorder="1" applyAlignment="1">
      <alignment horizontal="center" vertical="center" wrapText="1"/>
    </xf>
    <xf numFmtId="0" fontId="30" fillId="0" borderId="747" xfId="0" applyFont="1" applyBorder="1" applyAlignment="1">
      <alignment horizontal="center" vertical="center" wrapText="1"/>
    </xf>
    <xf numFmtId="0" fontId="30" fillId="0" borderId="748" xfId="0" applyFont="1" applyBorder="1" applyAlignment="1">
      <alignment horizontal="center" vertical="center" wrapText="1"/>
    </xf>
    <xf numFmtId="0" fontId="30" fillId="0" borderId="749" xfId="0" applyFont="1" applyBorder="1" applyAlignment="1">
      <alignment horizontal="center" vertical="center" wrapText="1"/>
    </xf>
    <xf numFmtId="0" fontId="30" fillId="0" borderId="771" xfId="0" applyFont="1" applyBorder="1" applyAlignment="1">
      <alignment horizontal="center" vertical="center" wrapText="1"/>
    </xf>
    <xf numFmtId="0" fontId="30" fillId="0" borderId="818" xfId="0" applyFont="1" applyBorder="1" applyAlignment="1">
      <alignment horizontal="center" vertical="center" wrapText="1"/>
    </xf>
    <xf numFmtId="0" fontId="30" fillId="0" borderId="819" xfId="0" applyFont="1" applyBorder="1" applyAlignment="1">
      <alignment horizontal="center" vertical="center" wrapText="1"/>
    </xf>
    <xf numFmtId="0" fontId="30" fillId="0" borderId="820" xfId="0" applyFont="1" applyBorder="1" applyAlignment="1">
      <alignment horizontal="center" vertical="center" wrapText="1"/>
    </xf>
    <xf numFmtId="0" fontId="30" fillId="0" borderId="821" xfId="0" applyFont="1" applyBorder="1" applyAlignment="1">
      <alignment horizontal="center" vertical="center" wrapText="1"/>
    </xf>
    <xf numFmtId="0" fontId="29" fillId="0" borderId="85" xfId="0" applyFont="1" applyBorder="1" applyAlignment="1">
      <alignment horizontal="center" vertical="center"/>
    </xf>
    <xf numFmtId="0" fontId="29" fillId="0" borderId="86" xfId="0" applyFont="1" applyBorder="1" applyAlignment="1">
      <alignment horizontal="center" vertical="center"/>
    </xf>
    <xf numFmtId="0" fontId="29" fillId="0" borderId="87" xfId="0" applyFont="1" applyBorder="1" applyAlignment="1">
      <alignment horizontal="center" vertical="center"/>
    </xf>
    <xf numFmtId="0" fontId="29" fillId="0" borderId="88" xfId="0" applyFont="1" applyBorder="1" applyAlignment="1">
      <alignment horizontal="center" vertical="center"/>
    </xf>
    <xf numFmtId="0" fontId="30" fillId="0" borderId="814" xfId="0" applyFont="1" applyBorder="1" applyAlignment="1">
      <alignment horizontal="center" vertical="center" wrapText="1"/>
    </xf>
    <xf numFmtId="0" fontId="30" fillId="0" borderId="815" xfId="0" applyFont="1" applyBorder="1" applyAlignment="1">
      <alignment horizontal="center" vertical="center" wrapText="1"/>
    </xf>
    <xf numFmtId="0" fontId="30" fillId="0" borderId="816" xfId="0" applyFont="1" applyBorder="1" applyAlignment="1">
      <alignment horizontal="center" vertical="center" wrapText="1"/>
    </xf>
    <xf numFmtId="0" fontId="30" fillId="0" borderId="817" xfId="0" applyFont="1" applyBorder="1" applyAlignment="1">
      <alignment horizontal="center" vertical="center" wrapText="1"/>
    </xf>
    <xf numFmtId="0" fontId="29" fillId="0" borderId="81" xfId="0" applyFont="1" applyBorder="1" applyAlignment="1">
      <alignment horizontal="center" vertical="center"/>
    </xf>
    <xf numFmtId="0" fontId="29" fillId="0" borderId="82" xfId="0" applyFont="1" applyBorder="1" applyAlignment="1">
      <alignment horizontal="center" vertical="center"/>
    </xf>
    <xf numFmtId="0" fontId="29" fillId="0" borderId="83" xfId="0" applyFont="1" applyBorder="1" applyAlignment="1">
      <alignment horizontal="center" vertical="center"/>
    </xf>
    <xf numFmtId="0" fontId="29" fillId="0" borderId="84" xfId="0" applyFont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768" xfId="0" applyFont="1" applyBorder="1" applyAlignment="1">
      <alignment horizontal="center" vertical="center"/>
    </xf>
    <xf numFmtId="0" fontId="1" fillId="0" borderId="769" xfId="0" applyFont="1" applyBorder="1" applyAlignment="1">
      <alignment horizontal="center" vertical="center"/>
    </xf>
    <xf numFmtId="0" fontId="1" fillId="0" borderId="770" xfId="0" applyFont="1" applyBorder="1" applyAlignment="1">
      <alignment horizontal="center" vertical="center"/>
    </xf>
    <xf numFmtId="0" fontId="1" fillId="0" borderId="145" xfId="0" applyFont="1" applyBorder="1" applyAlignment="1">
      <alignment horizontal="center" vertical="center"/>
    </xf>
    <xf numFmtId="0" fontId="1" fillId="0" borderId="696" xfId="0" applyFont="1" applyBorder="1" applyAlignment="1">
      <alignment horizontal="center" vertical="center"/>
    </xf>
    <xf numFmtId="0" fontId="1" fillId="0" borderId="697" xfId="0" applyFont="1" applyBorder="1" applyAlignment="1">
      <alignment horizontal="center" vertical="center"/>
    </xf>
    <xf numFmtId="0" fontId="1" fillId="0" borderId="698" xfId="0" applyFont="1" applyBorder="1" applyAlignment="1">
      <alignment horizontal="center" vertical="center"/>
    </xf>
    <xf numFmtId="0" fontId="1" fillId="0" borderId="699" xfId="0" applyFont="1" applyBorder="1" applyAlignment="1">
      <alignment horizontal="center" vertical="center"/>
    </xf>
    <xf numFmtId="0" fontId="1" fillId="0" borderId="700" xfId="0" applyFont="1" applyBorder="1" applyAlignment="1">
      <alignment horizontal="center" vertical="center"/>
    </xf>
    <xf numFmtId="0" fontId="1" fillId="0" borderId="701" xfId="0" applyFont="1" applyBorder="1" applyAlignment="1">
      <alignment horizontal="center" vertical="center"/>
    </xf>
    <xf numFmtId="0" fontId="1" fillId="0" borderId="702" xfId="0" applyFont="1" applyBorder="1" applyAlignment="1">
      <alignment horizontal="center" vertical="center"/>
    </xf>
    <xf numFmtId="0" fontId="1" fillId="0" borderId="771" xfId="0" applyFont="1" applyBorder="1" applyAlignment="1">
      <alignment horizontal="center" vertical="center"/>
    </xf>
    <xf numFmtId="0" fontId="1" fillId="0" borderId="772" xfId="0" applyFont="1" applyBorder="1" applyAlignment="1">
      <alignment horizontal="center" vertical="center"/>
    </xf>
    <xf numFmtId="0" fontId="1" fillId="0" borderId="773" xfId="0" applyFont="1" applyBorder="1" applyAlignment="1">
      <alignment horizontal="center" vertical="center"/>
    </xf>
    <xf numFmtId="0" fontId="1" fillId="0" borderId="774" xfId="0" applyFont="1" applyBorder="1" applyAlignment="1">
      <alignment horizontal="center" vertical="center"/>
    </xf>
    <xf numFmtId="14" fontId="1" fillId="14" borderId="831" xfId="0" applyNumberFormat="1" applyFont="1" applyFill="1" applyBorder="1" applyAlignment="1">
      <alignment horizontal="center" vertical="center"/>
    </xf>
    <xf numFmtId="14" fontId="1" fillId="14" borderId="843" xfId="0" applyNumberFormat="1" applyFont="1" applyFill="1" applyBorder="1" applyAlignment="1">
      <alignment horizontal="center" vertical="center"/>
    </xf>
    <xf numFmtId="14" fontId="1" fillId="14" borderId="844" xfId="0" applyNumberFormat="1" applyFont="1" applyFill="1" applyBorder="1" applyAlignment="1">
      <alignment horizontal="center" vertical="center"/>
    </xf>
    <xf numFmtId="14" fontId="1" fillId="14" borderId="845" xfId="0" applyNumberFormat="1" applyFont="1" applyFill="1" applyBorder="1" applyAlignment="1">
      <alignment horizontal="center" vertical="center"/>
    </xf>
    <xf numFmtId="14" fontId="1" fillId="14" borderId="822" xfId="0" applyNumberFormat="1" applyFont="1" applyFill="1" applyBorder="1" applyAlignment="1">
      <alignment horizontal="center" vertical="center"/>
    </xf>
    <xf numFmtId="14" fontId="1" fillId="14" borderId="840" xfId="0" applyNumberFormat="1" applyFont="1" applyFill="1" applyBorder="1" applyAlignment="1">
      <alignment horizontal="center" vertical="center"/>
    </xf>
    <xf numFmtId="14" fontId="1" fillId="14" borderId="841" xfId="0" applyNumberFormat="1" applyFont="1" applyFill="1" applyBorder="1" applyAlignment="1">
      <alignment horizontal="center" vertical="center"/>
    </xf>
    <xf numFmtId="14" fontId="1" fillId="14" borderId="842" xfId="0" applyNumberFormat="1" applyFont="1" applyFill="1" applyBorder="1" applyAlignment="1">
      <alignment horizontal="center" vertical="center"/>
    </xf>
    <xf numFmtId="0" fontId="1" fillId="0" borderId="59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649" xfId="0" applyFont="1" applyBorder="1" applyAlignment="1">
      <alignment horizontal="left"/>
    </xf>
    <xf numFmtId="0" fontId="1" fillId="0" borderId="672" xfId="0" applyFont="1" applyBorder="1" applyAlignment="1">
      <alignment horizontal="center"/>
    </xf>
    <xf numFmtId="0" fontId="1" fillId="0" borderId="673" xfId="0" applyFont="1" applyBorder="1" applyAlignment="1">
      <alignment horizontal="center"/>
    </xf>
    <xf numFmtId="0" fontId="1" fillId="0" borderId="674" xfId="0" applyFont="1" applyBorder="1" applyAlignment="1">
      <alignment horizontal="center"/>
    </xf>
    <xf numFmtId="0" fontId="1" fillId="0" borderId="675" xfId="0" applyFont="1" applyBorder="1" applyAlignment="1">
      <alignment horizontal="center"/>
    </xf>
    <xf numFmtId="0" fontId="1" fillId="0" borderId="676" xfId="0" applyFont="1" applyBorder="1" applyAlignment="1">
      <alignment horizontal="center"/>
    </xf>
    <xf numFmtId="0" fontId="1" fillId="0" borderId="677" xfId="0" applyFont="1" applyBorder="1" applyAlignment="1">
      <alignment horizontal="center"/>
    </xf>
    <xf numFmtId="0" fontId="1" fillId="0" borderId="678" xfId="0" applyFont="1" applyBorder="1" applyAlignment="1">
      <alignment horizontal="center"/>
    </xf>
    <xf numFmtId="0" fontId="1" fillId="0" borderId="679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0" borderId="680" xfId="0" applyFont="1" applyBorder="1" applyAlignment="1">
      <alignment horizontal="center" vertical="center"/>
    </xf>
    <xf numFmtId="0" fontId="1" fillId="0" borderId="681" xfId="0" applyFont="1" applyBorder="1" applyAlignment="1">
      <alignment horizontal="center" vertical="center"/>
    </xf>
    <xf numFmtId="0" fontId="1" fillId="0" borderId="682" xfId="0" applyFont="1" applyBorder="1" applyAlignment="1">
      <alignment horizontal="center" vertical="center"/>
    </xf>
    <xf numFmtId="0" fontId="1" fillId="0" borderId="683" xfId="0" applyFont="1" applyBorder="1" applyAlignment="1">
      <alignment horizontal="center" vertical="center"/>
    </xf>
    <xf numFmtId="0" fontId="1" fillId="0" borderId="684" xfId="0" applyFont="1" applyBorder="1" applyAlignment="1">
      <alignment horizontal="center" vertical="center"/>
    </xf>
    <xf numFmtId="0" fontId="1" fillId="0" borderId="685" xfId="0" applyFont="1" applyBorder="1" applyAlignment="1">
      <alignment horizontal="center" vertical="center"/>
    </xf>
    <xf numFmtId="0" fontId="1" fillId="0" borderId="686" xfId="0" applyFont="1" applyBorder="1" applyAlignment="1">
      <alignment horizontal="center" vertical="center"/>
    </xf>
    <xf numFmtId="0" fontId="1" fillId="0" borderId="687" xfId="0" applyFont="1" applyBorder="1" applyAlignment="1">
      <alignment horizontal="center" vertical="center"/>
    </xf>
    <xf numFmtId="0" fontId="1" fillId="0" borderId="750" xfId="0" applyFont="1" applyBorder="1" applyAlignment="1">
      <alignment horizontal="center" vertical="center"/>
    </xf>
    <xf numFmtId="0" fontId="1" fillId="0" borderId="751" xfId="0" applyFont="1" applyBorder="1" applyAlignment="1">
      <alignment horizontal="center" vertical="center"/>
    </xf>
    <xf numFmtId="0" fontId="1" fillId="0" borderId="752" xfId="0" applyFont="1" applyBorder="1" applyAlignment="1">
      <alignment horizontal="center" vertical="center"/>
    </xf>
    <xf numFmtId="0" fontId="1" fillId="0" borderId="753" xfId="0" applyFont="1" applyBorder="1" applyAlignment="1">
      <alignment horizontal="center" vertical="center"/>
    </xf>
    <xf numFmtId="0" fontId="1" fillId="0" borderId="754" xfId="0" applyFont="1" applyBorder="1" applyAlignment="1">
      <alignment horizontal="center" vertical="center"/>
    </xf>
    <xf numFmtId="0" fontId="1" fillId="0" borderId="755" xfId="0" applyFont="1" applyBorder="1" applyAlignment="1">
      <alignment horizontal="center" vertical="center"/>
    </xf>
    <xf numFmtId="0" fontId="1" fillId="0" borderId="756" xfId="0" applyFont="1" applyBorder="1" applyAlignment="1">
      <alignment horizontal="center" vertical="center"/>
    </xf>
    <xf numFmtId="0" fontId="1" fillId="0" borderId="757" xfId="0" applyFont="1" applyBorder="1" applyAlignment="1">
      <alignment horizontal="center" vertical="center"/>
    </xf>
    <xf numFmtId="0" fontId="1" fillId="0" borderId="758" xfId="0" applyFont="1" applyBorder="1" applyAlignment="1">
      <alignment horizontal="center" vertical="center"/>
    </xf>
    <xf numFmtId="1" fontId="1" fillId="0" borderId="822" xfId="0" applyNumberFormat="1" applyFont="1" applyBorder="1" applyAlignment="1">
      <alignment horizontal="center" vertical="center"/>
    </xf>
    <xf numFmtId="1" fontId="1" fillId="0" borderId="823" xfId="0" applyNumberFormat="1" applyFont="1" applyBorder="1" applyAlignment="1">
      <alignment horizontal="center" vertical="center"/>
    </xf>
    <xf numFmtId="1" fontId="1" fillId="0" borderId="824" xfId="0" applyNumberFormat="1" applyFont="1" applyBorder="1" applyAlignment="1">
      <alignment horizontal="center" vertical="center"/>
    </xf>
    <xf numFmtId="1" fontId="1" fillId="0" borderId="825" xfId="0" applyNumberFormat="1" applyFont="1" applyBorder="1" applyAlignment="1">
      <alignment horizontal="center" vertical="center"/>
    </xf>
    <xf numFmtId="1" fontId="1" fillId="0" borderId="826" xfId="0" applyNumberFormat="1" applyFont="1" applyBorder="1" applyAlignment="1">
      <alignment horizontal="center" vertical="center"/>
    </xf>
    <xf numFmtId="1" fontId="1" fillId="0" borderId="827" xfId="0" applyNumberFormat="1" applyFont="1" applyBorder="1" applyAlignment="1">
      <alignment horizontal="center" vertical="center"/>
    </xf>
    <xf numFmtId="1" fontId="1" fillId="0" borderId="828" xfId="0" applyNumberFormat="1" applyFont="1" applyBorder="1" applyAlignment="1">
      <alignment horizontal="center" vertical="center"/>
    </xf>
    <xf numFmtId="1" fontId="1" fillId="0" borderId="829" xfId="0" applyNumberFormat="1" applyFont="1" applyBorder="1" applyAlignment="1">
      <alignment horizontal="center" vertical="center"/>
    </xf>
    <xf numFmtId="1" fontId="1" fillId="0" borderId="830" xfId="0" applyNumberFormat="1" applyFont="1" applyBorder="1" applyAlignment="1">
      <alignment horizontal="center" vertical="center"/>
    </xf>
    <xf numFmtId="0" fontId="1" fillId="0" borderId="688" xfId="0" applyFont="1" applyBorder="1" applyAlignment="1">
      <alignment horizontal="center" vertical="center"/>
    </xf>
    <xf numFmtId="0" fontId="1" fillId="0" borderId="689" xfId="0" applyFont="1" applyBorder="1" applyAlignment="1">
      <alignment horizontal="center" vertical="center"/>
    </xf>
    <xf numFmtId="0" fontId="1" fillId="0" borderId="690" xfId="0" applyFont="1" applyBorder="1" applyAlignment="1">
      <alignment horizontal="center" vertical="center"/>
    </xf>
    <xf numFmtId="0" fontId="1" fillId="0" borderId="691" xfId="0" applyFont="1" applyBorder="1" applyAlignment="1">
      <alignment horizontal="center" vertical="center"/>
    </xf>
    <xf numFmtId="0" fontId="1" fillId="0" borderId="692" xfId="0" applyFont="1" applyBorder="1" applyAlignment="1">
      <alignment horizontal="center" vertical="center"/>
    </xf>
    <xf numFmtId="0" fontId="1" fillId="0" borderId="693" xfId="0" applyFont="1" applyBorder="1" applyAlignment="1">
      <alignment horizontal="center" vertical="center"/>
    </xf>
    <xf numFmtId="0" fontId="1" fillId="0" borderId="694" xfId="0" applyFont="1" applyBorder="1" applyAlignment="1">
      <alignment horizontal="center" vertical="center"/>
    </xf>
    <xf numFmtId="0" fontId="1" fillId="0" borderId="695" xfId="0" applyFont="1" applyBorder="1" applyAlignment="1">
      <alignment horizontal="center" vertical="center"/>
    </xf>
    <xf numFmtId="0" fontId="1" fillId="0" borderId="759" xfId="0" applyFont="1" applyBorder="1" applyAlignment="1">
      <alignment horizontal="center" vertical="center"/>
    </xf>
    <xf numFmtId="0" fontId="1" fillId="0" borderId="760" xfId="0" applyFont="1" applyBorder="1" applyAlignment="1">
      <alignment horizontal="center" vertical="center"/>
    </xf>
    <xf numFmtId="0" fontId="1" fillId="0" borderId="761" xfId="0" applyFont="1" applyBorder="1" applyAlignment="1">
      <alignment horizontal="center" vertical="center"/>
    </xf>
    <xf numFmtId="0" fontId="1" fillId="0" borderId="762" xfId="0" applyFont="1" applyBorder="1" applyAlignment="1">
      <alignment horizontal="center" vertical="center"/>
    </xf>
    <xf numFmtId="0" fontId="1" fillId="0" borderId="763" xfId="0" applyFont="1" applyBorder="1" applyAlignment="1">
      <alignment horizontal="center" vertical="center"/>
    </xf>
    <xf numFmtId="0" fontId="1" fillId="0" borderId="764" xfId="0" applyFont="1" applyBorder="1" applyAlignment="1">
      <alignment horizontal="center" vertical="center"/>
    </xf>
    <xf numFmtId="0" fontId="1" fillId="0" borderId="765" xfId="0" applyFont="1" applyBorder="1" applyAlignment="1">
      <alignment horizontal="center" vertical="center"/>
    </xf>
    <xf numFmtId="0" fontId="1" fillId="0" borderId="766" xfId="0" applyFont="1" applyBorder="1" applyAlignment="1">
      <alignment horizontal="center" vertical="center"/>
    </xf>
    <xf numFmtId="0" fontId="1" fillId="0" borderId="767" xfId="0" applyFont="1" applyBorder="1" applyAlignment="1">
      <alignment horizontal="center" vertical="center"/>
    </xf>
    <xf numFmtId="14" fontId="1" fillId="14" borderId="832" xfId="0" applyNumberFormat="1" applyFont="1" applyFill="1" applyBorder="1" applyAlignment="1">
      <alignment horizontal="center" vertical="center"/>
    </xf>
    <xf numFmtId="14" fontId="1" fillId="14" borderId="833" xfId="0" applyNumberFormat="1" applyFont="1" applyFill="1" applyBorder="1" applyAlignment="1">
      <alignment horizontal="center" vertical="center"/>
    </xf>
    <xf numFmtId="14" fontId="1" fillId="14" borderId="834" xfId="0" applyNumberFormat="1" applyFont="1" applyFill="1" applyBorder="1" applyAlignment="1">
      <alignment horizontal="center" vertical="center"/>
    </xf>
    <xf numFmtId="14" fontId="1" fillId="14" borderId="835" xfId="0" applyNumberFormat="1" applyFont="1" applyFill="1" applyBorder="1" applyAlignment="1">
      <alignment horizontal="center" vertical="center"/>
    </xf>
    <xf numFmtId="14" fontId="1" fillId="14" borderId="836" xfId="0" applyNumberFormat="1" applyFont="1" applyFill="1" applyBorder="1" applyAlignment="1">
      <alignment horizontal="center" vertical="center"/>
    </xf>
    <xf numFmtId="14" fontId="1" fillId="14" borderId="837" xfId="0" applyNumberFormat="1" applyFont="1" applyFill="1" applyBorder="1" applyAlignment="1">
      <alignment horizontal="center" vertical="center"/>
    </xf>
    <xf numFmtId="14" fontId="1" fillId="14" borderId="838" xfId="0" applyNumberFormat="1" applyFont="1" applyFill="1" applyBorder="1" applyAlignment="1">
      <alignment horizontal="center" vertical="center"/>
    </xf>
    <xf numFmtId="14" fontId="1" fillId="14" borderId="839" xfId="0" applyNumberFormat="1" applyFont="1" applyFill="1" applyBorder="1" applyAlignment="1">
      <alignment horizontal="center" vertical="center"/>
    </xf>
    <xf numFmtId="14" fontId="1" fillId="0" borderId="613" xfId="0" applyNumberFormat="1" applyFont="1" applyBorder="1" applyAlignment="1">
      <alignment horizontal="center"/>
    </xf>
    <xf numFmtId="14" fontId="1" fillId="0" borderId="614" xfId="0" applyNumberFormat="1" applyFont="1" applyBorder="1" applyAlignment="1">
      <alignment horizontal="center"/>
    </xf>
    <xf numFmtId="14" fontId="1" fillId="0" borderId="615" xfId="0" applyNumberFormat="1" applyFont="1" applyBorder="1" applyAlignment="1">
      <alignment horizontal="center"/>
    </xf>
    <xf numFmtId="14" fontId="1" fillId="0" borderId="616" xfId="0" applyNumberFormat="1" applyFont="1" applyBorder="1" applyAlignment="1">
      <alignment horizontal="center"/>
    </xf>
    <xf numFmtId="14" fontId="1" fillId="0" borderId="617" xfId="0" applyNumberFormat="1" applyFont="1" applyBorder="1" applyAlignment="1">
      <alignment horizontal="center"/>
    </xf>
    <xf numFmtId="14" fontId="1" fillId="0" borderId="618" xfId="0" applyNumberFormat="1" applyFont="1" applyBorder="1" applyAlignment="1">
      <alignment horizontal="center"/>
    </xf>
    <xf numFmtId="14" fontId="1" fillId="0" borderId="619" xfId="0" applyNumberFormat="1" applyFont="1" applyBorder="1" applyAlignment="1">
      <alignment horizontal="center"/>
    </xf>
    <xf numFmtId="14" fontId="1" fillId="0" borderId="620" xfId="0" applyNumberFormat="1" applyFont="1" applyBorder="1" applyAlignment="1">
      <alignment horizontal="center"/>
    </xf>
    <xf numFmtId="0" fontId="1" fillId="14" borderId="196" xfId="0" applyFont="1" applyFill="1" applyBorder="1" applyAlignment="1">
      <alignment horizontal="center" vertical="center"/>
    </xf>
    <xf numFmtId="0" fontId="1" fillId="14" borderId="654" xfId="0" applyFont="1" applyFill="1" applyBorder="1" applyAlignment="1">
      <alignment horizontal="center" vertical="center"/>
    </xf>
    <xf numFmtId="0" fontId="1" fillId="14" borderId="655" xfId="0" applyFont="1" applyFill="1" applyBorder="1" applyAlignment="1">
      <alignment horizontal="center" vertical="center"/>
    </xf>
    <xf numFmtId="0" fontId="1" fillId="14" borderId="656" xfId="0" applyFont="1" applyFill="1" applyBorder="1" applyAlignment="1">
      <alignment horizontal="center" vertical="center"/>
    </xf>
    <xf numFmtId="0" fontId="1" fillId="14" borderId="657" xfId="0" applyFont="1" applyFill="1" applyBorder="1" applyAlignment="1">
      <alignment horizontal="center" vertical="center"/>
    </xf>
    <xf numFmtId="0" fontId="1" fillId="14" borderId="658" xfId="0" applyFont="1" applyFill="1" applyBorder="1" applyAlignment="1">
      <alignment horizontal="center" vertical="center"/>
    </xf>
    <xf numFmtId="0" fontId="1" fillId="14" borderId="659" xfId="0" applyFont="1" applyFill="1" applyBorder="1" applyAlignment="1">
      <alignment horizontal="center" vertical="center"/>
    </xf>
    <xf numFmtId="0" fontId="1" fillId="14" borderId="660" xfId="0" applyFont="1" applyFill="1" applyBorder="1" applyAlignment="1">
      <alignment horizontal="center" vertical="center"/>
    </xf>
    <xf numFmtId="14" fontId="1" fillId="14" borderId="196" xfId="0" applyNumberFormat="1" applyFont="1" applyFill="1" applyBorder="1" applyAlignment="1">
      <alignment horizontal="center" vertical="center"/>
    </xf>
    <xf numFmtId="14" fontId="1" fillId="14" borderId="665" xfId="0" applyNumberFormat="1" applyFont="1" applyFill="1" applyBorder="1" applyAlignment="1">
      <alignment horizontal="center" vertical="center"/>
    </xf>
    <xf numFmtId="14" fontId="1" fillId="14" borderId="666" xfId="0" applyNumberFormat="1" applyFont="1" applyFill="1" applyBorder="1" applyAlignment="1">
      <alignment horizontal="center" vertical="center"/>
    </xf>
    <xf numFmtId="14" fontId="1" fillId="14" borderId="667" xfId="0" applyNumberFormat="1" applyFont="1" applyFill="1" applyBorder="1" applyAlignment="1">
      <alignment horizontal="center" vertical="center"/>
    </xf>
    <xf numFmtId="14" fontId="1" fillId="14" borderId="668" xfId="0" applyNumberFormat="1" applyFont="1" applyFill="1" applyBorder="1" applyAlignment="1">
      <alignment horizontal="center" vertical="center"/>
    </xf>
    <xf numFmtId="14" fontId="1" fillId="14" borderId="669" xfId="0" applyNumberFormat="1" applyFont="1" applyFill="1" applyBorder="1" applyAlignment="1">
      <alignment horizontal="center" vertical="center"/>
    </xf>
    <xf numFmtId="14" fontId="1" fillId="14" borderId="670" xfId="0" applyNumberFormat="1" applyFont="1" applyFill="1" applyBorder="1" applyAlignment="1">
      <alignment horizontal="center" vertical="center"/>
    </xf>
    <xf numFmtId="14" fontId="1" fillId="14" borderId="671" xfId="0" applyNumberFormat="1" applyFont="1" applyFill="1" applyBorder="1" applyAlignment="1">
      <alignment horizontal="center" vertical="center"/>
    </xf>
    <xf numFmtId="0" fontId="1" fillId="0" borderId="597" xfId="0" applyFont="1" applyBorder="1"/>
    <xf numFmtId="0" fontId="1" fillId="0" borderId="598" xfId="0" applyFont="1" applyBorder="1"/>
    <xf numFmtId="0" fontId="1" fillId="0" borderId="599" xfId="0" applyFont="1" applyBorder="1"/>
    <xf numFmtId="0" fontId="1" fillId="0" borderId="600" xfId="0" applyFont="1" applyBorder="1"/>
    <xf numFmtId="0" fontId="1" fillId="0" borderId="601" xfId="0" applyFont="1" applyBorder="1"/>
    <xf numFmtId="0" fontId="1" fillId="0" borderId="609" xfId="0" applyFont="1" applyBorder="1"/>
    <xf numFmtId="0" fontId="1" fillId="0" borderId="610" xfId="0" applyFont="1" applyBorder="1"/>
    <xf numFmtId="0" fontId="1" fillId="0" borderId="611" xfId="0" applyFont="1" applyBorder="1"/>
    <xf numFmtId="0" fontId="1" fillId="0" borderId="612" xfId="0" applyFont="1" applyBorder="1"/>
    <xf numFmtId="0" fontId="1" fillId="0" borderId="650" xfId="0" applyFont="1" applyBorder="1"/>
    <xf numFmtId="0" fontId="1" fillId="0" borderId="651" xfId="0" applyFont="1" applyBorder="1"/>
    <xf numFmtId="0" fontId="1" fillId="0" borderId="652" xfId="0" applyFont="1" applyBorder="1"/>
    <xf numFmtId="0" fontId="1" fillId="0" borderId="653" xfId="0" applyFont="1" applyBorder="1"/>
    <xf numFmtId="0" fontId="1" fillId="0" borderId="661" xfId="0" applyFont="1" applyBorder="1"/>
    <xf numFmtId="0" fontId="1" fillId="0" borderId="662" xfId="0" applyFont="1" applyBorder="1"/>
    <xf numFmtId="0" fontId="1" fillId="0" borderId="663" xfId="0" applyFont="1" applyBorder="1"/>
    <xf numFmtId="0" fontId="1" fillId="0" borderId="664" xfId="0" applyFont="1" applyBorder="1"/>
    <xf numFmtId="0" fontId="1" fillId="0" borderId="196" xfId="0" applyFont="1" applyBorder="1" applyAlignment="1">
      <alignment horizontal="center"/>
    </xf>
    <xf numFmtId="0" fontId="1" fillId="0" borderId="403" xfId="0" applyFont="1" applyBorder="1" applyAlignment="1">
      <alignment horizontal="center"/>
    </xf>
    <xf numFmtId="0" fontId="1" fillId="0" borderId="404" xfId="0" applyFont="1" applyBorder="1" applyAlignment="1">
      <alignment horizontal="center"/>
    </xf>
    <xf numFmtId="0" fontId="1" fillId="0" borderId="405" xfId="0" applyFont="1" applyBorder="1" applyAlignment="1">
      <alignment horizontal="center"/>
    </xf>
    <xf numFmtId="0" fontId="1" fillId="0" borderId="406" xfId="0" applyFont="1" applyBorder="1" applyAlignment="1">
      <alignment horizontal="center"/>
    </xf>
    <xf numFmtId="0" fontId="1" fillId="0" borderId="407" xfId="0" applyFont="1" applyBorder="1" applyAlignment="1">
      <alignment horizontal="center"/>
    </xf>
    <xf numFmtId="0" fontId="1" fillId="0" borderId="408" xfId="0" applyFont="1" applyBorder="1" applyAlignment="1">
      <alignment horizontal="center"/>
    </xf>
    <xf numFmtId="0" fontId="1" fillId="0" borderId="409" xfId="0" applyFont="1" applyBorder="1" applyAlignment="1">
      <alignment horizontal="center"/>
    </xf>
    <xf numFmtId="0" fontId="1" fillId="0" borderId="449" xfId="0" applyFont="1" applyBorder="1" applyAlignment="1">
      <alignment horizontal="center"/>
    </xf>
    <xf numFmtId="0" fontId="1" fillId="0" borderId="450" xfId="0" applyFont="1" applyBorder="1" applyAlignment="1">
      <alignment horizontal="center"/>
    </xf>
    <xf numFmtId="0" fontId="1" fillId="0" borderId="451" xfId="0" applyFont="1" applyBorder="1" applyAlignment="1">
      <alignment horizontal="center"/>
    </xf>
    <xf numFmtId="0" fontId="1" fillId="0" borderId="452" xfId="0" applyFont="1" applyBorder="1" applyAlignment="1">
      <alignment horizontal="center"/>
    </xf>
    <xf numFmtId="0" fontId="1" fillId="0" borderId="453" xfId="0" applyFont="1" applyBorder="1" applyAlignment="1">
      <alignment horizontal="center"/>
    </xf>
    <xf numFmtId="0" fontId="1" fillId="0" borderId="454" xfId="0" applyFont="1" applyBorder="1" applyAlignment="1">
      <alignment horizontal="center"/>
    </xf>
    <xf numFmtId="0" fontId="1" fillId="0" borderId="455" xfId="0" applyFont="1" applyBorder="1" applyAlignment="1">
      <alignment horizontal="center"/>
    </xf>
    <xf numFmtId="0" fontId="1" fillId="0" borderId="456" xfId="0" applyFont="1" applyBorder="1" applyAlignment="1">
      <alignment horizontal="center"/>
    </xf>
    <xf numFmtId="0" fontId="1" fillId="0" borderId="457" xfId="0" applyFont="1" applyBorder="1" applyAlignment="1">
      <alignment horizontal="center"/>
    </xf>
    <xf numFmtId="0" fontId="1" fillId="0" borderId="458" xfId="0" applyFont="1" applyBorder="1" applyAlignment="1">
      <alignment horizontal="center"/>
    </xf>
    <xf numFmtId="0" fontId="1" fillId="0" borderId="459" xfId="0" applyFont="1" applyBorder="1" applyAlignment="1">
      <alignment horizontal="center"/>
    </xf>
    <xf numFmtId="0" fontId="1" fillId="0" borderId="460" xfId="0" applyFont="1" applyBorder="1" applyAlignment="1">
      <alignment horizontal="center"/>
    </xf>
    <xf numFmtId="0" fontId="1" fillId="0" borderId="461" xfId="0" applyFont="1" applyBorder="1" applyAlignment="1">
      <alignment horizontal="center"/>
    </xf>
    <xf numFmtId="0" fontId="1" fillId="0" borderId="462" xfId="0" applyFont="1" applyBorder="1" applyAlignment="1">
      <alignment horizontal="center"/>
    </xf>
    <xf numFmtId="0" fontId="1" fillId="0" borderId="463" xfId="0" applyFont="1" applyBorder="1" applyAlignment="1">
      <alignment horizontal="center"/>
    </xf>
    <xf numFmtId="0" fontId="1" fillId="0" borderId="500" xfId="0" applyFont="1" applyBorder="1" applyAlignment="1">
      <alignment horizontal="center"/>
    </xf>
    <xf numFmtId="0" fontId="1" fillId="0" borderId="501" xfId="0" applyFont="1" applyBorder="1" applyAlignment="1">
      <alignment horizontal="center"/>
    </xf>
    <xf numFmtId="0" fontId="1" fillId="0" borderId="502" xfId="0" applyFont="1" applyBorder="1" applyAlignment="1">
      <alignment horizontal="center"/>
    </xf>
    <xf numFmtId="0" fontId="1" fillId="0" borderId="503" xfId="0" applyFont="1" applyBorder="1" applyAlignment="1">
      <alignment horizontal="center"/>
    </xf>
    <xf numFmtId="0" fontId="1" fillId="0" borderId="504" xfId="0" applyFont="1" applyBorder="1" applyAlignment="1">
      <alignment horizontal="center"/>
    </xf>
    <xf numFmtId="0" fontId="1" fillId="0" borderId="505" xfId="0" applyFont="1" applyBorder="1" applyAlignment="1">
      <alignment horizontal="center"/>
    </xf>
    <xf numFmtId="0" fontId="1" fillId="0" borderId="506" xfId="0" applyFont="1" applyBorder="1" applyAlignment="1">
      <alignment horizontal="center"/>
    </xf>
    <xf numFmtId="0" fontId="1" fillId="0" borderId="507" xfId="0" applyFont="1" applyBorder="1" applyAlignment="1">
      <alignment horizontal="center"/>
    </xf>
    <xf numFmtId="0" fontId="1" fillId="0" borderId="508" xfId="0" applyFont="1" applyBorder="1" applyAlignment="1">
      <alignment horizontal="center"/>
    </xf>
    <xf numFmtId="0" fontId="1" fillId="0" borderId="509" xfId="0" applyFont="1" applyBorder="1" applyAlignment="1">
      <alignment horizontal="center"/>
    </xf>
    <xf numFmtId="0" fontId="1" fillId="0" borderId="510" xfId="0" applyFont="1" applyBorder="1" applyAlignment="1">
      <alignment horizontal="center"/>
    </xf>
    <xf numFmtId="0" fontId="1" fillId="0" borderId="511" xfId="0" applyFont="1" applyBorder="1" applyAlignment="1">
      <alignment horizontal="center"/>
    </xf>
    <xf numFmtId="0" fontId="1" fillId="0" borderId="512" xfId="0" applyFont="1" applyBorder="1" applyAlignment="1">
      <alignment horizontal="center"/>
    </xf>
    <xf numFmtId="0" fontId="1" fillId="0" borderId="513" xfId="0" applyFont="1" applyBorder="1" applyAlignment="1">
      <alignment horizontal="center"/>
    </xf>
    <xf numFmtId="0" fontId="1" fillId="0" borderId="514" xfId="0" applyFont="1" applyBorder="1" applyAlignment="1">
      <alignment horizontal="center"/>
    </xf>
    <xf numFmtId="0" fontId="1" fillId="0" borderId="551" xfId="0" applyFont="1" applyBorder="1" applyAlignment="1">
      <alignment horizontal="center"/>
    </xf>
    <xf numFmtId="0" fontId="1" fillId="0" borderId="552" xfId="0" applyFont="1" applyBorder="1" applyAlignment="1">
      <alignment horizontal="center"/>
    </xf>
    <xf numFmtId="0" fontId="1" fillId="0" borderId="553" xfId="0" applyFont="1" applyBorder="1" applyAlignment="1">
      <alignment horizontal="center"/>
    </xf>
    <xf numFmtId="0" fontId="1" fillId="0" borderId="554" xfId="0" applyFont="1" applyBorder="1" applyAlignment="1">
      <alignment horizontal="center"/>
    </xf>
    <xf numFmtId="0" fontId="1" fillId="0" borderId="555" xfId="0" applyFont="1" applyBorder="1" applyAlignment="1">
      <alignment horizontal="center"/>
    </xf>
    <xf numFmtId="0" fontId="1" fillId="0" borderId="556" xfId="0" applyFont="1" applyBorder="1" applyAlignment="1">
      <alignment horizontal="center"/>
    </xf>
    <xf numFmtId="0" fontId="1" fillId="0" borderId="557" xfId="0" applyFont="1" applyBorder="1" applyAlignment="1">
      <alignment horizontal="center"/>
    </xf>
    <xf numFmtId="0" fontId="1" fillId="0" borderId="558" xfId="0" applyFont="1" applyBorder="1" applyAlignment="1">
      <alignment horizontal="center"/>
    </xf>
    <xf numFmtId="0" fontId="1" fillId="0" borderId="588" xfId="0" applyFont="1" applyBorder="1" applyAlignment="1">
      <alignment horizontal="center"/>
    </xf>
    <xf numFmtId="0" fontId="1" fillId="0" borderId="589" xfId="0" applyFont="1" applyBorder="1" applyAlignment="1">
      <alignment horizontal="center"/>
    </xf>
    <xf numFmtId="0" fontId="1" fillId="0" borderId="590" xfId="0" applyFont="1" applyBorder="1" applyAlignment="1">
      <alignment horizontal="center"/>
    </xf>
    <xf numFmtId="0" fontId="1" fillId="0" borderId="591" xfId="0" applyFont="1" applyBorder="1" applyAlignment="1">
      <alignment horizontal="center"/>
    </xf>
    <xf numFmtId="0" fontId="1" fillId="0" borderId="592" xfId="0" applyFont="1" applyBorder="1" applyAlignment="1">
      <alignment horizontal="center"/>
    </xf>
    <xf numFmtId="0" fontId="1" fillId="0" borderId="593" xfId="0" applyFont="1" applyBorder="1" applyAlignment="1">
      <alignment horizontal="center"/>
    </xf>
    <xf numFmtId="0" fontId="1" fillId="0" borderId="594" xfId="0" applyFont="1" applyBorder="1" applyAlignment="1">
      <alignment horizontal="center"/>
    </xf>
    <xf numFmtId="0" fontId="1" fillId="0" borderId="595" xfId="0" applyFont="1" applyBorder="1" applyAlignment="1">
      <alignment horizontal="center"/>
    </xf>
    <xf numFmtId="0" fontId="1" fillId="0" borderId="602" xfId="0" applyFont="1" applyBorder="1" applyAlignment="1">
      <alignment horizontal="center"/>
    </xf>
    <xf numFmtId="0" fontId="1" fillId="0" borderId="603" xfId="0" applyFont="1" applyBorder="1" applyAlignment="1">
      <alignment horizontal="center"/>
    </xf>
    <xf numFmtId="0" fontId="1" fillId="0" borderId="604" xfId="0" applyFont="1" applyBorder="1" applyAlignment="1">
      <alignment horizontal="center"/>
    </xf>
    <xf numFmtId="0" fontId="1" fillId="0" borderId="605" xfId="0" applyFont="1" applyBorder="1" applyAlignment="1">
      <alignment horizontal="center"/>
    </xf>
    <xf numFmtId="0" fontId="1" fillId="0" borderId="606" xfId="0" applyFont="1" applyBorder="1" applyAlignment="1">
      <alignment horizontal="center"/>
    </xf>
    <xf numFmtId="0" fontId="1" fillId="0" borderId="607" xfId="0" applyFont="1" applyBorder="1" applyAlignment="1">
      <alignment horizontal="center"/>
    </xf>
    <xf numFmtId="0" fontId="1" fillId="0" borderId="608" xfId="0" applyFont="1" applyBorder="1" applyAlignment="1">
      <alignment horizontal="center"/>
    </xf>
    <xf numFmtId="0" fontId="1" fillId="0" borderId="0" xfId="0" applyFont="1"/>
    <xf numFmtId="0" fontId="1" fillId="0" borderId="253" xfId="0" applyFont="1" applyBorder="1" applyAlignment="1">
      <alignment wrapText="1"/>
    </xf>
    <xf numFmtId="0" fontId="1" fillId="0" borderId="424" xfId="0" applyFont="1" applyBorder="1" applyAlignment="1">
      <alignment wrapText="1"/>
    </xf>
    <xf numFmtId="0" fontId="1" fillId="0" borderId="425" xfId="0" applyFont="1" applyBorder="1" applyAlignment="1">
      <alignment wrapText="1"/>
    </xf>
    <xf numFmtId="0" fontId="1" fillId="0" borderId="426" xfId="0" applyFont="1" applyBorder="1" applyAlignment="1">
      <alignment wrapText="1"/>
    </xf>
    <xf numFmtId="0" fontId="1" fillId="0" borderId="427" xfId="0" applyFont="1" applyBorder="1" applyAlignment="1">
      <alignment wrapText="1"/>
    </xf>
    <xf numFmtId="0" fontId="1" fillId="0" borderId="428" xfId="0" applyFont="1" applyBorder="1" applyAlignment="1">
      <alignment wrapText="1"/>
    </xf>
    <xf numFmtId="0" fontId="1" fillId="0" borderId="429" xfId="0" applyFont="1" applyBorder="1" applyAlignment="1">
      <alignment wrapText="1"/>
    </xf>
    <xf numFmtId="0" fontId="1" fillId="0" borderId="430" xfId="0" applyFont="1" applyBorder="1" applyAlignment="1">
      <alignment wrapText="1"/>
    </xf>
    <xf numFmtId="0" fontId="1" fillId="0" borderId="431" xfId="0" applyFont="1" applyBorder="1" applyAlignment="1">
      <alignment wrapText="1"/>
    </xf>
    <xf numFmtId="0" fontId="1" fillId="0" borderId="432" xfId="0" applyFont="1" applyBorder="1" applyAlignment="1">
      <alignment wrapText="1"/>
    </xf>
    <xf numFmtId="0" fontId="1" fillId="0" borderId="433" xfId="0" applyFont="1" applyBorder="1" applyAlignment="1">
      <alignment wrapText="1"/>
    </xf>
    <xf numFmtId="0" fontId="1" fillId="0" borderId="434" xfId="0" applyFont="1" applyBorder="1" applyAlignment="1">
      <alignment wrapText="1"/>
    </xf>
    <xf numFmtId="0" fontId="1" fillId="0" borderId="435" xfId="0" applyFont="1" applyBorder="1" applyAlignment="1">
      <alignment wrapText="1"/>
    </xf>
    <xf numFmtId="0" fontId="1" fillId="0" borderId="436" xfId="0" applyFont="1" applyBorder="1" applyAlignment="1">
      <alignment wrapText="1"/>
    </xf>
    <xf numFmtId="0" fontId="1" fillId="0" borderId="437" xfId="0" applyFont="1" applyBorder="1" applyAlignment="1">
      <alignment wrapText="1"/>
    </xf>
    <xf numFmtId="0" fontId="1" fillId="0" borderId="438" xfId="0" applyFont="1" applyBorder="1" applyAlignment="1">
      <alignment wrapText="1"/>
    </xf>
    <xf numFmtId="0" fontId="1" fillId="0" borderId="439" xfId="0" applyFont="1" applyBorder="1" applyAlignment="1">
      <alignment wrapText="1"/>
    </xf>
    <xf numFmtId="0" fontId="1" fillId="0" borderId="440" xfId="0" applyFont="1" applyBorder="1" applyAlignment="1">
      <alignment wrapText="1"/>
    </xf>
    <xf numFmtId="0" fontId="1" fillId="0" borderId="441" xfId="0" applyFont="1" applyBorder="1" applyAlignment="1">
      <alignment wrapText="1"/>
    </xf>
    <xf numFmtId="0" fontId="1" fillId="0" borderId="442" xfId="0" applyFont="1" applyBorder="1" applyAlignment="1">
      <alignment wrapText="1"/>
    </xf>
    <xf numFmtId="0" fontId="1" fillId="0" borderId="443" xfId="0" applyFont="1" applyBorder="1" applyAlignment="1">
      <alignment wrapText="1"/>
    </xf>
    <xf numFmtId="0" fontId="1" fillId="0" borderId="444" xfId="0" applyFont="1" applyBorder="1" applyAlignment="1">
      <alignment wrapText="1"/>
    </xf>
    <xf numFmtId="0" fontId="1" fillId="0" borderId="445" xfId="0" applyFont="1" applyBorder="1" applyAlignment="1">
      <alignment wrapText="1"/>
    </xf>
    <xf numFmtId="0" fontId="1" fillId="0" borderId="446" xfId="0" applyFont="1" applyBorder="1" applyAlignment="1">
      <alignment wrapText="1"/>
    </xf>
    <xf numFmtId="0" fontId="1" fillId="0" borderId="447" xfId="0" applyFont="1" applyBorder="1" applyAlignment="1">
      <alignment wrapText="1"/>
    </xf>
    <xf numFmtId="0" fontId="1" fillId="0" borderId="448" xfId="0" applyFont="1" applyBorder="1" applyAlignment="1">
      <alignment wrapText="1"/>
    </xf>
    <xf numFmtId="0" fontId="1" fillId="0" borderId="464" xfId="0" applyFont="1" applyBorder="1" applyAlignment="1">
      <alignment wrapText="1"/>
    </xf>
    <xf numFmtId="0" fontId="1" fillId="0" borderId="465" xfId="0" applyFont="1" applyBorder="1" applyAlignment="1">
      <alignment wrapText="1"/>
    </xf>
    <xf numFmtId="0" fontId="1" fillId="0" borderId="466" xfId="0" applyFont="1" applyBorder="1" applyAlignment="1">
      <alignment wrapText="1"/>
    </xf>
    <xf numFmtId="0" fontId="1" fillId="0" borderId="467" xfId="0" applyFont="1" applyBorder="1" applyAlignment="1">
      <alignment wrapText="1"/>
    </xf>
    <xf numFmtId="0" fontId="1" fillId="0" borderId="468" xfId="0" applyFont="1" applyBorder="1" applyAlignment="1">
      <alignment wrapText="1"/>
    </xf>
    <xf numFmtId="0" fontId="1" fillId="0" borderId="469" xfId="0" applyFont="1" applyBorder="1" applyAlignment="1">
      <alignment wrapText="1"/>
    </xf>
    <xf numFmtId="0" fontId="1" fillId="0" borderId="470" xfId="0" applyFont="1" applyBorder="1" applyAlignment="1">
      <alignment wrapText="1"/>
    </xf>
    <xf numFmtId="0" fontId="1" fillId="0" borderId="471" xfId="0" applyFont="1" applyBorder="1" applyAlignment="1">
      <alignment wrapText="1"/>
    </xf>
    <xf numFmtId="0" fontId="1" fillId="0" borderId="472" xfId="0" applyFont="1" applyBorder="1" applyAlignment="1">
      <alignment wrapText="1"/>
    </xf>
    <xf numFmtId="0" fontId="1" fillId="0" borderId="473" xfId="0" applyFont="1" applyBorder="1" applyAlignment="1">
      <alignment wrapText="1"/>
    </xf>
    <xf numFmtId="0" fontId="1" fillId="0" borderId="474" xfId="0" applyFont="1" applyBorder="1" applyAlignment="1">
      <alignment wrapText="1"/>
    </xf>
    <xf numFmtId="0" fontId="1" fillId="0" borderId="475" xfId="0" applyFont="1" applyBorder="1" applyAlignment="1">
      <alignment wrapText="1"/>
    </xf>
    <xf numFmtId="0" fontId="1" fillId="0" borderId="476" xfId="0" applyFont="1" applyBorder="1" applyAlignment="1">
      <alignment wrapText="1"/>
    </xf>
    <xf numFmtId="0" fontId="1" fillId="0" borderId="477" xfId="0" applyFont="1" applyBorder="1" applyAlignment="1">
      <alignment wrapText="1"/>
    </xf>
    <xf numFmtId="0" fontId="1" fillId="0" borderId="478" xfId="0" applyFont="1" applyBorder="1" applyAlignment="1">
      <alignment wrapText="1"/>
    </xf>
    <xf numFmtId="0" fontId="1" fillId="0" borderId="479" xfId="0" applyFont="1" applyBorder="1" applyAlignment="1">
      <alignment wrapText="1"/>
    </xf>
    <xf numFmtId="0" fontId="1" fillId="0" borderId="480" xfId="0" applyFont="1" applyBorder="1" applyAlignment="1">
      <alignment wrapText="1"/>
    </xf>
    <xf numFmtId="0" fontId="1" fillId="0" borderId="481" xfId="0" applyFont="1" applyBorder="1" applyAlignment="1">
      <alignment wrapText="1"/>
    </xf>
    <xf numFmtId="0" fontId="1" fillId="0" borderId="482" xfId="0" applyFont="1" applyBorder="1" applyAlignment="1">
      <alignment wrapText="1"/>
    </xf>
    <xf numFmtId="0" fontId="1" fillId="0" borderId="483" xfId="0" applyFont="1" applyBorder="1" applyAlignment="1">
      <alignment wrapText="1"/>
    </xf>
    <xf numFmtId="0" fontId="1" fillId="0" borderId="484" xfId="0" applyFont="1" applyBorder="1" applyAlignment="1">
      <alignment wrapText="1"/>
    </xf>
    <xf numFmtId="0" fontId="1" fillId="0" borderId="485" xfId="0" applyFont="1" applyBorder="1" applyAlignment="1">
      <alignment wrapText="1"/>
    </xf>
    <xf numFmtId="0" fontId="1" fillId="0" borderId="486" xfId="0" applyFont="1" applyBorder="1" applyAlignment="1">
      <alignment wrapText="1"/>
    </xf>
    <xf numFmtId="0" fontId="1" fillId="0" borderId="487" xfId="0" applyFont="1" applyBorder="1" applyAlignment="1">
      <alignment wrapText="1"/>
    </xf>
    <xf numFmtId="0" fontId="1" fillId="0" borderId="488" xfId="0" applyFont="1" applyBorder="1" applyAlignment="1">
      <alignment wrapText="1"/>
    </xf>
    <xf numFmtId="0" fontId="1" fillId="0" borderId="489" xfId="0" applyFont="1" applyBorder="1" applyAlignment="1">
      <alignment wrapText="1"/>
    </xf>
    <xf numFmtId="0" fontId="1" fillId="0" borderId="490" xfId="0" applyFont="1" applyBorder="1" applyAlignment="1">
      <alignment wrapText="1"/>
    </xf>
    <xf numFmtId="0" fontId="1" fillId="0" borderId="491" xfId="0" applyFont="1" applyBorder="1" applyAlignment="1">
      <alignment wrapText="1"/>
    </xf>
    <xf numFmtId="0" fontId="1" fillId="0" borderId="492" xfId="0" applyFont="1" applyBorder="1" applyAlignment="1">
      <alignment wrapText="1"/>
    </xf>
    <xf numFmtId="0" fontId="1" fillId="0" borderId="493" xfId="0" applyFont="1" applyBorder="1" applyAlignment="1">
      <alignment wrapText="1"/>
    </xf>
    <xf numFmtId="0" fontId="1" fillId="0" borderId="494" xfId="0" applyFont="1" applyBorder="1" applyAlignment="1">
      <alignment wrapText="1"/>
    </xf>
    <xf numFmtId="0" fontId="1" fillId="0" borderId="495" xfId="0" applyFont="1" applyBorder="1" applyAlignment="1">
      <alignment wrapText="1"/>
    </xf>
    <xf numFmtId="0" fontId="1" fillId="0" borderId="496" xfId="0" applyFont="1" applyBorder="1" applyAlignment="1">
      <alignment wrapText="1"/>
    </xf>
    <xf numFmtId="0" fontId="1" fillId="0" borderId="497" xfId="0" applyFont="1" applyBorder="1" applyAlignment="1">
      <alignment wrapText="1"/>
    </xf>
    <xf numFmtId="0" fontId="1" fillId="0" borderId="498" xfId="0" applyFont="1" applyBorder="1" applyAlignment="1">
      <alignment wrapText="1"/>
    </xf>
    <xf numFmtId="0" fontId="1" fillId="0" borderId="499" xfId="0" applyFont="1" applyBorder="1" applyAlignment="1">
      <alignment wrapText="1"/>
    </xf>
    <xf numFmtId="0" fontId="1" fillId="0" borderId="515" xfId="0" applyFont="1" applyBorder="1" applyAlignment="1">
      <alignment wrapText="1"/>
    </xf>
    <xf numFmtId="0" fontId="1" fillId="0" borderId="516" xfId="0" applyFont="1" applyBorder="1" applyAlignment="1">
      <alignment wrapText="1"/>
    </xf>
    <xf numFmtId="0" fontId="1" fillId="0" borderId="517" xfId="0" applyFont="1" applyBorder="1" applyAlignment="1">
      <alignment wrapText="1"/>
    </xf>
    <xf numFmtId="0" fontId="1" fillId="0" borderId="518" xfId="0" applyFont="1" applyBorder="1" applyAlignment="1">
      <alignment wrapText="1"/>
    </xf>
    <xf numFmtId="0" fontId="1" fillId="0" borderId="519" xfId="0" applyFont="1" applyBorder="1" applyAlignment="1">
      <alignment wrapText="1"/>
    </xf>
    <xf numFmtId="0" fontId="1" fillId="0" borderId="520" xfId="0" applyFont="1" applyBorder="1" applyAlignment="1">
      <alignment wrapText="1"/>
    </xf>
    <xf numFmtId="0" fontId="1" fillId="0" borderId="521" xfId="0" applyFont="1" applyBorder="1" applyAlignment="1">
      <alignment wrapText="1"/>
    </xf>
    <xf numFmtId="0" fontId="1" fillId="0" borderId="522" xfId="0" applyFont="1" applyBorder="1" applyAlignment="1">
      <alignment wrapText="1"/>
    </xf>
    <xf numFmtId="0" fontId="1" fillId="0" borderId="523" xfId="0" applyFont="1" applyBorder="1" applyAlignment="1">
      <alignment wrapText="1"/>
    </xf>
    <xf numFmtId="0" fontId="1" fillId="0" borderId="524" xfId="0" applyFont="1" applyBorder="1" applyAlignment="1">
      <alignment wrapText="1"/>
    </xf>
    <xf numFmtId="0" fontId="1" fillId="0" borderId="525" xfId="0" applyFont="1" applyBorder="1" applyAlignment="1">
      <alignment wrapText="1"/>
    </xf>
    <xf numFmtId="0" fontId="1" fillId="0" borderId="526" xfId="0" applyFont="1" applyBorder="1" applyAlignment="1">
      <alignment wrapText="1"/>
    </xf>
    <xf numFmtId="0" fontId="1" fillId="0" borderId="527" xfId="0" applyFont="1" applyBorder="1" applyAlignment="1">
      <alignment wrapText="1"/>
    </xf>
    <xf numFmtId="0" fontId="1" fillId="0" borderId="528" xfId="0" applyFont="1" applyBorder="1" applyAlignment="1">
      <alignment wrapText="1"/>
    </xf>
    <xf numFmtId="0" fontId="1" fillId="0" borderId="529" xfId="0" applyFont="1" applyBorder="1" applyAlignment="1">
      <alignment wrapText="1"/>
    </xf>
    <xf numFmtId="0" fontId="1" fillId="0" borderId="530" xfId="0" applyFont="1" applyBorder="1" applyAlignment="1">
      <alignment wrapText="1"/>
    </xf>
    <xf numFmtId="0" fontId="1" fillId="0" borderId="531" xfId="0" applyFont="1" applyBorder="1" applyAlignment="1">
      <alignment wrapText="1"/>
    </xf>
    <xf numFmtId="0" fontId="1" fillId="0" borderId="532" xfId="0" applyFont="1" applyBorder="1" applyAlignment="1">
      <alignment wrapText="1"/>
    </xf>
    <xf numFmtId="0" fontId="1" fillId="0" borderId="533" xfId="0" applyFont="1" applyBorder="1" applyAlignment="1">
      <alignment wrapText="1"/>
    </xf>
    <xf numFmtId="0" fontId="1" fillId="0" borderId="534" xfId="0" applyFont="1" applyBorder="1" applyAlignment="1">
      <alignment wrapText="1"/>
    </xf>
    <xf numFmtId="0" fontId="1" fillId="0" borderId="535" xfId="0" applyFont="1" applyBorder="1" applyAlignment="1">
      <alignment wrapText="1"/>
    </xf>
    <xf numFmtId="0" fontId="1" fillId="0" borderId="536" xfId="0" applyFont="1" applyBorder="1" applyAlignment="1">
      <alignment wrapText="1"/>
    </xf>
    <xf numFmtId="0" fontId="1" fillId="0" borderId="537" xfId="0" applyFont="1" applyBorder="1" applyAlignment="1">
      <alignment wrapText="1"/>
    </xf>
    <xf numFmtId="0" fontId="1" fillId="0" borderId="538" xfId="0" applyFont="1" applyBorder="1" applyAlignment="1">
      <alignment wrapText="1"/>
    </xf>
    <xf numFmtId="0" fontId="1" fillId="0" borderId="539" xfId="0" applyFont="1" applyBorder="1" applyAlignment="1">
      <alignment wrapText="1"/>
    </xf>
    <xf numFmtId="0" fontId="1" fillId="0" borderId="540" xfId="0" applyFont="1" applyBorder="1" applyAlignment="1">
      <alignment wrapText="1"/>
    </xf>
    <xf numFmtId="0" fontId="1" fillId="0" borderId="541" xfId="0" applyFont="1" applyBorder="1" applyAlignment="1">
      <alignment wrapText="1"/>
    </xf>
    <xf numFmtId="0" fontId="1" fillId="0" borderId="542" xfId="0" applyFont="1" applyBorder="1" applyAlignment="1">
      <alignment wrapText="1"/>
    </xf>
    <xf numFmtId="0" fontId="1" fillId="0" borderId="543" xfId="0" applyFont="1" applyBorder="1" applyAlignment="1">
      <alignment wrapText="1"/>
    </xf>
    <xf numFmtId="0" fontId="1" fillId="0" borderId="544" xfId="0" applyFont="1" applyBorder="1" applyAlignment="1">
      <alignment wrapText="1"/>
    </xf>
    <xf numFmtId="0" fontId="1" fillId="0" borderId="545" xfId="0" applyFont="1" applyBorder="1" applyAlignment="1">
      <alignment wrapText="1"/>
    </xf>
    <xf numFmtId="0" fontId="1" fillId="0" borderId="546" xfId="0" applyFont="1" applyBorder="1" applyAlignment="1">
      <alignment wrapText="1"/>
    </xf>
    <xf numFmtId="0" fontId="1" fillId="0" borderId="547" xfId="0" applyFont="1" applyBorder="1" applyAlignment="1">
      <alignment wrapText="1"/>
    </xf>
    <xf numFmtId="0" fontId="1" fillId="0" borderId="548" xfId="0" applyFont="1" applyBorder="1" applyAlignment="1">
      <alignment wrapText="1"/>
    </xf>
    <xf numFmtId="0" fontId="1" fillId="0" borderId="549" xfId="0" applyFont="1" applyBorder="1" applyAlignment="1">
      <alignment wrapText="1"/>
    </xf>
    <xf numFmtId="0" fontId="1" fillId="0" borderId="550" xfId="0" applyFont="1" applyBorder="1" applyAlignment="1">
      <alignment wrapText="1"/>
    </xf>
    <xf numFmtId="0" fontId="1" fillId="0" borderId="0" xfId="0" applyFont="1" applyAlignment="1">
      <alignment horizontal="right" vertical="center" wrapText="1"/>
    </xf>
    <xf numFmtId="0" fontId="1" fillId="0" borderId="89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" fillId="0" borderId="91" xfId="0" applyFont="1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1" fillId="0" borderId="95" xfId="0" applyFont="1" applyBorder="1" applyAlignment="1">
      <alignment horizontal="center" vertical="center"/>
    </xf>
    <xf numFmtId="0" fontId="1" fillId="0" borderId="145" xfId="0" applyFont="1" applyBorder="1" applyAlignment="1">
      <alignment horizontal="center"/>
    </xf>
    <xf numFmtId="0" fontId="1" fillId="0" borderId="146" xfId="0" applyFont="1" applyBorder="1" applyAlignment="1">
      <alignment horizontal="center"/>
    </xf>
    <xf numFmtId="0" fontId="1" fillId="0" borderId="147" xfId="0" applyFont="1" applyBorder="1" applyAlignment="1">
      <alignment horizontal="center"/>
    </xf>
    <xf numFmtId="0" fontId="1" fillId="0" borderId="148" xfId="0" applyFont="1" applyBorder="1" applyAlignment="1">
      <alignment horizontal="center"/>
    </xf>
    <xf numFmtId="0" fontId="1" fillId="0" borderId="149" xfId="0" applyFont="1" applyBorder="1" applyAlignment="1">
      <alignment horizontal="center"/>
    </xf>
    <xf numFmtId="0" fontId="1" fillId="0" borderId="150" xfId="0" applyFont="1" applyBorder="1" applyAlignment="1">
      <alignment horizontal="center"/>
    </xf>
    <xf numFmtId="0" fontId="1" fillId="0" borderId="151" xfId="0" applyFont="1" applyBorder="1" applyAlignment="1">
      <alignment horizontal="center"/>
    </xf>
    <xf numFmtId="0" fontId="1" fillId="0" borderId="152" xfId="0" applyFont="1" applyBorder="1" applyAlignment="1">
      <alignment horizontal="center"/>
    </xf>
    <xf numFmtId="0" fontId="1" fillId="0" borderId="197" xfId="0" applyFont="1" applyBorder="1" applyAlignment="1">
      <alignment horizontal="center"/>
    </xf>
    <xf numFmtId="0" fontId="1" fillId="0" borderId="198" xfId="0" applyFont="1" applyBorder="1" applyAlignment="1">
      <alignment horizontal="center"/>
    </xf>
    <xf numFmtId="0" fontId="1" fillId="0" borderId="199" xfId="0" applyFont="1" applyBorder="1" applyAlignment="1">
      <alignment horizontal="center"/>
    </xf>
    <xf numFmtId="0" fontId="1" fillId="0" borderId="200" xfId="0" applyFont="1" applyBorder="1" applyAlignment="1">
      <alignment horizontal="center"/>
    </xf>
    <xf numFmtId="0" fontId="1" fillId="0" borderId="201" xfId="0" applyFont="1" applyBorder="1" applyAlignment="1">
      <alignment horizontal="center"/>
    </xf>
    <xf numFmtId="0" fontId="1" fillId="0" borderId="202" xfId="0" applyFont="1" applyBorder="1" applyAlignment="1">
      <alignment horizontal="center"/>
    </xf>
    <xf numFmtId="0" fontId="1" fillId="0" borderId="203" xfId="0" applyFont="1" applyBorder="1" applyAlignment="1">
      <alignment horizontal="center"/>
    </xf>
    <xf numFmtId="0" fontId="1" fillId="0" borderId="285" xfId="0" applyFont="1" applyBorder="1" applyAlignment="1">
      <alignment horizontal="center"/>
    </xf>
    <xf numFmtId="0" fontId="1" fillId="0" borderId="286" xfId="0" applyFont="1" applyBorder="1" applyAlignment="1">
      <alignment horizontal="center"/>
    </xf>
    <xf numFmtId="0" fontId="1" fillId="0" borderId="287" xfId="0" applyFont="1" applyBorder="1" applyAlignment="1">
      <alignment horizontal="center"/>
    </xf>
    <xf numFmtId="0" fontId="1" fillId="0" borderId="288" xfId="0" applyFont="1" applyBorder="1" applyAlignment="1">
      <alignment horizontal="center"/>
    </xf>
    <xf numFmtId="0" fontId="1" fillId="0" borderId="289" xfId="0" applyFont="1" applyBorder="1" applyAlignment="1">
      <alignment horizontal="center"/>
    </xf>
    <xf numFmtId="0" fontId="1" fillId="0" borderId="290" xfId="0" applyFont="1" applyBorder="1" applyAlignment="1">
      <alignment horizontal="center"/>
    </xf>
    <xf numFmtId="0" fontId="1" fillId="0" borderId="291" xfId="0" applyFont="1" applyBorder="1" applyAlignment="1">
      <alignment horizontal="center"/>
    </xf>
    <xf numFmtId="0" fontId="1" fillId="0" borderId="292" xfId="0" applyFont="1" applyBorder="1" applyAlignment="1">
      <alignment horizontal="center"/>
    </xf>
    <xf numFmtId="0" fontId="1" fillId="0" borderId="335" xfId="0" applyFont="1" applyBorder="1" applyAlignment="1">
      <alignment horizontal="center"/>
    </xf>
    <xf numFmtId="0" fontId="1" fillId="0" borderId="336" xfId="0" applyFont="1" applyBorder="1" applyAlignment="1">
      <alignment horizontal="center"/>
    </xf>
    <xf numFmtId="0" fontId="1" fillId="0" borderId="337" xfId="0" applyFont="1" applyBorder="1" applyAlignment="1">
      <alignment horizontal="center"/>
    </xf>
    <xf numFmtId="0" fontId="1" fillId="0" borderId="338" xfId="0" applyFont="1" applyBorder="1" applyAlignment="1">
      <alignment horizontal="center"/>
    </xf>
    <xf numFmtId="0" fontId="1" fillId="0" borderId="339" xfId="0" applyFont="1" applyBorder="1" applyAlignment="1">
      <alignment horizontal="center"/>
    </xf>
    <xf numFmtId="0" fontId="1" fillId="0" borderId="340" xfId="0" applyFont="1" applyBorder="1" applyAlignment="1">
      <alignment horizontal="center"/>
    </xf>
    <xf numFmtId="0" fontId="1" fillId="0" borderId="341" xfId="0" applyFont="1" applyBorder="1" applyAlignment="1">
      <alignment horizontal="center"/>
    </xf>
    <xf numFmtId="0" fontId="1" fillId="0" borderId="381" xfId="0" applyFont="1" applyBorder="1" applyAlignment="1">
      <alignment horizontal="center"/>
    </xf>
    <xf numFmtId="0" fontId="1" fillId="0" borderId="382" xfId="0" applyFont="1" applyBorder="1" applyAlignment="1">
      <alignment horizontal="center"/>
    </xf>
    <xf numFmtId="0" fontId="1" fillId="0" borderId="383" xfId="0" applyFont="1" applyBorder="1" applyAlignment="1">
      <alignment horizontal="center"/>
    </xf>
    <xf numFmtId="0" fontId="1" fillId="0" borderId="384" xfId="0" applyFont="1" applyBorder="1" applyAlignment="1">
      <alignment horizontal="center"/>
    </xf>
    <xf numFmtId="0" fontId="1" fillId="0" borderId="385" xfId="0" applyFont="1" applyBorder="1" applyAlignment="1">
      <alignment horizontal="center"/>
    </xf>
    <xf numFmtId="0" fontId="1" fillId="0" borderId="386" xfId="0" applyFont="1" applyBorder="1" applyAlignment="1">
      <alignment horizontal="center"/>
    </xf>
    <xf numFmtId="0" fontId="1" fillId="0" borderId="387" xfId="0" applyFont="1" applyBorder="1" applyAlignment="1">
      <alignment horizontal="center"/>
    </xf>
    <xf numFmtId="0" fontId="1" fillId="0" borderId="388" xfId="0" applyFont="1" applyBorder="1" applyAlignment="1">
      <alignment horizontal="center"/>
    </xf>
    <xf numFmtId="0" fontId="1" fillId="0" borderId="253" xfId="0" applyFont="1" applyBorder="1"/>
    <xf numFmtId="0" fontId="1" fillId="0" borderId="254" xfId="0" applyFont="1" applyBorder="1"/>
    <xf numFmtId="0" fontId="1" fillId="0" borderId="255" xfId="0" applyFont="1" applyBorder="1"/>
    <xf numFmtId="0" fontId="1" fillId="0" borderId="256" xfId="0" applyFont="1" applyBorder="1"/>
    <xf numFmtId="0" fontId="1" fillId="0" borderId="257" xfId="0" applyFont="1" applyBorder="1"/>
    <xf numFmtId="0" fontId="1" fillId="0" borderId="258" xfId="0" applyFont="1" applyBorder="1"/>
    <xf numFmtId="0" fontId="1" fillId="0" borderId="259" xfId="0" applyFont="1" applyBorder="1"/>
    <xf numFmtId="0" fontId="1" fillId="0" borderId="260" xfId="0" applyFont="1" applyBorder="1"/>
    <xf numFmtId="0" fontId="1" fillId="0" borderId="261" xfId="0" applyFont="1" applyBorder="1"/>
    <xf numFmtId="0" fontId="1" fillId="0" borderId="262" xfId="0" applyFont="1" applyBorder="1"/>
    <xf numFmtId="0" fontId="1" fillId="0" borderId="263" xfId="0" applyFont="1" applyBorder="1"/>
    <xf numFmtId="0" fontId="1" fillId="0" borderId="264" xfId="0" applyFont="1" applyBorder="1"/>
    <xf numFmtId="0" fontId="1" fillId="0" borderId="265" xfId="0" applyFont="1" applyBorder="1"/>
    <xf numFmtId="0" fontId="1" fillId="0" borderId="266" xfId="0" applyFont="1" applyBorder="1"/>
    <xf numFmtId="0" fontId="1" fillId="0" borderId="267" xfId="0" applyFont="1" applyBorder="1"/>
    <xf numFmtId="0" fontId="1" fillId="0" borderId="268" xfId="0" applyFont="1" applyBorder="1"/>
    <xf numFmtId="0" fontId="1" fillId="0" borderId="269" xfId="0" applyFont="1" applyBorder="1"/>
    <xf numFmtId="0" fontId="1" fillId="0" borderId="270" xfId="0" applyFont="1" applyBorder="1"/>
    <xf numFmtId="0" fontId="1" fillId="0" borderId="271" xfId="0" applyFont="1" applyBorder="1"/>
    <xf numFmtId="0" fontId="1" fillId="0" borderId="272" xfId="0" applyFont="1" applyBorder="1"/>
    <xf numFmtId="0" fontId="1" fillId="0" borderId="273" xfId="0" applyFont="1" applyBorder="1"/>
    <xf numFmtId="0" fontId="1" fillId="0" borderId="274" xfId="0" applyFont="1" applyBorder="1"/>
    <xf numFmtId="0" fontId="1" fillId="0" borderId="275" xfId="0" applyFont="1" applyBorder="1"/>
    <xf numFmtId="0" fontId="1" fillId="0" borderId="276" xfId="0" applyFont="1" applyBorder="1"/>
    <xf numFmtId="0" fontId="1" fillId="0" borderId="277" xfId="0" applyFont="1" applyBorder="1"/>
    <xf numFmtId="0" fontId="1" fillId="0" borderId="278" xfId="0" applyFont="1" applyBorder="1"/>
    <xf numFmtId="0" fontId="1" fillId="0" borderId="279" xfId="0" applyFont="1" applyBorder="1"/>
    <xf numFmtId="0" fontId="1" fillId="0" borderId="280" xfId="0" applyFont="1" applyBorder="1"/>
    <xf numFmtId="0" fontId="1" fillId="0" borderId="281" xfId="0" applyFont="1" applyBorder="1"/>
    <xf numFmtId="0" fontId="1" fillId="0" borderId="282" xfId="0" applyFont="1" applyBorder="1"/>
    <xf numFmtId="0" fontId="1" fillId="0" borderId="283" xfId="0" applyFont="1" applyBorder="1"/>
    <xf numFmtId="0" fontId="1" fillId="0" borderId="284" xfId="0" applyFont="1" applyBorder="1"/>
    <xf numFmtId="0" fontId="1" fillId="0" borderId="356" xfId="0" applyFont="1" applyBorder="1" applyAlignment="1">
      <alignment wrapText="1"/>
    </xf>
    <xf numFmtId="0" fontId="1" fillId="0" borderId="357" xfId="0" applyFont="1" applyBorder="1" applyAlignment="1">
      <alignment wrapText="1"/>
    </xf>
    <xf numFmtId="0" fontId="1" fillId="0" borderId="358" xfId="0" applyFont="1" applyBorder="1" applyAlignment="1">
      <alignment wrapText="1"/>
    </xf>
    <xf numFmtId="0" fontId="1" fillId="0" borderId="359" xfId="0" applyFont="1" applyBorder="1" applyAlignment="1">
      <alignment wrapText="1"/>
    </xf>
    <xf numFmtId="0" fontId="1" fillId="0" borderId="360" xfId="0" applyFont="1" applyBorder="1" applyAlignment="1">
      <alignment wrapText="1"/>
    </xf>
    <xf numFmtId="0" fontId="1" fillId="0" borderId="361" xfId="0" applyFont="1" applyBorder="1" applyAlignment="1">
      <alignment wrapText="1"/>
    </xf>
    <xf numFmtId="0" fontId="1" fillId="0" borderId="362" xfId="0" applyFont="1" applyBorder="1" applyAlignment="1">
      <alignment wrapText="1"/>
    </xf>
    <xf numFmtId="0" fontId="1" fillId="0" borderId="363" xfId="0" applyFont="1" applyBorder="1" applyAlignment="1">
      <alignment wrapText="1"/>
    </xf>
    <xf numFmtId="0" fontId="1" fillId="0" borderId="364" xfId="0" applyFont="1" applyBorder="1" applyAlignment="1">
      <alignment wrapText="1"/>
    </xf>
    <xf numFmtId="0" fontId="1" fillId="0" borderId="365" xfId="0" applyFont="1" applyBorder="1" applyAlignment="1">
      <alignment wrapText="1"/>
    </xf>
    <xf numFmtId="0" fontId="1" fillId="0" borderId="366" xfId="0" applyFont="1" applyBorder="1" applyAlignment="1">
      <alignment wrapText="1"/>
    </xf>
    <xf numFmtId="0" fontId="1" fillId="0" borderId="367" xfId="0" applyFont="1" applyBorder="1" applyAlignment="1">
      <alignment wrapText="1"/>
    </xf>
    <xf numFmtId="0" fontId="1" fillId="0" borderId="368" xfId="0" applyFont="1" applyBorder="1" applyAlignment="1">
      <alignment wrapText="1"/>
    </xf>
    <xf numFmtId="0" fontId="1" fillId="0" borderId="369" xfId="0" applyFont="1" applyBorder="1" applyAlignment="1">
      <alignment wrapText="1"/>
    </xf>
    <xf numFmtId="0" fontId="1" fillId="0" borderId="370" xfId="0" applyFont="1" applyBorder="1" applyAlignment="1">
      <alignment wrapText="1"/>
    </xf>
    <xf numFmtId="0" fontId="1" fillId="0" borderId="371" xfId="0" applyFont="1" applyBorder="1" applyAlignment="1">
      <alignment wrapText="1"/>
    </xf>
    <xf numFmtId="0" fontId="1" fillId="0" borderId="372" xfId="0" applyFont="1" applyBorder="1" applyAlignment="1">
      <alignment wrapText="1"/>
    </xf>
    <xf numFmtId="0" fontId="1" fillId="0" borderId="373" xfId="0" applyFont="1" applyBorder="1" applyAlignment="1">
      <alignment wrapText="1"/>
    </xf>
    <xf numFmtId="0" fontId="1" fillId="0" borderId="374" xfId="0" applyFont="1" applyBorder="1" applyAlignment="1">
      <alignment wrapText="1"/>
    </xf>
    <xf numFmtId="0" fontId="1" fillId="0" borderId="375" xfId="0" applyFont="1" applyBorder="1" applyAlignment="1">
      <alignment wrapText="1"/>
    </xf>
    <xf numFmtId="0" fontId="1" fillId="0" borderId="376" xfId="0" applyFont="1" applyBorder="1" applyAlignment="1">
      <alignment wrapText="1"/>
    </xf>
    <xf numFmtId="0" fontId="1" fillId="0" borderId="377" xfId="0" applyFont="1" applyBorder="1" applyAlignment="1">
      <alignment wrapText="1"/>
    </xf>
    <xf numFmtId="0" fontId="1" fillId="0" borderId="378" xfId="0" applyFont="1" applyBorder="1" applyAlignment="1">
      <alignment wrapText="1"/>
    </xf>
    <xf numFmtId="0" fontId="1" fillId="0" borderId="379" xfId="0" applyFont="1" applyBorder="1" applyAlignment="1">
      <alignment wrapText="1"/>
    </xf>
    <xf numFmtId="0" fontId="1" fillId="0" borderId="380" xfId="0" applyFont="1" applyBorder="1" applyAlignment="1">
      <alignment wrapText="1"/>
    </xf>
    <xf numFmtId="0" fontId="39" fillId="0" borderId="846" xfId="0" applyFont="1" applyBorder="1" applyAlignment="1">
      <alignment horizontal="center" vertical="top" wrapText="1"/>
    </xf>
    <xf numFmtId="0" fontId="39" fillId="0" borderId="866" xfId="0" applyFont="1" applyBorder="1" applyAlignment="1">
      <alignment horizontal="center" vertical="top" wrapText="1"/>
    </xf>
    <xf numFmtId="0" fontId="32" fillId="0" borderId="846" xfId="0" applyFont="1" applyBorder="1" applyAlignment="1">
      <alignment horizontal="center"/>
    </xf>
    <xf numFmtId="0" fontId="32" fillId="0" borderId="863" xfId="0" applyFont="1" applyBorder="1" applyAlignment="1">
      <alignment horizontal="center"/>
    </xf>
    <xf numFmtId="0" fontId="34" fillId="4" borderId="22" xfId="0" applyFont="1" applyFill="1" applyBorder="1" applyAlignment="1">
      <alignment horizontal="center" vertical="top" wrapText="1"/>
    </xf>
    <xf numFmtId="0" fontId="34" fillId="4" borderId="893" xfId="0" applyFont="1" applyFill="1" applyBorder="1" applyAlignment="1">
      <alignment horizontal="center" vertical="top" wrapText="1"/>
    </xf>
    <xf numFmtId="0" fontId="34" fillId="0" borderId="846" xfId="0" applyFont="1" applyBorder="1" applyAlignment="1">
      <alignment horizontal="center" vertical="top" wrapText="1"/>
    </xf>
    <xf numFmtId="0" fontId="34" fillId="0" borderId="894" xfId="0" applyFont="1" applyBorder="1" applyAlignment="1">
      <alignment horizontal="center" vertical="top" wrapText="1"/>
    </xf>
    <xf numFmtId="0" fontId="34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39" fillId="0" borderId="0" xfId="0" applyFont="1" applyAlignment="1">
      <alignment horizontal="center" vertical="top" wrapText="1"/>
    </xf>
    <xf numFmtId="0" fontId="39" fillId="0" borderId="880" xfId="0" applyFont="1" applyBorder="1" applyAlignment="1">
      <alignment horizontal="center" vertical="top" wrapText="1"/>
    </xf>
    <xf numFmtId="0" fontId="39" fillId="0" borderId="872" xfId="0" applyFont="1" applyBorder="1" applyAlignment="1">
      <alignment horizontal="center" vertical="top" wrapText="1"/>
    </xf>
    <xf numFmtId="0" fontId="39" fillId="0" borderId="875" xfId="0" applyFont="1" applyBorder="1" applyAlignment="1">
      <alignment horizontal="center" vertical="top" wrapText="1"/>
    </xf>
    <xf numFmtId="0" fontId="34" fillId="0" borderId="846" xfId="0" applyFont="1" applyBorder="1" applyAlignment="1">
      <alignment horizontal="center" vertical="center" wrapText="1"/>
    </xf>
    <xf numFmtId="0" fontId="34" fillId="0" borderId="858" xfId="0" applyFont="1" applyBorder="1" applyAlignment="1">
      <alignment horizontal="center" vertical="center" wrapText="1"/>
    </xf>
    <xf numFmtId="0" fontId="34" fillId="0" borderId="859" xfId="0" applyFont="1" applyBorder="1" applyAlignment="1">
      <alignment horizontal="center" vertical="center" wrapText="1"/>
    </xf>
    <xf numFmtId="0" fontId="34" fillId="0" borderId="853" xfId="0" applyFont="1" applyBorder="1" applyAlignment="1">
      <alignment horizontal="center" vertical="center" wrapText="1"/>
    </xf>
    <xf numFmtId="0" fontId="34" fillId="0" borderId="860" xfId="0" applyFont="1" applyBorder="1" applyAlignment="1">
      <alignment horizontal="center" vertical="center" wrapText="1"/>
    </xf>
    <xf numFmtId="0" fontId="34" fillId="0" borderId="861" xfId="0" applyFont="1" applyBorder="1" applyAlignment="1">
      <alignment horizontal="center" vertical="center" wrapText="1"/>
    </xf>
    <xf numFmtId="0" fontId="34" fillId="0" borderId="854" xfId="0" applyFont="1" applyBorder="1" applyAlignment="1">
      <alignment horizontal="center" vertical="center" wrapText="1"/>
    </xf>
    <xf numFmtId="0" fontId="34" fillId="0" borderId="856" xfId="0" applyFont="1" applyBorder="1" applyAlignment="1">
      <alignment horizontal="center" vertical="center" wrapText="1"/>
    </xf>
    <xf numFmtId="0" fontId="34" fillId="0" borderId="0" xfId="0" applyFont="1" applyAlignment="1">
      <alignment horizontal="left" wrapText="1"/>
    </xf>
    <xf numFmtId="0" fontId="37" fillId="0" borderId="0" xfId="0" applyFont="1" applyAlignment="1">
      <alignment horizontal="center" vertical="center"/>
    </xf>
    <xf numFmtId="0" fontId="34" fillId="0" borderId="851" xfId="0" applyFont="1" applyBorder="1" applyAlignment="1">
      <alignment horizontal="center"/>
    </xf>
    <xf numFmtId="0" fontId="34" fillId="0" borderId="879" xfId="0" applyFont="1" applyBorder="1" applyAlignment="1">
      <alignment horizontal="center"/>
    </xf>
    <xf numFmtId="0" fontId="34" fillId="0" borderId="876" xfId="0" applyFont="1" applyBorder="1" applyAlignment="1">
      <alignment horizontal="center"/>
    </xf>
    <xf numFmtId="0" fontId="34" fillId="0" borderId="877" xfId="0" applyFont="1" applyBorder="1" applyAlignment="1">
      <alignment horizontal="center"/>
    </xf>
    <xf numFmtId="0" fontId="34" fillId="0" borderId="871" xfId="0" applyFont="1" applyBorder="1" applyAlignment="1">
      <alignment horizontal="center"/>
    </xf>
    <xf numFmtId="0" fontId="34" fillId="0" borderId="873" xfId="0" applyFont="1" applyBorder="1" applyAlignment="1">
      <alignment horizontal="center"/>
    </xf>
    <xf numFmtId="0" fontId="34" fillId="0" borderId="874" xfId="0" applyFont="1" applyBorder="1" applyAlignment="1">
      <alignment horizontal="center"/>
    </xf>
    <xf numFmtId="0" fontId="34" fillId="0" borderId="851" xfId="0" applyFont="1" applyBorder="1" applyAlignment="1">
      <alignment horizontal="center" vertical="top"/>
    </xf>
    <xf numFmtId="0" fontId="34" fillId="0" borderId="867" xfId="0" applyFont="1" applyBorder="1" applyAlignment="1">
      <alignment horizontal="center" vertical="top"/>
    </xf>
    <xf numFmtId="0" fontId="34" fillId="0" borderId="869" xfId="0" applyFont="1" applyBorder="1" applyAlignment="1">
      <alignment horizontal="center" vertical="top"/>
    </xf>
    <xf numFmtId="0" fontId="34" fillId="0" borderId="870" xfId="0" applyFont="1" applyBorder="1" applyAlignment="1">
      <alignment horizontal="center" vertical="top"/>
    </xf>
    <xf numFmtId="0" fontId="34" fillId="0" borderId="847" xfId="0" applyFont="1" applyBorder="1" applyAlignment="1">
      <alignment horizontal="center"/>
    </xf>
    <xf numFmtId="0" fontId="34" fillId="0" borderId="848" xfId="0" applyFont="1" applyBorder="1" applyAlignment="1">
      <alignment horizontal="center"/>
    </xf>
    <xf numFmtId="0" fontId="34" fillId="0" borderId="849" xfId="0" applyFont="1" applyBorder="1" applyAlignment="1">
      <alignment horizontal="center"/>
    </xf>
    <xf numFmtId="0" fontId="34" fillId="0" borderId="850" xfId="0" applyFont="1" applyBorder="1" applyAlignment="1">
      <alignment horizontal="center"/>
    </xf>
    <xf numFmtId="0" fontId="34" fillId="0" borderId="852" xfId="0" applyFont="1" applyBorder="1" applyAlignment="1">
      <alignment horizontal="center" vertical="top"/>
    </xf>
    <xf numFmtId="0" fontId="34" fillId="0" borderId="855" xfId="0" applyFont="1" applyBorder="1" applyAlignment="1">
      <alignment horizontal="center" vertical="top"/>
    </xf>
    <xf numFmtId="0" fontId="34" fillId="0" borderId="857" xfId="0" applyFont="1" applyBorder="1" applyAlignment="1">
      <alignment horizontal="center" vertical="top"/>
    </xf>
    <xf numFmtId="0" fontId="34" fillId="0" borderId="862" xfId="0" applyFont="1" applyBorder="1" applyAlignment="1">
      <alignment horizontal="center" vertical="top"/>
    </xf>
    <xf numFmtId="0" fontId="34" fillId="0" borderId="864" xfId="0" applyFont="1" applyBorder="1" applyAlignment="1">
      <alignment horizontal="center" vertical="top"/>
    </xf>
    <xf numFmtId="0" fontId="34" fillId="0" borderId="865" xfId="0" applyFont="1" applyBorder="1" applyAlignment="1">
      <alignment horizontal="center" vertical="top"/>
    </xf>
    <xf numFmtId="0" fontId="34" fillId="0" borderId="22" xfId="0" applyFont="1" applyBorder="1" applyAlignment="1">
      <alignment horizontal="center"/>
    </xf>
    <xf numFmtId="0" fontId="34" fillId="0" borderId="892" xfId="0" applyFont="1" applyBorder="1" applyAlignment="1">
      <alignment horizontal="center"/>
    </xf>
    <xf numFmtId="0" fontId="34" fillId="0" borderId="889" xfId="0" applyFont="1" applyBorder="1" applyAlignment="1">
      <alignment horizontal="center" wrapText="1"/>
    </xf>
    <xf numFmtId="0" fontId="34" fillId="0" borderId="890" xfId="0" applyFont="1" applyBorder="1" applyAlignment="1">
      <alignment horizontal="center" wrapText="1"/>
    </xf>
    <xf numFmtId="14" fontId="34" fillId="4" borderId="886" xfId="0" applyNumberFormat="1" applyFont="1" applyFill="1" applyBorder="1" applyAlignment="1">
      <alignment horizontal="center"/>
    </xf>
    <xf numFmtId="14" fontId="34" fillId="4" borderId="887" xfId="0" applyNumberFormat="1" applyFont="1" applyFill="1" applyBorder="1" applyAlignment="1">
      <alignment horizontal="center"/>
    </xf>
    <xf numFmtId="1" fontId="34" fillId="4" borderId="883" xfId="0" applyNumberFormat="1" applyFont="1" applyFill="1" applyBorder="1" applyAlignment="1">
      <alignment horizontal="center" wrapText="1"/>
    </xf>
    <xf numFmtId="1" fontId="34" fillId="4" borderId="885" xfId="0" applyNumberFormat="1" applyFont="1" applyFill="1" applyBorder="1" applyAlignment="1">
      <alignment horizontal="center" wrapText="1"/>
    </xf>
    <xf numFmtId="14" fontId="34" fillId="0" borderId="881" xfId="0" applyNumberFormat="1" applyFont="1" applyBorder="1" applyAlignment="1">
      <alignment horizontal="center" vertical="center" wrapText="1"/>
    </xf>
    <xf numFmtId="14" fontId="34" fillId="0" borderId="882" xfId="0" applyNumberFormat="1" applyFont="1" applyBorder="1" applyAlignment="1">
      <alignment horizontal="center" vertical="center" wrapText="1"/>
    </xf>
    <xf numFmtId="4" fontId="7" fillId="26" borderId="28" xfId="0" applyNumberFormat="1" applyFont="1" applyFill="1" applyBorder="1" applyAlignment="1">
      <alignment horizontal="center" vertical="center" wrapText="1"/>
    </xf>
    <xf numFmtId="10" fontId="7" fillId="26" borderId="28" xfId="0" applyNumberFormat="1" applyFont="1" applyFill="1" applyBorder="1" applyAlignment="1">
      <alignment horizontal="center" vertical="center" wrapText="1"/>
    </xf>
    <xf numFmtId="0" fontId="5" fillId="0" borderId="846" xfId="0" applyFont="1" applyFill="1" applyBorder="1" applyAlignment="1">
      <alignment horizontal="center" vertical="center"/>
    </xf>
    <xf numFmtId="2" fontId="1" fillId="0" borderId="911" xfId="0" applyNumberFormat="1" applyFont="1" applyBorder="1" applyAlignment="1">
      <alignment horizontal="center" vertical="center" wrapText="1"/>
    </xf>
    <xf numFmtId="0" fontId="7" fillId="26" borderId="28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896" xfId="0" applyFont="1" applyBorder="1" applyAlignment="1">
      <alignment horizontal="center" vertical="center" wrapText="1"/>
    </xf>
    <xf numFmtId="0" fontId="7" fillId="0" borderId="896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584508" y="1936115"/>
    <xdr:ext cx="5977306" cy="0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0" y="0"/>
          <a:ext cx="5977306" cy="0"/>
        </a:xfrm>
        <a:prstGeom prst="line">
          <a:avLst/>
        </a:prstGeom>
        <a:noFill/>
        <a:ln w="9360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absoluteAnchor>
  <xdr:absoluteAnchor>
    <xdr:pos x="584508" y="1400175"/>
    <xdr:ext cx="5977306" cy="0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0" y="0"/>
          <a:ext cx="5977306" cy="0"/>
        </a:xfrm>
        <a:prstGeom prst="line">
          <a:avLst/>
        </a:prstGeom>
        <a:noFill/>
        <a:ln w="9360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absoluteAnchor>
  <xdr:absoluteAnchor>
    <xdr:pos x="574983" y="2526665"/>
    <xdr:ext cx="5967781" cy="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0" y="0"/>
          <a:ext cx="5967781" cy="0"/>
        </a:xfrm>
        <a:prstGeom prst="line">
          <a:avLst/>
        </a:prstGeom>
        <a:noFill/>
        <a:ln w="9360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absoluteAnchor>
  <xdr:absoluteAnchor>
    <xdr:pos x="574983" y="2888615"/>
    <xdr:ext cx="5967781" cy="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0" y="0"/>
          <a:ext cx="5967781" cy="0"/>
        </a:xfrm>
        <a:prstGeom prst="line">
          <a:avLst/>
        </a:prstGeom>
        <a:noFill/>
        <a:ln w="9360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absoluteAnchor>
  <xdr:absoluteAnchor>
    <xdr:pos x="584508" y="3231515"/>
    <xdr:ext cx="5109068" cy="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0" y="0"/>
          <a:ext cx="5109068" cy="0"/>
        </a:xfrm>
        <a:prstGeom prst="line">
          <a:avLst/>
        </a:prstGeom>
        <a:noFill/>
        <a:ln w="9360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absoluteAnchor>
  <xdr:absoluteAnchor>
    <xdr:pos x="574983" y="2526665"/>
    <xdr:ext cx="5967781" cy="0"/>
    <xdr:sp macro="" textlink="">
      <xdr:nvSpPr>
        <xdr:cNvPr id="7" name="Shap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0" y="0"/>
          <a:ext cx="5967781" cy="0"/>
        </a:xfrm>
        <a:prstGeom prst="line">
          <a:avLst/>
        </a:prstGeom>
        <a:noFill/>
        <a:ln w="9360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adc\Desktop\&#1056;&#1058;&#1050;%20&#1069;&#1057;&#1058;%202025\&#1054;&#1090;&#1095;&#1077;&#1090;&#1099;%20&#1087;&#1072;&#1094;&#1072;&#1085;&#1086;&#1074;\&#1053;&#1086;&#1074;&#1072;&#1082;\&#1056;&#1058;&#1050;%2012-1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AppData\Local\Microsoft\Windows\INetCache\Content.Outlook\FU92QCZM\2604-2605%20&#1054;&#1088;&#1077;&#1093;%20&#1056;&#1086;&#1089;&#1090;&#1086;&#107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асстояния"/>
      <sheetName val="Formula"/>
      <sheetName val="Work"/>
      <sheetName val="Отчет-OPEX"/>
      <sheetName val="КС2 OPEX"/>
      <sheetName val="КС3 OPEX"/>
      <sheetName val="СИМ OPEX"/>
    </sheetNames>
    <sheetDataSet>
      <sheetData sheetId="0">
        <row r="2">
          <cell r="C2" t="str">
            <v>RO0001</v>
          </cell>
          <cell r="D2" t="str">
            <v>22:собст. АМС выше 10 м на крыше</v>
          </cell>
          <cell r="E2" t="str">
            <v>Ростовская Область, Ростов-на-Дону Город, Ворошиловский Проспект\87/65</v>
          </cell>
          <cell r="F2">
            <v>1.06</v>
          </cell>
          <cell r="G2" t="str">
            <v>Осн.</v>
          </cell>
          <cell r="H2" t="str">
            <v>Ростовская</v>
          </cell>
          <cell r="I2">
            <v>3</v>
          </cell>
        </row>
        <row r="3">
          <cell r="C3" t="str">
            <v>RO0002</v>
          </cell>
          <cell r="D3" t="str">
            <v>33:трубостойки, АМС инфраструктурного оператора</v>
          </cell>
          <cell r="E3" t="str">
            <v>Ростовская Область, Ростов-на-Дону Город, Михаила Нагибина Проспект\в районе дома 2Б</v>
          </cell>
          <cell r="F3">
            <v>1.06</v>
          </cell>
          <cell r="G3" t="str">
            <v>Осн.</v>
          </cell>
          <cell r="H3" t="str">
            <v>Ростовская</v>
          </cell>
          <cell r="I3">
            <v>3</v>
          </cell>
        </row>
        <row r="4">
          <cell r="C4" t="str">
            <v>RO0004</v>
          </cell>
          <cell r="D4" t="str">
            <v>21:собст. АМС до 10 м на крыше</v>
          </cell>
          <cell r="E4" t="str">
            <v>Ростовская Область, Ростов-на-Дону Город, Большая Садовая Улица\53/55</v>
          </cell>
          <cell r="F4">
            <v>1.08</v>
          </cell>
          <cell r="G4" t="str">
            <v>Осн.</v>
          </cell>
          <cell r="H4" t="str">
            <v>Ростовская</v>
          </cell>
          <cell r="I4">
            <v>4</v>
          </cell>
        </row>
        <row r="5">
          <cell r="C5" t="str">
            <v>RO0005</v>
          </cell>
          <cell r="D5" t="str">
            <v>31:трубостойки на чужой АМС на земле/крыше</v>
          </cell>
          <cell r="E5" t="str">
            <v>Ростовская Область, Ростов-на-Дону Город, Таганрогская Улица, дом 175</v>
          </cell>
          <cell r="F5">
            <v>1.22</v>
          </cell>
          <cell r="G5" t="str">
            <v>Осн.</v>
          </cell>
          <cell r="H5" t="str">
            <v>Ростовская</v>
          </cell>
          <cell r="I5">
            <v>11</v>
          </cell>
        </row>
        <row r="6">
          <cell r="C6" t="str">
            <v>RO0006</v>
          </cell>
          <cell r="D6" t="str">
            <v>22:собст. АМС выше 10 м на крыше</v>
          </cell>
          <cell r="E6" t="str">
            <v>Ростовская Область, Ростов-на-Дону Город, Тракторная Улица, дом 50</v>
          </cell>
          <cell r="F6">
            <v>1.1599999999999999</v>
          </cell>
          <cell r="G6" t="str">
            <v>Осн.</v>
          </cell>
          <cell r="H6" t="str">
            <v>Ростовская</v>
          </cell>
          <cell r="I6">
            <v>8</v>
          </cell>
        </row>
        <row r="7">
          <cell r="C7" t="str">
            <v>RO0007</v>
          </cell>
          <cell r="D7" t="str">
            <v>21:собст. АМС до 10 м на крыше</v>
          </cell>
          <cell r="E7" t="str">
            <v>Ростовская Область, Ростов-на-Дону Город, Михаила Нагибина Проспект, дом 19</v>
          </cell>
          <cell r="F7">
            <v>1.1000000000000001</v>
          </cell>
          <cell r="G7" t="str">
            <v>Осн.</v>
          </cell>
          <cell r="H7" t="str">
            <v>Ростовская</v>
          </cell>
          <cell r="I7">
            <v>5</v>
          </cell>
        </row>
        <row r="8">
          <cell r="C8" t="str">
            <v>RO0008</v>
          </cell>
          <cell r="D8" t="str">
            <v>22:собст. АМС выше 10 м на крыше</v>
          </cell>
          <cell r="E8" t="str">
            <v>Ростовская Область, Ростов-на-Дону Город, Театральный Проспект\60</v>
          </cell>
          <cell r="F8">
            <v>1.1000000000000001</v>
          </cell>
          <cell r="G8" t="str">
            <v>Осн.</v>
          </cell>
          <cell r="H8" t="str">
            <v>Ростовская</v>
          </cell>
          <cell r="I8">
            <v>5</v>
          </cell>
        </row>
        <row r="9">
          <cell r="C9" t="str">
            <v>RO0009</v>
          </cell>
          <cell r="D9" t="str">
            <v>21:собст. АМС до 10 м на крыше</v>
          </cell>
          <cell r="E9" t="str">
            <v>Ростовская Область, Ростов-на-Дону Город, Станиславского Улица, дом 167/25</v>
          </cell>
          <cell r="F9">
            <v>1.06</v>
          </cell>
          <cell r="G9" t="str">
            <v>Осн.</v>
          </cell>
          <cell r="H9" t="str">
            <v>Ростовская</v>
          </cell>
          <cell r="I9">
            <v>3</v>
          </cell>
        </row>
        <row r="10">
          <cell r="C10" t="str">
            <v>RO0010</v>
          </cell>
          <cell r="D10" t="str">
            <v>21:собст. АМС до 10 м на крыше</v>
          </cell>
          <cell r="E10" t="str">
            <v>Ростовская Область, Ростов-на-Дону Город, Станиславского Улица\118</v>
          </cell>
          <cell r="F10">
            <v>1.08</v>
          </cell>
          <cell r="G10" t="str">
            <v>Осн.</v>
          </cell>
          <cell r="H10" t="str">
            <v>Ростовская</v>
          </cell>
          <cell r="I10">
            <v>4</v>
          </cell>
        </row>
        <row r="11">
          <cell r="C11" t="str">
            <v>RO0011</v>
          </cell>
          <cell r="D11" t="str">
            <v>21:собст. АМС до 10 м на крыше</v>
          </cell>
          <cell r="E11" t="str">
            <v>Ростовская Область, Ростов-на-Дону Город, Московская Улица, дом 43/13</v>
          </cell>
          <cell r="F11">
            <v>1.1000000000000001</v>
          </cell>
          <cell r="G11" t="str">
            <v>Осн.</v>
          </cell>
          <cell r="H11" t="str">
            <v>Ростовская</v>
          </cell>
          <cell r="I11">
            <v>5</v>
          </cell>
        </row>
        <row r="12">
          <cell r="C12" t="str">
            <v>RO0012</v>
          </cell>
          <cell r="D12" t="str">
            <v>21:собст. АМС до 10 м на крыше</v>
          </cell>
          <cell r="E12" t="str">
            <v>Ростовская Область, Ростов-на-Дону Город, Привокзальная Площадь, дом 1/2</v>
          </cell>
          <cell r="F12">
            <v>1.1200000000000001</v>
          </cell>
          <cell r="G12" t="str">
            <v>Осн.</v>
          </cell>
          <cell r="H12" t="str">
            <v>Ростовская</v>
          </cell>
          <cell r="I12">
            <v>6</v>
          </cell>
        </row>
        <row r="13">
          <cell r="C13" t="str">
            <v>RO0013</v>
          </cell>
          <cell r="D13" t="str">
            <v>21:собст. АМС до 10 м на крыше</v>
          </cell>
          <cell r="E13" t="str">
            <v>Ростовская Область, Ростов-на-Дону Город, Ростовского Стрелкового полка Площадь, дом 2</v>
          </cell>
          <cell r="F13">
            <v>1.08</v>
          </cell>
          <cell r="G13" t="str">
            <v>Осн.</v>
          </cell>
          <cell r="H13" t="str">
            <v>Ростовская</v>
          </cell>
          <cell r="I13">
            <v>4</v>
          </cell>
        </row>
        <row r="14">
          <cell r="C14" t="str">
            <v>RO0014</v>
          </cell>
          <cell r="D14" t="str">
            <v>21:собст. АМС до 10 м на крыше</v>
          </cell>
          <cell r="E14" t="str">
            <v>Ростовская Область, Ростов-на-Дону Город, Михаила Нагибина Проспект, дом 30</v>
          </cell>
          <cell r="F14">
            <v>1.08</v>
          </cell>
          <cell r="G14" t="str">
            <v>Осн.</v>
          </cell>
          <cell r="H14" t="str">
            <v>Ростовская</v>
          </cell>
          <cell r="I14">
            <v>4</v>
          </cell>
        </row>
        <row r="15">
          <cell r="C15" t="str">
            <v>RO0015</v>
          </cell>
          <cell r="D15" t="str">
            <v>22:собст. АМС выше 10 м на крыше</v>
          </cell>
          <cell r="E15" t="str">
            <v>Ростовская Область, Ростов-на-Дону Город, Металлургическая Улица, дом 102/2</v>
          </cell>
          <cell r="F15">
            <v>1.08</v>
          </cell>
          <cell r="G15" t="str">
            <v>Осн.</v>
          </cell>
          <cell r="H15" t="str">
            <v>Ростовская</v>
          </cell>
          <cell r="I15">
            <v>4</v>
          </cell>
        </row>
        <row r="16">
          <cell r="C16" t="str">
            <v>RO0016</v>
          </cell>
          <cell r="D16" t="str">
            <v>22:собст. АМС выше 10 м на крыше</v>
          </cell>
          <cell r="E16" t="str">
            <v>Ростовская Область, Ростов-на-Дону Город, 31 Линия Улица\4</v>
          </cell>
          <cell r="F16">
            <v>1.1000000000000001</v>
          </cell>
          <cell r="G16" t="str">
            <v>Осн.</v>
          </cell>
          <cell r="H16" t="str">
            <v>Ростовская</v>
          </cell>
          <cell r="I16">
            <v>5</v>
          </cell>
        </row>
        <row r="17">
          <cell r="C17" t="str">
            <v>RO0017</v>
          </cell>
          <cell r="D17" t="str">
            <v>21:собст. АМС до 10 м на крыше</v>
          </cell>
          <cell r="E17" t="str">
            <v>Ростовская Область, Ростов-на-Дону Город, Шоссейная Улица, дом 47</v>
          </cell>
          <cell r="F17">
            <v>1.18</v>
          </cell>
          <cell r="G17" t="str">
            <v>Осн.</v>
          </cell>
          <cell r="H17" t="str">
            <v>Ростовская</v>
          </cell>
          <cell r="I17">
            <v>9</v>
          </cell>
        </row>
        <row r="18">
          <cell r="C18" t="str">
            <v>RO0018</v>
          </cell>
          <cell r="D18" t="str">
            <v>33:трубостойки, АМС инфраструктурного оператора</v>
          </cell>
          <cell r="E18" t="str">
            <v>Ростовская Область, Ростов-на-Дону Город, Шолохова Проспект, дом 96\а (в районе дома)</v>
          </cell>
          <cell r="F18">
            <v>1.06</v>
          </cell>
          <cell r="G18" t="str">
            <v>Осн.</v>
          </cell>
          <cell r="H18" t="str">
            <v>Ростовская</v>
          </cell>
          <cell r="I18">
            <v>3</v>
          </cell>
        </row>
        <row r="19">
          <cell r="C19" t="str">
            <v>RO0019</v>
          </cell>
          <cell r="D19" t="str">
            <v>21:собст. АМС до 10 м на крыше</v>
          </cell>
          <cell r="E19" t="str">
            <v>Ростовская Область, Ростов-на-Дону Город, Гвардейский Переулок, дом 61</v>
          </cell>
          <cell r="F19">
            <v>1.08</v>
          </cell>
          <cell r="G19" t="str">
            <v>Осн.</v>
          </cell>
          <cell r="H19" t="str">
            <v>Ростовская</v>
          </cell>
          <cell r="I19">
            <v>4</v>
          </cell>
        </row>
        <row r="20">
          <cell r="C20" t="str">
            <v>RO0020</v>
          </cell>
          <cell r="D20" t="str">
            <v>22:собст. АМС выше 10 м на крыше</v>
          </cell>
          <cell r="E20" t="str">
            <v>Ростовская Область, Ростов-на-Дону Город, Космонавтов Проспект, дом 2/2</v>
          </cell>
          <cell r="F20">
            <v>1.1399999999999999</v>
          </cell>
          <cell r="G20" t="str">
            <v>Осн.</v>
          </cell>
          <cell r="H20" t="str">
            <v>Ростовская</v>
          </cell>
          <cell r="I20">
            <v>7</v>
          </cell>
        </row>
        <row r="21">
          <cell r="C21" t="str">
            <v>RO0021</v>
          </cell>
          <cell r="D21" t="str">
            <v>22:собст. АМС выше 10 м на крыше</v>
          </cell>
          <cell r="E21" t="str">
            <v>Ростовская Область, Ростов-на-Дону Город, Штахановского Улица, дом 10/1</v>
          </cell>
          <cell r="F21">
            <v>1.2</v>
          </cell>
          <cell r="G21" t="str">
            <v>Осн.</v>
          </cell>
          <cell r="H21" t="str">
            <v>Ростовская</v>
          </cell>
          <cell r="I21">
            <v>10</v>
          </cell>
        </row>
        <row r="22">
          <cell r="C22" t="str">
            <v>RO0022</v>
          </cell>
          <cell r="D22" t="str">
            <v>31:трубостойки на чужой АМС на земле/крыше</v>
          </cell>
          <cell r="E22" t="str">
            <v>Ростовская Область, Ростов-на-Дону Город, Вятская Улица, дом 69</v>
          </cell>
          <cell r="F22">
            <v>1.1599999999999999</v>
          </cell>
          <cell r="G22" t="str">
            <v>Осн.</v>
          </cell>
          <cell r="H22" t="str">
            <v>Ростовская</v>
          </cell>
          <cell r="I22">
            <v>8</v>
          </cell>
        </row>
        <row r="23">
          <cell r="C23" t="str">
            <v>RO0023</v>
          </cell>
          <cell r="D23" t="str">
            <v>22:собст. АМС выше 10 м на крыше</v>
          </cell>
          <cell r="E23" t="str">
            <v>Ростовская Область, Ростов-на-Дону Город, Шолохова Проспект, дом 282</v>
          </cell>
          <cell r="F23">
            <v>1.1399999999999999</v>
          </cell>
          <cell r="G23" t="str">
            <v>Осн.</v>
          </cell>
          <cell r="H23" t="str">
            <v>Ростовская</v>
          </cell>
          <cell r="I23">
            <v>7</v>
          </cell>
        </row>
        <row r="24">
          <cell r="C24" t="str">
            <v>RO0024</v>
          </cell>
          <cell r="D24" t="str">
            <v>21:собст. АМС до 10 м на крыше</v>
          </cell>
          <cell r="E24" t="str">
            <v>Ростовская Область, Ростов-на-Дону Город, Мясникова Улица, дом 54</v>
          </cell>
          <cell r="F24">
            <v>1.08</v>
          </cell>
          <cell r="G24" t="str">
            <v>Осн.</v>
          </cell>
          <cell r="H24" t="str">
            <v>Ростовская</v>
          </cell>
          <cell r="I24">
            <v>4</v>
          </cell>
        </row>
        <row r="25">
          <cell r="C25" t="str">
            <v>RO0025</v>
          </cell>
          <cell r="D25" t="str">
            <v>21:собст. АМС до 10 м на крыше</v>
          </cell>
          <cell r="E25" t="str">
            <v>Ростовская Область, Ростов-на-Дону Город, Мечникова Улица, дом 114/134</v>
          </cell>
          <cell r="F25">
            <v>1.08</v>
          </cell>
          <cell r="G25" t="str">
            <v>Осн.</v>
          </cell>
          <cell r="H25" t="str">
            <v>Ростовская</v>
          </cell>
          <cell r="I25">
            <v>4</v>
          </cell>
        </row>
        <row r="26">
          <cell r="C26" t="str">
            <v>RO0026</v>
          </cell>
          <cell r="D26" t="str">
            <v>22:собст. АМС выше 10 м на крыше</v>
          </cell>
          <cell r="E26" t="str">
            <v>Ростовская Область, Ростов-на-Дону Город, Литвинова Улица, дом 4</v>
          </cell>
          <cell r="F26">
            <v>1.1599999999999999</v>
          </cell>
          <cell r="G26" t="str">
            <v>Осн.</v>
          </cell>
          <cell r="H26" t="str">
            <v>Ростовская</v>
          </cell>
          <cell r="I26">
            <v>8</v>
          </cell>
        </row>
        <row r="27">
          <cell r="C27" t="str">
            <v>RO0027</v>
          </cell>
          <cell r="D27" t="str">
            <v>31:трубостойки на чужой АМС на земле/крыше</v>
          </cell>
          <cell r="E27" t="str">
            <v>Ростовская Область, Ростов-на-Дону Город, Разъезд Западный Улица, дом 7</v>
          </cell>
          <cell r="F27">
            <v>1.28</v>
          </cell>
          <cell r="G27" t="str">
            <v>Осн.</v>
          </cell>
          <cell r="H27" t="str">
            <v>Ростовская</v>
          </cell>
          <cell r="I27">
            <v>14</v>
          </cell>
        </row>
        <row r="28">
          <cell r="C28" t="str">
            <v>RO0028</v>
          </cell>
          <cell r="D28" t="str">
            <v>13:собст. железобетонный столб с заглубленным фундаментом</v>
          </cell>
          <cell r="E28" t="str">
            <v>Ростовская Область, Ростов-на-Дону Город, Планетная Улица, дом 6</v>
          </cell>
          <cell r="F28">
            <v>1.22</v>
          </cell>
          <cell r="G28" t="str">
            <v>Осн.</v>
          </cell>
          <cell r="H28" t="str">
            <v>Ростовская</v>
          </cell>
          <cell r="I28">
            <v>11</v>
          </cell>
        </row>
        <row r="29">
          <cell r="C29" t="str">
            <v>RO0029</v>
          </cell>
          <cell r="D29" t="str">
            <v>13:собст. железобетонный столб с заглубленным фундаментом</v>
          </cell>
          <cell r="E29" t="str">
            <v>Ростовская Область, Ростов-на-Дону Город, Атарбекова Улица, дом 74а</v>
          </cell>
          <cell r="F29">
            <v>1.2</v>
          </cell>
          <cell r="G29" t="str">
            <v>Осн.</v>
          </cell>
          <cell r="H29" t="str">
            <v>Ростовская</v>
          </cell>
          <cell r="I29">
            <v>10</v>
          </cell>
        </row>
        <row r="30">
          <cell r="C30" t="str">
            <v>RO0030</v>
          </cell>
          <cell r="D30" t="str">
            <v>22:собст. АМС выше 10 м на крыше</v>
          </cell>
          <cell r="E30" t="str">
            <v>Ростовская Область, Ростов-на-Дону Город, Туполева Улица, дом 16ж</v>
          </cell>
          <cell r="F30">
            <v>1.2</v>
          </cell>
          <cell r="G30" t="str">
            <v>Осн.</v>
          </cell>
          <cell r="H30" t="str">
            <v>Ростовская</v>
          </cell>
          <cell r="I30">
            <v>10</v>
          </cell>
        </row>
        <row r="31">
          <cell r="C31" t="str">
            <v>RO0031</v>
          </cell>
          <cell r="D31" t="str">
            <v>22:собст. АМС выше 10 м на крыше</v>
          </cell>
          <cell r="E31" t="str">
            <v>Ростовская Область, Ростов-на-Дону Город, 2-я Краснодарская Улица, дом 145а</v>
          </cell>
          <cell r="F31">
            <v>1.28</v>
          </cell>
          <cell r="G31" t="str">
            <v>Осн.</v>
          </cell>
          <cell r="H31" t="str">
            <v>Ростовская</v>
          </cell>
          <cell r="I31">
            <v>14</v>
          </cell>
        </row>
        <row r="32">
          <cell r="C32" t="str">
            <v>RO0032</v>
          </cell>
          <cell r="D32" t="str">
            <v>22:собст. АМС выше 10 м на крыше</v>
          </cell>
          <cell r="E32" t="str">
            <v>Ростовская Область, Ростов-на-Дону Город, 40-летия Победы Проспект, дом 95</v>
          </cell>
          <cell r="F32">
            <v>1.22</v>
          </cell>
          <cell r="G32" t="str">
            <v>Осн.</v>
          </cell>
          <cell r="H32" t="str">
            <v>Ростовская</v>
          </cell>
          <cell r="I32">
            <v>11</v>
          </cell>
        </row>
        <row r="33">
          <cell r="C33" t="str">
            <v>RO0033</v>
          </cell>
          <cell r="D33" t="str">
            <v>22:собст. АМС выше 10 м на крыше</v>
          </cell>
          <cell r="E33" t="str">
            <v>Ростовская Область, Ростов-на-Дону Город, Портовая Улица, дом 543</v>
          </cell>
          <cell r="F33">
            <v>1.32</v>
          </cell>
          <cell r="G33" t="str">
            <v>Осн.</v>
          </cell>
          <cell r="H33" t="str">
            <v>Ростовская</v>
          </cell>
          <cell r="I33">
            <v>16</v>
          </cell>
        </row>
        <row r="34">
          <cell r="C34" t="str">
            <v>RO0034</v>
          </cell>
          <cell r="D34" t="str">
            <v>22:собст. АМС выше 10 м на крыше</v>
          </cell>
          <cell r="E34" t="str">
            <v>Ростовская Область, Ростов-на-Дону Город, Малиновского Улица, дом 9</v>
          </cell>
          <cell r="F34">
            <v>1.28</v>
          </cell>
          <cell r="G34" t="str">
            <v>Осн.</v>
          </cell>
          <cell r="H34" t="str">
            <v>Ростовская</v>
          </cell>
          <cell r="I34">
            <v>14</v>
          </cell>
        </row>
        <row r="35">
          <cell r="C35" t="str">
            <v>RO0035</v>
          </cell>
          <cell r="D35" t="str">
            <v>22:собст. АМС выше 10 м на крыше</v>
          </cell>
          <cell r="E35" t="str">
            <v>Ростовская Область, Ростов-на-Дону Город, Стачки Проспект, дом 194/2</v>
          </cell>
          <cell r="F35">
            <v>1.26</v>
          </cell>
          <cell r="G35" t="str">
            <v>Осн.</v>
          </cell>
          <cell r="H35" t="str">
            <v>Ростовская</v>
          </cell>
          <cell r="I35">
            <v>13</v>
          </cell>
        </row>
        <row r="36">
          <cell r="C36" t="str">
            <v>RO0036</v>
          </cell>
          <cell r="D36" t="str">
            <v>13:собст. железобетонный столб с заглубленным фундаментом</v>
          </cell>
          <cell r="E36" t="str">
            <v>Ростовская Область, Ростов-на-Дону Город, Малиновского Улица, дом 64</v>
          </cell>
          <cell r="F36">
            <v>1.26</v>
          </cell>
          <cell r="G36" t="str">
            <v>Осн.</v>
          </cell>
          <cell r="H36" t="str">
            <v>Ростовская</v>
          </cell>
          <cell r="I36">
            <v>13</v>
          </cell>
        </row>
        <row r="37">
          <cell r="C37" t="str">
            <v>RO0037</v>
          </cell>
          <cell r="D37" t="str">
            <v>22:собст. АМС выше 10 м на крыше</v>
          </cell>
          <cell r="E37" t="str">
            <v>Ростовская Область, Ростов-на-Дону Город, Доватора Улица, дом 146</v>
          </cell>
          <cell r="F37">
            <v>1.24</v>
          </cell>
          <cell r="G37" t="str">
            <v>Осн.</v>
          </cell>
          <cell r="H37" t="str">
            <v>Ростовская</v>
          </cell>
          <cell r="I37">
            <v>12</v>
          </cell>
        </row>
        <row r="38">
          <cell r="C38" t="str">
            <v>RO0038</v>
          </cell>
          <cell r="D38" t="str">
            <v>22:собст. АМС выше 10 м на крыше</v>
          </cell>
          <cell r="E38" t="str">
            <v>Ростовская Область, Ростов-на-Дону Город, Таганрогская Улица, дом 106</v>
          </cell>
          <cell r="F38">
            <v>1.2</v>
          </cell>
          <cell r="G38" t="str">
            <v>Осн.</v>
          </cell>
          <cell r="H38" t="str">
            <v>Ростовская</v>
          </cell>
          <cell r="I38">
            <v>10</v>
          </cell>
        </row>
        <row r="39">
          <cell r="C39" t="str">
            <v>RO0039</v>
          </cell>
          <cell r="D39" t="str">
            <v>31:трубостойки на чужой АМС на земле/крыше</v>
          </cell>
          <cell r="E39" t="str">
            <v>Ростовская Область, Ростов-на-Дону Город, Гагринская Улица, дом 11а</v>
          </cell>
          <cell r="F39">
            <v>1.22</v>
          </cell>
          <cell r="G39" t="str">
            <v>Осн.</v>
          </cell>
          <cell r="H39" t="str">
            <v>Ростовская</v>
          </cell>
          <cell r="I39">
            <v>11</v>
          </cell>
        </row>
        <row r="40">
          <cell r="C40" t="str">
            <v>RO0040</v>
          </cell>
          <cell r="D40" t="str">
            <v>21:собст. АМС до 10 м на крыше</v>
          </cell>
          <cell r="E40" t="str">
            <v>Ростовская Область, Аксайский Район, Аксай Город, Мира Улица, дом 7</v>
          </cell>
          <cell r="F40">
            <v>1.28</v>
          </cell>
          <cell r="G40" t="str">
            <v>Осн.</v>
          </cell>
          <cell r="H40" t="str">
            <v>Ростовская</v>
          </cell>
          <cell r="I40">
            <v>14</v>
          </cell>
        </row>
        <row r="41">
          <cell r="C41" t="str">
            <v>RO0041</v>
          </cell>
          <cell r="D41" t="str">
            <v>22:собст. АМС выше 10 м на крыше</v>
          </cell>
          <cell r="E41" t="str">
            <v>Ростовская Область, Ростов-на-Дону Город, Комарова Бульвар, дом 28/2</v>
          </cell>
          <cell r="F41">
            <v>1.1599999999999999</v>
          </cell>
          <cell r="G41" t="str">
            <v>Осн.</v>
          </cell>
          <cell r="H41" t="str">
            <v>Ростовская</v>
          </cell>
          <cell r="I41">
            <v>8</v>
          </cell>
        </row>
        <row r="42">
          <cell r="C42" t="str">
            <v>RO0042</v>
          </cell>
          <cell r="D42" t="str">
            <v>21:собст. АМС до 10 м на крыше</v>
          </cell>
          <cell r="E42" t="str">
            <v>Ростовская Область, Ростов-на-Дону Город, Орбитальная Улица, дом 50</v>
          </cell>
          <cell r="F42">
            <v>1.2</v>
          </cell>
          <cell r="G42" t="str">
            <v>Осн.</v>
          </cell>
          <cell r="H42" t="str">
            <v>Ростовская</v>
          </cell>
          <cell r="I42">
            <v>10</v>
          </cell>
        </row>
        <row r="43">
          <cell r="C43" t="str">
            <v>RO0043</v>
          </cell>
          <cell r="D43" t="str">
            <v>21:собст. АМС до 10 м на крыше</v>
          </cell>
          <cell r="E43" t="str">
            <v>Ростовская Область, Ростов-на-Дону Город, Коммунистический Проспект, дом 10/1</v>
          </cell>
          <cell r="F43">
            <v>1.2</v>
          </cell>
          <cell r="G43" t="str">
            <v>Осн.</v>
          </cell>
          <cell r="H43" t="str">
            <v>Ростовская</v>
          </cell>
          <cell r="I43">
            <v>10</v>
          </cell>
        </row>
        <row r="44">
          <cell r="C44" t="str">
            <v>RO0044</v>
          </cell>
          <cell r="D44" t="str">
            <v>22:собст. АМС выше 10 м на крыше</v>
          </cell>
          <cell r="E44" t="str">
            <v>Ростовская Область, Ростов-на-Дону Город, Конституционная Улица\63/64/23</v>
          </cell>
          <cell r="F44">
            <v>1.1200000000000001</v>
          </cell>
          <cell r="G44" t="str">
            <v>Осн.</v>
          </cell>
          <cell r="H44" t="str">
            <v>Ростовская</v>
          </cell>
          <cell r="I44">
            <v>6</v>
          </cell>
        </row>
        <row r="45">
          <cell r="C45" t="str">
            <v>RO0045</v>
          </cell>
          <cell r="D45" t="str">
            <v>31:трубостойки на чужой АМС на земле/крыше</v>
          </cell>
          <cell r="E45" t="str">
            <v>Ростовская Область, Ростов-на-Дону Город, Вавилова Улица, дом 74б</v>
          </cell>
          <cell r="F45">
            <v>1.2</v>
          </cell>
          <cell r="G45" t="str">
            <v>Осн.</v>
          </cell>
          <cell r="H45" t="str">
            <v>Ростовская</v>
          </cell>
          <cell r="I45">
            <v>10</v>
          </cell>
        </row>
        <row r="46">
          <cell r="C46" t="str">
            <v>RO0046</v>
          </cell>
          <cell r="D46" t="str">
            <v>22:собст. АМС выше 10 м на крыше</v>
          </cell>
          <cell r="E46" t="str">
            <v>Ростовская Область, Ростов-на-Дону Город, 40-летия Победы Проспект, дом 57а</v>
          </cell>
          <cell r="F46">
            <v>1.1599999999999999</v>
          </cell>
          <cell r="G46" t="str">
            <v>Осн.</v>
          </cell>
          <cell r="H46" t="str">
            <v>Ростовская</v>
          </cell>
          <cell r="I46">
            <v>8</v>
          </cell>
        </row>
        <row r="47">
          <cell r="C47" t="str">
            <v>RO0047</v>
          </cell>
          <cell r="D47" t="str">
            <v>22:собст. АМС выше 10 м на крыше</v>
          </cell>
          <cell r="E47" t="str">
            <v>Ростовская Область, Ростов-на-Дону Город, Мадояна Улица\205б</v>
          </cell>
          <cell r="F47">
            <v>1.18</v>
          </cell>
          <cell r="G47" t="str">
            <v>Осн.</v>
          </cell>
          <cell r="H47" t="str">
            <v>Ростовская</v>
          </cell>
          <cell r="I47">
            <v>9</v>
          </cell>
        </row>
        <row r="48">
          <cell r="C48" t="str">
            <v>RO0048</v>
          </cell>
          <cell r="D48" t="str">
            <v>21:собст. АМС до 10 м на крыше</v>
          </cell>
          <cell r="E48" t="str">
            <v>Ростовская Область, Ростов-на-Дону Город, Селиванова Улица, дом 49</v>
          </cell>
          <cell r="F48">
            <v>1.06</v>
          </cell>
          <cell r="G48" t="str">
            <v>Осн.</v>
          </cell>
          <cell r="H48" t="str">
            <v>Ростовская</v>
          </cell>
          <cell r="I48">
            <v>3</v>
          </cell>
        </row>
        <row r="49">
          <cell r="C49" t="str">
            <v>RO0049</v>
          </cell>
          <cell r="D49" t="str">
            <v>32:трубостойки/АМС на: трубе, элеваторе, водонап.башне</v>
          </cell>
          <cell r="E49" t="str">
            <v>Ростовская Область, Аксайский Район, Аксай Город, Чапаева Улица, дом 297</v>
          </cell>
          <cell r="F49">
            <v>1.32</v>
          </cell>
          <cell r="G49" t="str">
            <v>Осн.</v>
          </cell>
          <cell r="H49" t="str">
            <v>Ростовская</v>
          </cell>
          <cell r="I49">
            <v>16</v>
          </cell>
        </row>
        <row r="50">
          <cell r="C50" t="str">
            <v>RO0050</v>
          </cell>
          <cell r="D50" t="str">
            <v>21:собст. АМС до 10 м на крыше</v>
          </cell>
          <cell r="E50" t="str">
            <v>Ростовская Область, Ростов-на-Дону Город, Стачки Проспект, дом 224</v>
          </cell>
          <cell r="F50">
            <v>1.28</v>
          </cell>
          <cell r="G50" t="str">
            <v>Осн.</v>
          </cell>
          <cell r="H50" t="str">
            <v>Ростовская</v>
          </cell>
          <cell r="I50">
            <v>14</v>
          </cell>
        </row>
        <row r="51">
          <cell r="C51" t="str">
            <v>RO0051</v>
          </cell>
          <cell r="D51" t="str">
            <v>13:собст. железобетонный столб с заглубленным фундаментом</v>
          </cell>
          <cell r="E51" t="str">
            <v>Ростовская Область, Ростов-на-Дону Город, Синявский Переулок, дом 21\б</v>
          </cell>
          <cell r="F51">
            <v>1.18</v>
          </cell>
          <cell r="G51" t="str">
            <v>Осн.</v>
          </cell>
          <cell r="H51" t="str">
            <v>Ростовская</v>
          </cell>
          <cell r="I51">
            <v>9</v>
          </cell>
        </row>
        <row r="52">
          <cell r="C52" t="str">
            <v>RO0052</v>
          </cell>
          <cell r="D52" t="str">
            <v>31:трубостойки на чужой АМС на земле/крыше</v>
          </cell>
          <cell r="E52" t="str">
            <v>Ростовская Область, Ростов-на-Дону Город, Перовский Переулок, дом 12а</v>
          </cell>
          <cell r="F52">
            <v>1.1599999999999999</v>
          </cell>
          <cell r="G52" t="str">
            <v>Осн.</v>
          </cell>
          <cell r="H52" t="str">
            <v>Ростовская</v>
          </cell>
          <cell r="I52">
            <v>8</v>
          </cell>
        </row>
        <row r="53">
          <cell r="C53" t="str">
            <v>RO0053</v>
          </cell>
          <cell r="D53" t="str">
            <v>21:собст. АМС до 10 м на крыше</v>
          </cell>
          <cell r="E53" t="str">
            <v>Ростовская Область, Ростов-на-Дону Город, Буденновский Проспект, дом 80</v>
          </cell>
          <cell r="F53">
            <v>1.06</v>
          </cell>
          <cell r="G53" t="str">
            <v>Осн.</v>
          </cell>
          <cell r="H53" t="str">
            <v>Ростовская</v>
          </cell>
          <cell r="I53">
            <v>3</v>
          </cell>
        </row>
        <row r="54">
          <cell r="C54" t="str">
            <v>RO0054</v>
          </cell>
          <cell r="D54" t="str">
            <v>21:собст. АМС до 10 м на крыше</v>
          </cell>
          <cell r="E54" t="str">
            <v>Ростовская Область, Ростов-на-Дону Город, Ивановского Улица\38/63 лит. Б</v>
          </cell>
          <cell r="F54">
            <v>1.08</v>
          </cell>
          <cell r="G54" t="str">
            <v>Осн.</v>
          </cell>
          <cell r="H54" t="str">
            <v>Ростовская</v>
          </cell>
          <cell r="I54">
            <v>4</v>
          </cell>
        </row>
        <row r="55">
          <cell r="C55" t="str">
            <v>RO0055</v>
          </cell>
          <cell r="D55" t="str">
            <v>21:собст. АМС до 10 м на крыше</v>
          </cell>
          <cell r="E55" t="str">
            <v>Ростовская Область, Ростов-на-Дону Город, Пушкинская Улица, дом 128</v>
          </cell>
          <cell r="F55">
            <v>1.08</v>
          </cell>
          <cell r="G55" t="str">
            <v>Осн.</v>
          </cell>
          <cell r="H55" t="str">
            <v>Ростовская</v>
          </cell>
          <cell r="I55">
            <v>4</v>
          </cell>
        </row>
        <row r="56">
          <cell r="C56" t="str">
            <v>RO0056</v>
          </cell>
          <cell r="D56" t="str">
            <v>21:собст. АМС до 10 м на крыше</v>
          </cell>
          <cell r="E56" t="str">
            <v>Ростовская Область, Ростов-на-Дону Город, Добровольского Улица, дом 42</v>
          </cell>
          <cell r="F56">
            <v>1.2</v>
          </cell>
          <cell r="G56" t="str">
            <v>Осн.</v>
          </cell>
          <cell r="H56" t="str">
            <v>Ростовская</v>
          </cell>
          <cell r="I56">
            <v>10</v>
          </cell>
        </row>
        <row r="57">
          <cell r="C57" t="str">
            <v>RO0057</v>
          </cell>
          <cell r="D57" t="str">
            <v>22:собст. АМС выше 10 м на крыше</v>
          </cell>
          <cell r="E57" t="str">
            <v>Ростовская Область, Ростов-на-Дону Город, Космонавтов Проспект, дом 6/1</v>
          </cell>
          <cell r="F57">
            <v>1.1399999999999999</v>
          </cell>
          <cell r="G57" t="str">
            <v>Осн.</v>
          </cell>
          <cell r="H57" t="str">
            <v>Ростовская</v>
          </cell>
          <cell r="I57">
            <v>7</v>
          </cell>
        </row>
        <row r="58">
          <cell r="C58" t="str">
            <v>RO0058</v>
          </cell>
          <cell r="D58" t="str">
            <v>21:собст. АМС до 10 м на крыше</v>
          </cell>
          <cell r="E58" t="str">
            <v>Ростовская Область, Ростов-на-Дону Город, Зоологическая Улица, дом 18</v>
          </cell>
          <cell r="F58">
            <v>1.1200000000000001</v>
          </cell>
          <cell r="G58" t="str">
            <v>Осн.</v>
          </cell>
          <cell r="H58" t="str">
            <v>Ростовская</v>
          </cell>
          <cell r="I58">
            <v>6</v>
          </cell>
        </row>
        <row r="59">
          <cell r="C59" t="str">
            <v>RO0059</v>
          </cell>
          <cell r="D59" t="str">
            <v>21:собст. АМС до 10 м на крыше</v>
          </cell>
          <cell r="E59" t="str">
            <v>Ростовская Область, Ростов-на-Дону Город, Менжинского Улица, дом 2/1\13</v>
          </cell>
          <cell r="F59">
            <v>1.1200000000000001</v>
          </cell>
          <cell r="G59" t="str">
            <v>Осн.</v>
          </cell>
          <cell r="H59" t="str">
            <v>Ростовская</v>
          </cell>
          <cell r="I59">
            <v>6</v>
          </cell>
        </row>
        <row r="60">
          <cell r="C60" t="str">
            <v>RO0060</v>
          </cell>
          <cell r="D60" t="str">
            <v>22:собст. АМС выше 10 м на крыше</v>
          </cell>
          <cell r="E60" t="str">
            <v>Ростовская Область, Ростов-на-Дону Город, Ленина Проспект, дом 92</v>
          </cell>
          <cell r="F60">
            <v>1.08</v>
          </cell>
          <cell r="G60" t="str">
            <v>Осн.</v>
          </cell>
          <cell r="H60" t="str">
            <v>Ростовская</v>
          </cell>
          <cell r="I60">
            <v>4</v>
          </cell>
        </row>
        <row r="61">
          <cell r="C61" t="str">
            <v>RO0061</v>
          </cell>
          <cell r="D61" t="str">
            <v>13:собст. железобетонный столб с заглубленным фундаментом</v>
          </cell>
          <cell r="E61" t="str">
            <v>Ростовская Область, Ростов-на-Дону Город, Орская Улица, дом 31а</v>
          </cell>
          <cell r="F61">
            <v>1.24</v>
          </cell>
          <cell r="G61" t="str">
            <v>Осн.</v>
          </cell>
          <cell r="H61" t="str">
            <v>Ростовская</v>
          </cell>
          <cell r="I61">
            <v>12</v>
          </cell>
        </row>
        <row r="62">
          <cell r="C62" t="str">
            <v>RO0062</v>
          </cell>
          <cell r="D62" t="str">
            <v>33:трубостойки, АМС инфраструктурного оператора</v>
          </cell>
          <cell r="E62" t="str">
            <v>Ростовская Область, Ростов-на-Дону Город, Театральная Площадь\4</v>
          </cell>
          <cell r="F62">
            <v>1.04</v>
          </cell>
          <cell r="G62" t="str">
            <v>Осн.</v>
          </cell>
          <cell r="H62" t="str">
            <v>Ростовская</v>
          </cell>
          <cell r="I62">
            <v>2</v>
          </cell>
        </row>
        <row r="63">
          <cell r="C63" t="str">
            <v>RO0063</v>
          </cell>
          <cell r="D63" t="str">
            <v>33:трубостойки, АМС инфраструктурного оператора</v>
          </cell>
          <cell r="E63" t="str">
            <v>Ростовская Область, Ростов-на-Дону Город, Буденновский Проспект\в районе д.33</v>
          </cell>
          <cell r="F63">
            <v>1.1000000000000001</v>
          </cell>
          <cell r="G63" t="str">
            <v>Осн.</v>
          </cell>
          <cell r="H63" t="str">
            <v>Ростовская</v>
          </cell>
          <cell r="I63">
            <v>5</v>
          </cell>
        </row>
        <row r="64">
          <cell r="C64" t="str">
            <v>RO0064</v>
          </cell>
          <cell r="D64" t="str">
            <v>31:трубостойки на чужой АМС на земле/крыше</v>
          </cell>
          <cell r="E64" t="str">
            <v>Ростовская Область, Ростов-на-Дону Город, Шолохова Проспект\161</v>
          </cell>
          <cell r="F64">
            <v>1.1200000000000001</v>
          </cell>
          <cell r="G64" t="str">
            <v>Осн.</v>
          </cell>
          <cell r="H64" t="str">
            <v>Ростовская</v>
          </cell>
          <cell r="I64">
            <v>6</v>
          </cell>
        </row>
        <row r="65">
          <cell r="C65" t="str">
            <v>RO0065</v>
          </cell>
          <cell r="D65" t="str">
            <v>21:собст. АМС до 10 м на крыше</v>
          </cell>
          <cell r="E65" t="str">
            <v>Ростовская Область, Ростов-на-Дону Город, Загорская Улица, дом 24/1</v>
          </cell>
          <cell r="F65">
            <v>1.1399999999999999</v>
          </cell>
          <cell r="G65" t="str">
            <v>Осн.</v>
          </cell>
          <cell r="H65" t="str">
            <v>Ростовская</v>
          </cell>
          <cell r="I65">
            <v>7</v>
          </cell>
        </row>
        <row r="66">
          <cell r="C66" t="str">
            <v>RO0066</v>
          </cell>
          <cell r="D66" t="str">
            <v>32:трубостойки/АМС на: трубе, элеваторе, водонап.башне</v>
          </cell>
          <cell r="E66" t="str">
            <v>Ростовская Область, Ростов-на-Дону Город, 14 Линия Улица, дом 46/54\Налбандяна Улица</v>
          </cell>
          <cell r="F66">
            <v>1.06</v>
          </cell>
          <cell r="G66" t="str">
            <v>Осн.</v>
          </cell>
          <cell r="H66" t="str">
            <v>Ростовская</v>
          </cell>
          <cell r="I66">
            <v>3</v>
          </cell>
        </row>
        <row r="67">
          <cell r="C67" t="str">
            <v>RO0067</v>
          </cell>
          <cell r="D67" t="str">
            <v>13:собст. железобетонный столб с заглубленным фундаментом</v>
          </cell>
          <cell r="E67" t="str">
            <v>Ростовская Область, Ростов-на-Дону Город, Мичуринская Улица, дом 107/36</v>
          </cell>
          <cell r="F67">
            <v>1.18</v>
          </cell>
          <cell r="G67" t="str">
            <v>Осн.</v>
          </cell>
          <cell r="H67" t="str">
            <v>Ростовская</v>
          </cell>
          <cell r="I67">
            <v>9</v>
          </cell>
        </row>
        <row r="68">
          <cell r="C68" t="str">
            <v>RO0068</v>
          </cell>
          <cell r="D68" t="str">
            <v>13:собст. железобетонный столб с заглубленным фундаментом</v>
          </cell>
          <cell r="E68" t="str">
            <v>Ростовская Область, Ростов-на-Дону Город, Зорге Улица\19/162</v>
          </cell>
          <cell r="F68">
            <v>1.2</v>
          </cell>
          <cell r="G68" t="str">
            <v>Осн.</v>
          </cell>
          <cell r="H68" t="str">
            <v>Ростовская</v>
          </cell>
          <cell r="I68">
            <v>10</v>
          </cell>
        </row>
        <row r="69">
          <cell r="C69" t="str">
            <v>RO0069</v>
          </cell>
          <cell r="D69" t="str">
            <v>13:собст. железобетонный столб с заглубленным фундаментом</v>
          </cell>
          <cell r="E69" t="str">
            <v>Ростовская Область, Ростов-на-Дону Город, Рыльского Улица\2/3</v>
          </cell>
          <cell r="F69">
            <v>1.1200000000000001</v>
          </cell>
          <cell r="G69" t="str">
            <v>Осн.</v>
          </cell>
          <cell r="H69" t="str">
            <v>Ростовская</v>
          </cell>
          <cell r="I69">
            <v>6</v>
          </cell>
        </row>
        <row r="70">
          <cell r="C70" t="str">
            <v>RO0070</v>
          </cell>
          <cell r="D70" t="str">
            <v>13:собст. железобетонный столб с заглубленным фундаментом</v>
          </cell>
          <cell r="E70" t="str">
            <v>Ростовская Область, Ростов-на-Дону Город, 1-й Машиностроительный Переулок, дом 1\г</v>
          </cell>
          <cell r="F70">
            <v>1.26</v>
          </cell>
          <cell r="G70" t="str">
            <v>Осн.</v>
          </cell>
          <cell r="H70" t="str">
            <v>Ростовская</v>
          </cell>
          <cell r="I70">
            <v>13</v>
          </cell>
        </row>
        <row r="71">
          <cell r="C71" t="str">
            <v>RO0071</v>
          </cell>
          <cell r="D71" t="str">
            <v>32:трубостойки/АМС на: трубе, элеваторе, водонап.башне</v>
          </cell>
          <cell r="E71" t="str">
            <v>Ростовская Область, Ростов-на-Дону Город, Казахская Улица, дом 78/4</v>
          </cell>
          <cell r="F71">
            <v>1.18</v>
          </cell>
          <cell r="G71" t="str">
            <v>Осн.</v>
          </cell>
          <cell r="H71" t="str">
            <v>Ростовская</v>
          </cell>
          <cell r="I71">
            <v>9</v>
          </cell>
        </row>
        <row r="72">
          <cell r="C72" t="str">
            <v>RO0072</v>
          </cell>
          <cell r="D72" t="str">
            <v>21:собст. АМС до 10 м на крыше</v>
          </cell>
          <cell r="E72" t="str">
            <v>Ростовская Область, Ростов-на-Дону Город, Немировича-Данченко Улица, дом 78</v>
          </cell>
          <cell r="F72">
            <v>1.1599999999999999</v>
          </cell>
          <cell r="G72" t="str">
            <v>Осн.</v>
          </cell>
          <cell r="H72" t="str">
            <v>Ростовская</v>
          </cell>
          <cell r="I72">
            <v>8</v>
          </cell>
        </row>
        <row r="73">
          <cell r="C73" t="str">
            <v>RO0073</v>
          </cell>
          <cell r="D73" t="str">
            <v>31:трубостойки на чужой АМС на земле/крыше</v>
          </cell>
          <cell r="E73" t="str">
            <v>Ростовская Область, Ростов-на-Дону Город, Михаила Нагибина Проспект\проспект Михаила Нагибина, 40</v>
          </cell>
          <cell r="F73">
            <v>1.1000000000000001</v>
          </cell>
          <cell r="G73" t="str">
            <v>Осн.</v>
          </cell>
          <cell r="H73" t="str">
            <v>Ростовская</v>
          </cell>
          <cell r="I73">
            <v>5</v>
          </cell>
        </row>
        <row r="74">
          <cell r="C74" t="str">
            <v>RO0074</v>
          </cell>
          <cell r="D74" t="str">
            <v>32:трубостойки/АМС на: трубе, элеваторе, водонап.башне</v>
          </cell>
          <cell r="E74" t="str">
            <v>Ростовская Область, Ростов-на-Дону Город, Беломорский Переулок, дом 100</v>
          </cell>
          <cell r="F74">
            <v>1.1599999999999999</v>
          </cell>
          <cell r="G74" t="str">
            <v>Осн.</v>
          </cell>
          <cell r="H74" t="str">
            <v>Ростовская</v>
          </cell>
          <cell r="I74">
            <v>8</v>
          </cell>
        </row>
        <row r="75">
          <cell r="C75" t="str">
            <v>RO0075</v>
          </cell>
          <cell r="D75" t="str">
            <v>13:собст. железобетонный столб с заглубленным фундаментом</v>
          </cell>
          <cell r="E75" t="str">
            <v>Ростовская Область, Ростов-на-Дону Город, Врубовая Улица, дом 40</v>
          </cell>
          <cell r="F75">
            <v>1.1000000000000001</v>
          </cell>
          <cell r="G75" t="str">
            <v>Осн.</v>
          </cell>
          <cell r="H75" t="str">
            <v>Ростовская</v>
          </cell>
          <cell r="I75">
            <v>5</v>
          </cell>
        </row>
        <row r="76">
          <cell r="C76" t="str">
            <v>RO0076</v>
          </cell>
          <cell r="D76" t="str">
            <v>32:трубостойки/АМС на: трубе, элеваторе, водонап.башне</v>
          </cell>
          <cell r="E76" t="str">
            <v>Ростовская Область, Ростов-на-Дону Город, Шолохова Проспект, дом 310\/2</v>
          </cell>
          <cell r="F76">
            <v>1.18</v>
          </cell>
          <cell r="G76" t="str">
            <v>Осн.</v>
          </cell>
          <cell r="H76" t="str">
            <v>Ростовская</v>
          </cell>
          <cell r="I76">
            <v>9</v>
          </cell>
        </row>
        <row r="77">
          <cell r="C77" t="str">
            <v>RO0077</v>
          </cell>
          <cell r="D77" t="str">
            <v>21:собст. АМС до 10 м на крыше</v>
          </cell>
          <cell r="E77" t="str">
            <v>Ростовская Область, Ростов-на-Дону Город, Красноармейская Улица, дом 3а</v>
          </cell>
          <cell r="F77">
            <v>1.1000000000000001</v>
          </cell>
          <cell r="G77" t="str">
            <v>Осн.</v>
          </cell>
          <cell r="H77" t="str">
            <v>Ростовская</v>
          </cell>
          <cell r="I77">
            <v>5</v>
          </cell>
        </row>
        <row r="78">
          <cell r="C78" t="str">
            <v>RO0078</v>
          </cell>
          <cell r="D78" t="str">
            <v>13:собст. железобетонный столб с заглубленным фундаментом</v>
          </cell>
          <cell r="E78" t="str">
            <v>Ростовская Область, Ростов-на-Дону Город, Погодина Улица, дом 83\Нариманова Улица</v>
          </cell>
          <cell r="F78">
            <v>1.1000000000000001</v>
          </cell>
          <cell r="G78" t="str">
            <v>Осн.</v>
          </cell>
          <cell r="H78" t="str">
            <v>Ростовская</v>
          </cell>
          <cell r="I78">
            <v>5</v>
          </cell>
        </row>
        <row r="79">
          <cell r="C79" t="str">
            <v>RO0079</v>
          </cell>
          <cell r="D79" t="str">
            <v>31:трубостойки на чужой АМС на земле/крыше</v>
          </cell>
          <cell r="E79" t="str">
            <v>Ростовская Область, Ростов-на-Дону Город, Доватора Улица\215/14/9</v>
          </cell>
          <cell r="F79">
            <v>1.2</v>
          </cell>
          <cell r="G79" t="str">
            <v>Осн.</v>
          </cell>
          <cell r="H79" t="str">
            <v>Ростовская</v>
          </cell>
          <cell r="I79">
            <v>10</v>
          </cell>
        </row>
        <row r="80">
          <cell r="C80" t="str">
            <v>RO0080</v>
          </cell>
          <cell r="D80" t="str">
            <v>33:трубостойки, АМС инфраструктурного оператора</v>
          </cell>
          <cell r="E80" t="str">
            <v>Ростовская Область, Аксайский Район, Аксай Город, Шевченко Улица, дом 121\Платова Улица, 43</v>
          </cell>
          <cell r="F80">
            <v>1.3</v>
          </cell>
          <cell r="G80" t="str">
            <v>Осн.</v>
          </cell>
          <cell r="H80" t="str">
            <v>Ростовская</v>
          </cell>
          <cell r="I80">
            <v>15</v>
          </cell>
        </row>
        <row r="81">
          <cell r="C81" t="str">
            <v>RO0081</v>
          </cell>
          <cell r="D81" t="str">
            <v>33:трубостойки, АМС инфраструктурного оператора</v>
          </cell>
          <cell r="E81" t="str">
            <v>Ростовская Область, Ростов-на-Дону Город, Текучева Улица\Волгоградская Улица</v>
          </cell>
          <cell r="F81">
            <v>1.1399999999999999</v>
          </cell>
          <cell r="G81" t="str">
            <v>Осн.</v>
          </cell>
          <cell r="H81" t="str">
            <v>Ростовская</v>
          </cell>
          <cell r="I81">
            <v>7</v>
          </cell>
        </row>
        <row r="82">
          <cell r="C82" t="str">
            <v>RO0082</v>
          </cell>
          <cell r="D82" t="str">
            <v>32:трубостойки/АМС на: трубе, элеваторе, водонап.башне</v>
          </cell>
          <cell r="E82" t="str">
            <v>Ростовская Область, Ростов-на-Дону Город, Миронова Улица, дом 12/5</v>
          </cell>
          <cell r="F82">
            <v>1.22</v>
          </cell>
          <cell r="G82" t="str">
            <v>Осн.</v>
          </cell>
          <cell r="H82" t="str">
            <v>Ростовская</v>
          </cell>
          <cell r="I82">
            <v>11</v>
          </cell>
        </row>
        <row r="83">
          <cell r="C83" t="str">
            <v>RO0083</v>
          </cell>
          <cell r="D83" t="str">
            <v>13:собст. железобетонный столб с заглубленным фундаментом</v>
          </cell>
          <cell r="E83" t="str">
            <v>Ростовская Область, Аксайский Район, Темерницкий Поселок\Темерницкая Улица, дом 5</v>
          </cell>
          <cell r="F83">
            <v>1.18</v>
          </cell>
          <cell r="G83" t="str">
            <v>Осн.</v>
          </cell>
          <cell r="H83" t="str">
            <v>Ростовская</v>
          </cell>
          <cell r="I83">
            <v>9</v>
          </cell>
        </row>
        <row r="84">
          <cell r="C84" t="str">
            <v>RO0084</v>
          </cell>
          <cell r="D84" t="str">
            <v>13:собст. железобетонный столб с заглубленным фундаментом</v>
          </cell>
          <cell r="E84" t="str">
            <v>Ростовская Область, Ростов-на-Дону Город\Обсерваторная Улица, дом 62</v>
          </cell>
          <cell r="F84">
            <v>1.26</v>
          </cell>
          <cell r="G84" t="str">
            <v>Осн.</v>
          </cell>
          <cell r="H84" t="str">
            <v>Ростовская</v>
          </cell>
          <cell r="I84">
            <v>13</v>
          </cell>
        </row>
        <row r="85">
          <cell r="C85" t="str">
            <v>RO0085</v>
          </cell>
          <cell r="D85" t="str">
            <v>33:трубостойки, АМС инфраструктурного оператора</v>
          </cell>
          <cell r="E85" t="str">
            <v>Ростовская Область, Ростов-на-Дону Город, Обливская Улица, дом 2</v>
          </cell>
          <cell r="F85">
            <v>1.1599999999999999</v>
          </cell>
          <cell r="G85" t="str">
            <v>Осн.</v>
          </cell>
          <cell r="H85" t="str">
            <v>Ростовская</v>
          </cell>
          <cell r="I85">
            <v>8</v>
          </cell>
        </row>
        <row r="86">
          <cell r="C86" t="str">
            <v>RO0086</v>
          </cell>
          <cell r="D86" t="str">
            <v>31:трубостойки на чужой АМС на земле/крыше</v>
          </cell>
          <cell r="E86" t="str">
            <v>Ростовская Область, Ростов-на-Дону Город, Соколова Проспект, дом 80</v>
          </cell>
          <cell r="F86">
            <v>1.06</v>
          </cell>
          <cell r="G86" t="str">
            <v>Осн.</v>
          </cell>
          <cell r="H86" t="str">
            <v>Ростовская</v>
          </cell>
          <cell r="I86">
            <v>3</v>
          </cell>
        </row>
        <row r="87">
          <cell r="C87" t="str">
            <v>RO0087</v>
          </cell>
          <cell r="D87" t="str">
            <v>13:собст. железобетонный столб с заглубленным фундаментом</v>
          </cell>
          <cell r="E87" t="str">
            <v>Ростовская Область, Ростов-на-Дону Город, Солидарности Улица, дом 184</v>
          </cell>
          <cell r="F87">
            <v>1.1599999999999999</v>
          </cell>
          <cell r="G87" t="str">
            <v>Осн.</v>
          </cell>
          <cell r="H87" t="str">
            <v>Ростовская</v>
          </cell>
          <cell r="I87">
            <v>8</v>
          </cell>
        </row>
        <row r="88">
          <cell r="C88" t="str">
            <v>RO0088</v>
          </cell>
          <cell r="D88" t="str">
            <v>21:собст. АМС до 10 м на крыше</v>
          </cell>
          <cell r="E88" t="str">
            <v>Ростовская Область, Ростов-на-Дону Город, Королева Проспект, дом 1ж</v>
          </cell>
          <cell r="F88">
            <v>1.2</v>
          </cell>
          <cell r="G88" t="str">
            <v>Осн.</v>
          </cell>
          <cell r="H88" t="str">
            <v>Ростовская</v>
          </cell>
          <cell r="I88">
            <v>10</v>
          </cell>
        </row>
        <row r="89">
          <cell r="C89" t="str">
            <v>RO0089</v>
          </cell>
          <cell r="D89" t="str">
            <v>31:трубостойки на чужой АМС на земле/крыше</v>
          </cell>
          <cell r="E89" t="str">
            <v>Ростовская Область, Ростов-на-Дону Город, Крупской Улица, дом 49</v>
          </cell>
          <cell r="F89">
            <v>1.18</v>
          </cell>
          <cell r="G89" t="str">
            <v>Осн.</v>
          </cell>
          <cell r="H89" t="str">
            <v>Ростовская</v>
          </cell>
          <cell r="I89">
            <v>9</v>
          </cell>
        </row>
        <row r="90">
          <cell r="C90" t="str">
            <v>RO0090</v>
          </cell>
          <cell r="D90" t="str">
            <v>22:собст. АМС выше 10 м на крыше</v>
          </cell>
          <cell r="E90" t="str">
            <v>Ростовская Область, Ростов-на-Дону Город, Семашко Переулок, дом 19</v>
          </cell>
          <cell r="F90">
            <v>1.1000000000000001</v>
          </cell>
          <cell r="G90" t="str">
            <v>Осн.</v>
          </cell>
          <cell r="H90" t="str">
            <v>Ростовская</v>
          </cell>
          <cell r="I90">
            <v>5</v>
          </cell>
        </row>
        <row r="91">
          <cell r="C91" t="str">
            <v>RO0091</v>
          </cell>
          <cell r="D91" t="str">
            <v>21:собст. АМС до 10 м на крыше</v>
          </cell>
          <cell r="E91" t="str">
            <v>Ростовская Область, Ростов-на-Дону Город, Малиновского Улица, дом 3д\литер В</v>
          </cell>
          <cell r="F91">
            <v>1.3</v>
          </cell>
          <cell r="G91" t="str">
            <v>Осн.</v>
          </cell>
          <cell r="H91" t="str">
            <v>Ростовская</v>
          </cell>
          <cell r="I91">
            <v>15</v>
          </cell>
        </row>
        <row r="92">
          <cell r="C92" t="str">
            <v>RO0092</v>
          </cell>
          <cell r="D92" t="str">
            <v>13:собст. железобетонный столб с заглубленным фундаментом</v>
          </cell>
          <cell r="E92" t="str">
            <v>Ростовская Область, Ростов-на-Дону Город, Монтажная Улица, дом 6</v>
          </cell>
          <cell r="F92">
            <v>1.18</v>
          </cell>
          <cell r="G92" t="str">
            <v>Осн.</v>
          </cell>
          <cell r="H92" t="str">
            <v>Ростовская</v>
          </cell>
          <cell r="I92">
            <v>9</v>
          </cell>
        </row>
        <row r="93">
          <cell r="C93" t="str">
            <v>RO0093</v>
          </cell>
          <cell r="D93" t="str">
            <v>13:собст. железобетонный столб с заглубленным фундаментом</v>
          </cell>
          <cell r="E93" t="str">
            <v>Ростовская Область, Ростов-на-Дону Город, Брянская Улица, дом 9</v>
          </cell>
          <cell r="F93">
            <v>1.1599999999999999</v>
          </cell>
          <cell r="G93" t="str">
            <v>Осн.</v>
          </cell>
          <cell r="H93" t="str">
            <v>Ростовская</v>
          </cell>
          <cell r="I93">
            <v>8</v>
          </cell>
        </row>
        <row r="94">
          <cell r="C94" t="str">
            <v>RO0094</v>
          </cell>
          <cell r="D94" t="str">
            <v>21:собст. АМС до 10 м на крыше</v>
          </cell>
          <cell r="E94" t="str">
            <v>Ростовская Область, Ростов-на-Дону Город, Социалистическая Улица, дом 140</v>
          </cell>
          <cell r="F94">
            <v>1.06</v>
          </cell>
          <cell r="G94" t="str">
            <v>Осн.</v>
          </cell>
          <cell r="H94" t="str">
            <v>Ростовская</v>
          </cell>
          <cell r="I94">
            <v>3</v>
          </cell>
        </row>
        <row r="95">
          <cell r="C95" t="str">
            <v>RO0095</v>
          </cell>
          <cell r="D95" t="str">
            <v>13:собст. железобетонный столб с заглубленным фундаментом</v>
          </cell>
          <cell r="E95" t="str">
            <v>Ростовская Область, Аксайский Район, Аксай Город, Ленина Проспект, дом 1</v>
          </cell>
          <cell r="F95">
            <v>1.3</v>
          </cell>
          <cell r="G95" t="str">
            <v>Осн.</v>
          </cell>
          <cell r="H95" t="str">
            <v>Ростовская</v>
          </cell>
          <cell r="I95">
            <v>15</v>
          </cell>
        </row>
        <row r="96">
          <cell r="C96" t="str">
            <v>RO0096</v>
          </cell>
          <cell r="D96" t="str">
            <v>33:трубостойки, АМС инфраструктурного оператора</v>
          </cell>
          <cell r="E96" t="str">
            <v>Ростовская Область, Ростов-на-Дону Город, Коммунистический Проспект, дом 27</v>
          </cell>
          <cell r="F96">
            <v>1.22</v>
          </cell>
          <cell r="G96" t="str">
            <v>Осн.</v>
          </cell>
          <cell r="H96" t="str">
            <v>Ростовская</v>
          </cell>
          <cell r="I96">
            <v>11</v>
          </cell>
        </row>
        <row r="97">
          <cell r="C97" t="str">
            <v>RO0097</v>
          </cell>
          <cell r="D97" t="str">
            <v>21:собст. АМС до 10 м на крыше</v>
          </cell>
          <cell r="E97" t="str">
            <v>Ростовская Область, Ростов-на-Дону Город, 2-я Краснодарская Улица, дом 113/1</v>
          </cell>
          <cell r="F97">
            <v>1.2</v>
          </cell>
          <cell r="G97" t="str">
            <v>Осн.</v>
          </cell>
          <cell r="H97" t="str">
            <v>Ростовская</v>
          </cell>
          <cell r="I97">
            <v>10</v>
          </cell>
        </row>
        <row r="98">
          <cell r="C98" t="str">
            <v>RO0098</v>
          </cell>
          <cell r="D98" t="str">
            <v>21:собст. АМС до 10 м на крыше</v>
          </cell>
          <cell r="E98" t="str">
            <v>Ростовская Область, Ростов-на-Дону Город, Зорге Улица\28/2 копус 5Б</v>
          </cell>
          <cell r="F98">
            <v>1.2</v>
          </cell>
          <cell r="G98" t="str">
            <v>Осн.</v>
          </cell>
          <cell r="H98" t="str">
            <v>Ростовская</v>
          </cell>
          <cell r="I98">
            <v>10</v>
          </cell>
        </row>
        <row r="99">
          <cell r="C99" t="str">
            <v>RO0099</v>
          </cell>
          <cell r="D99" t="str">
            <v>31:трубостойки на чужой АМС на земле/крыше</v>
          </cell>
          <cell r="E99" t="str">
            <v>Ростовская Область, Ростов-на-Дону Город, Токарная Улица\11</v>
          </cell>
          <cell r="F99">
            <v>1.1599999999999999</v>
          </cell>
          <cell r="G99" t="str">
            <v>Осн.</v>
          </cell>
          <cell r="H99" t="str">
            <v>Ростовская</v>
          </cell>
          <cell r="I99">
            <v>8</v>
          </cell>
        </row>
        <row r="100">
          <cell r="C100" t="str">
            <v>RO0100</v>
          </cell>
          <cell r="D100" t="str">
            <v>13:собст. железобетонный столб с заглубленным фундаментом</v>
          </cell>
          <cell r="E100" t="str">
            <v>Ростовская Область, Батайск Город, Фермерская Улица\18/ М.Горького, 374</v>
          </cell>
          <cell r="F100">
            <v>1.38</v>
          </cell>
          <cell r="G100" t="str">
            <v>Осн.</v>
          </cell>
          <cell r="H100" t="str">
            <v>Ростовская</v>
          </cell>
          <cell r="I100">
            <v>19</v>
          </cell>
        </row>
        <row r="101">
          <cell r="C101" t="str">
            <v>RO0101</v>
          </cell>
          <cell r="D101" t="str">
            <v>22:собст. АМС выше 10 м на крыше</v>
          </cell>
          <cell r="E101" t="str">
            <v>Ростовская Область, Батайск Город, Железнодорожный Тупик\37</v>
          </cell>
          <cell r="F101">
            <v>1.36</v>
          </cell>
          <cell r="G101" t="str">
            <v>Осн.</v>
          </cell>
          <cell r="H101" t="str">
            <v>Ростовская</v>
          </cell>
          <cell r="I101">
            <v>18</v>
          </cell>
        </row>
        <row r="102">
          <cell r="C102" t="str">
            <v>RO0102</v>
          </cell>
          <cell r="D102" t="str">
            <v>22:собст. АМС выше 10 м на крыше</v>
          </cell>
          <cell r="E102" t="str">
            <v>Ростовская Область, Батайск Город, Энгельса Улица, дом 347</v>
          </cell>
          <cell r="F102">
            <v>1.38</v>
          </cell>
          <cell r="G102" t="str">
            <v>Осн.</v>
          </cell>
          <cell r="H102" t="str">
            <v>Ростовская</v>
          </cell>
          <cell r="I102">
            <v>19</v>
          </cell>
        </row>
        <row r="103">
          <cell r="C103" t="str">
            <v>RO0103</v>
          </cell>
          <cell r="D103" t="str">
            <v>31:трубостойки на чужой АМС на земле/крыше</v>
          </cell>
          <cell r="E103" t="str">
            <v>Ростовская Область, Батайск Город, Луначарского Улица, дом 162</v>
          </cell>
          <cell r="F103">
            <v>1.34</v>
          </cell>
          <cell r="G103" t="str">
            <v>Осн.</v>
          </cell>
          <cell r="H103" t="str">
            <v>Ростовская</v>
          </cell>
          <cell r="I103">
            <v>17</v>
          </cell>
        </row>
        <row r="104">
          <cell r="C104" t="str">
            <v>RO0104</v>
          </cell>
          <cell r="D104" t="str">
            <v>31:трубостойки на чужой АМС на земле/крыше</v>
          </cell>
          <cell r="E104" t="str">
            <v>Ростовская Область, Батайск Город, М.Горького Улица\679 "б"</v>
          </cell>
          <cell r="F104">
            <v>1.42</v>
          </cell>
          <cell r="G104" t="str">
            <v>Осн.</v>
          </cell>
          <cell r="H104" t="str">
            <v>Ростовская</v>
          </cell>
          <cell r="I104">
            <v>21</v>
          </cell>
        </row>
        <row r="105">
          <cell r="C105" t="str">
            <v>RO0105</v>
          </cell>
          <cell r="D105" t="str">
            <v>13:собст. железобетонный столб с заглубленным фундаментом</v>
          </cell>
          <cell r="E105" t="str">
            <v>Ростовская Область, Батайск Город, Куйбышева Улица, дом 61</v>
          </cell>
          <cell r="F105">
            <v>1.3</v>
          </cell>
          <cell r="G105" t="str">
            <v>Осн.</v>
          </cell>
          <cell r="H105" t="str">
            <v>Ростовская</v>
          </cell>
          <cell r="I105">
            <v>15</v>
          </cell>
        </row>
        <row r="106">
          <cell r="C106" t="str">
            <v>RO0106</v>
          </cell>
          <cell r="D106" t="str">
            <v>32:трубостойки/АМС на: трубе, элеваторе, водонап.башне</v>
          </cell>
          <cell r="E106" t="str">
            <v>Ростовская Область, Батайск Город, Талалихина Переулок\47</v>
          </cell>
          <cell r="F106">
            <v>1.4</v>
          </cell>
          <cell r="G106" t="str">
            <v>Осн.</v>
          </cell>
          <cell r="H106" t="str">
            <v>Ростовская</v>
          </cell>
          <cell r="I106">
            <v>20</v>
          </cell>
        </row>
        <row r="107">
          <cell r="C107" t="str">
            <v>RO0107</v>
          </cell>
          <cell r="D107" t="str">
            <v>13:собст. железобетонный столб с заглубленным фундаментом</v>
          </cell>
          <cell r="E107" t="str">
            <v>Ростовская Область, Батайск Город, Куйбышева Улица\171</v>
          </cell>
          <cell r="F107">
            <v>1.34</v>
          </cell>
          <cell r="G107" t="str">
            <v>Осн.</v>
          </cell>
          <cell r="H107" t="str">
            <v>Ростовская</v>
          </cell>
          <cell r="I107">
            <v>17</v>
          </cell>
        </row>
        <row r="108">
          <cell r="C108" t="str">
            <v>RO0108</v>
          </cell>
          <cell r="D108" t="str">
            <v>13:собст. железобетонный столб с заглубленным фундаментом</v>
          </cell>
          <cell r="E108" t="str">
            <v>Ростовская Область, Батайск Город, Мелиораторов Улица\25</v>
          </cell>
          <cell r="F108">
            <v>1.38</v>
          </cell>
          <cell r="G108" t="str">
            <v>Осн.</v>
          </cell>
          <cell r="H108" t="str">
            <v>Ростовская</v>
          </cell>
          <cell r="I108">
            <v>19</v>
          </cell>
        </row>
        <row r="109">
          <cell r="C109" t="str">
            <v>RO0109</v>
          </cell>
          <cell r="D109" t="str">
            <v>13:собст. железобетонный столб с заглубленным фундаментом</v>
          </cell>
          <cell r="E109" t="str">
            <v>Ростовская Область, Батайск Город, Железнодорожная Улица\34</v>
          </cell>
          <cell r="F109">
            <v>1.34</v>
          </cell>
          <cell r="G109" t="str">
            <v>Осн.</v>
          </cell>
          <cell r="H109" t="str">
            <v>Ростовская</v>
          </cell>
          <cell r="I109">
            <v>17</v>
          </cell>
        </row>
        <row r="110">
          <cell r="C110" t="str">
            <v>RO0110</v>
          </cell>
          <cell r="D110" t="str">
            <v>31:трубостойки на чужой АМС на земле/крыше</v>
          </cell>
          <cell r="E110" t="str">
            <v>Ростовская Область, Кагальницкий Район, Новобатайск Село\Южная окраина</v>
          </cell>
          <cell r="F110">
            <v>2.02</v>
          </cell>
          <cell r="G110" t="str">
            <v>Осн.</v>
          </cell>
          <cell r="H110" t="str">
            <v>Ростовская</v>
          </cell>
          <cell r="I110">
            <v>51</v>
          </cell>
        </row>
        <row r="111">
          <cell r="C111" t="str">
            <v>RO0111</v>
          </cell>
          <cell r="D111" t="str">
            <v>13:собст. железобетонный столб с заглубленным фундаментом</v>
          </cell>
          <cell r="E111" t="str">
            <v>Ростовская Область, Батайск Город, Энгельса Улица, дом 341</v>
          </cell>
          <cell r="F111">
            <v>1.38</v>
          </cell>
          <cell r="G111" t="str">
            <v>Осн.</v>
          </cell>
          <cell r="H111" t="str">
            <v>Ростовская</v>
          </cell>
          <cell r="I111">
            <v>19</v>
          </cell>
        </row>
        <row r="112">
          <cell r="C112" t="str">
            <v>RO0112</v>
          </cell>
          <cell r="D112" t="str">
            <v>13:собст. железобетонный столб с заглубленным фундаментом</v>
          </cell>
          <cell r="E112" t="str">
            <v>Ростовская Область, Батайск Город, Куйбышева Улица, дом 141</v>
          </cell>
          <cell r="F112">
            <v>1.34</v>
          </cell>
          <cell r="G112" t="str">
            <v>Осн.</v>
          </cell>
          <cell r="H112" t="str">
            <v>Ростовская</v>
          </cell>
          <cell r="I112">
            <v>17</v>
          </cell>
        </row>
        <row r="113">
          <cell r="C113" t="str">
            <v>RO0113</v>
          </cell>
          <cell r="D113" t="str">
            <v>31:трубостойки на чужой АМС на земле/крыше</v>
          </cell>
          <cell r="E113" t="str">
            <v>Ростовская Область, Батайск Город, Авиационная Улица\4а</v>
          </cell>
          <cell r="F113">
            <v>1.38</v>
          </cell>
          <cell r="G113" t="str">
            <v>Осн.</v>
          </cell>
          <cell r="H113" t="str">
            <v>Ростовская</v>
          </cell>
          <cell r="I113">
            <v>19</v>
          </cell>
        </row>
        <row r="114">
          <cell r="C114" t="str">
            <v>RO0114</v>
          </cell>
          <cell r="D114" t="str">
            <v>13:собст. железобетонный столб с заглубленным фундаментом</v>
          </cell>
          <cell r="E114" t="str">
            <v>Ростовская Область, Батайск Город, Орджоникидзе Улица\76</v>
          </cell>
          <cell r="F114">
            <v>1.4</v>
          </cell>
          <cell r="G114" t="str">
            <v>Осн.</v>
          </cell>
          <cell r="H114" t="str">
            <v>Ростовская</v>
          </cell>
          <cell r="I114">
            <v>20</v>
          </cell>
        </row>
        <row r="115">
          <cell r="C115" t="str">
            <v>RO0115</v>
          </cell>
          <cell r="D115" t="str">
            <v>13:собст. железобетонный столб с заглубленным фундаментом</v>
          </cell>
          <cell r="E115" t="str">
            <v>Ростовская Область, Батайск Город, Саратовская Улица, дом 65\67/202-Г</v>
          </cell>
          <cell r="F115">
            <v>1.46</v>
          </cell>
          <cell r="G115" t="str">
            <v>Осн.</v>
          </cell>
          <cell r="H115" t="str">
            <v>Ростовская</v>
          </cell>
          <cell r="I115">
            <v>23</v>
          </cell>
        </row>
        <row r="116">
          <cell r="C116" t="str">
            <v>RO0116</v>
          </cell>
          <cell r="D116" t="str">
            <v>31:трубостойки на чужой АМС на земле/крыше</v>
          </cell>
          <cell r="E116" t="str">
            <v>Ростовская Область, Кагальницкий Район\250 м. южнее поселка Мокрый Батай, башня ГПТГ Кубань</v>
          </cell>
          <cell r="F116">
            <v>1.66</v>
          </cell>
          <cell r="G116" t="str">
            <v>Осн.</v>
          </cell>
          <cell r="H116" t="str">
            <v>Ростовская</v>
          </cell>
          <cell r="I116">
            <v>33</v>
          </cell>
        </row>
        <row r="117">
          <cell r="C117" t="str">
            <v>RO0117</v>
          </cell>
          <cell r="D117" t="str">
            <v>13:собст. железобетонный столб с заглубленным фундаментом</v>
          </cell>
          <cell r="E117" t="str">
            <v>Ростовская Область, Азовский Район, Красный Сад Поселок, Чехова Улица\15</v>
          </cell>
          <cell r="F117">
            <v>1.38</v>
          </cell>
          <cell r="G117" t="str">
            <v>Осн.</v>
          </cell>
          <cell r="H117" t="str">
            <v>Ростовская</v>
          </cell>
          <cell r="I117">
            <v>19</v>
          </cell>
        </row>
        <row r="118">
          <cell r="C118" t="str">
            <v>RO0118</v>
          </cell>
          <cell r="D118" t="str">
            <v>13:собст. железобетонный столб с заглубленным фундаментом</v>
          </cell>
          <cell r="E118" t="str">
            <v>Ростовская Область, Батайск Город, Московская Улица\278А</v>
          </cell>
          <cell r="F118">
            <v>1.34</v>
          </cell>
          <cell r="G118" t="str">
            <v>Осн.</v>
          </cell>
          <cell r="H118" t="str">
            <v>Ростовская</v>
          </cell>
          <cell r="I118">
            <v>17</v>
          </cell>
        </row>
        <row r="119">
          <cell r="C119" t="str">
            <v>RO0119</v>
          </cell>
          <cell r="D119" t="str">
            <v>13:собст. железобетонный столб с заглубленным фундаментом</v>
          </cell>
          <cell r="E119" t="str">
            <v>Ростовская Область, Батайск Город, Авиагородок Микрорайон\48</v>
          </cell>
          <cell r="F119">
            <v>1.34</v>
          </cell>
          <cell r="G119" t="str">
            <v>Осн.</v>
          </cell>
          <cell r="H119" t="str">
            <v>Ростовская</v>
          </cell>
          <cell r="I119">
            <v>17</v>
          </cell>
        </row>
        <row r="120">
          <cell r="C120" t="str">
            <v>RO0120</v>
          </cell>
          <cell r="D120" t="str">
            <v>13:собст. железобетонный столб с заглубленным фундаментом</v>
          </cell>
          <cell r="E120" t="str">
            <v>Ростовская Область, Аксайский Район, Аксай Город, Толпинского Улица, дом 67</v>
          </cell>
          <cell r="F120">
            <v>1.32</v>
          </cell>
          <cell r="G120" t="str">
            <v>Осн.</v>
          </cell>
          <cell r="H120" t="str">
            <v>Ростовская</v>
          </cell>
          <cell r="I120">
            <v>16</v>
          </cell>
        </row>
        <row r="121">
          <cell r="C121" t="str">
            <v>RO0121</v>
          </cell>
          <cell r="D121" t="str">
            <v>21:собст. АМС до 10 м на крыше</v>
          </cell>
          <cell r="E121" t="str">
            <v>Ростовская Область, Ростов-на-Дону Город, Коммунистический Проспект, дом 35/3</v>
          </cell>
          <cell r="F121">
            <v>1.24</v>
          </cell>
          <cell r="G121" t="str">
            <v>Осн.</v>
          </cell>
          <cell r="H121" t="str">
            <v>Ростовская</v>
          </cell>
          <cell r="I121">
            <v>12</v>
          </cell>
        </row>
        <row r="122">
          <cell r="C122" t="str">
            <v>RO0122</v>
          </cell>
          <cell r="D122" t="str">
            <v>31:трубостойки на чужой АМС на земле/крыше</v>
          </cell>
          <cell r="E122" t="str">
            <v>Ростовская Область, Ростов-на-Дону Город, Стачки Проспект, дом 232\34</v>
          </cell>
          <cell r="F122">
            <v>1.22</v>
          </cell>
          <cell r="G122" t="str">
            <v>Осн.</v>
          </cell>
          <cell r="H122" t="str">
            <v>Ростовская</v>
          </cell>
          <cell r="I122">
            <v>11</v>
          </cell>
        </row>
        <row r="123">
          <cell r="C123" t="str">
            <v>RO0123</v>
          </cell>
          <cell r="D123" t="str">
            <v>21:собст. АМС до 10 м на крыше</v>
          </cell>
          <cell r="E123" t="str">
            <v>Ростовская Область, Ростов-на-Дону Город, Кулагина Улица\62/45</v>
          </cell>
          <cell r="F123">
            <v>1.18</v>
          </cell>
          <cell r="G123" t="str">
            <v>Осн.</v>
          </cell>
          <cell r="H123" t="str">
            <v>Ростовская</v>
          </cell>
          <cell r="I123">
            <v>9</v>
          </cell>
        </row>
        <row r="124">
          <cell r="C124" t="str">
            <v>RO0124</v>
          </cell>
          <cell r="D124" t="str">
            <v>13:собст. железобетонный столб с заглубленным фундаментом</v>
          </cell>
          <cell r="E124" t="str">
            <v>Ростовская Область, Ростов-на-Дону Город, Лесопарковая Улица, дом 23</v>
          </cell>
          <cell r="F124">
            <v>1.1399999999999999</v>
          </cell>
          <cell r="G124" t="str">
            <v>Осн.</v>
          </cell>
          <cell r="H124" t="str">
            <v>Ростовская</v>
          </cell>
          <cell r="I124">
            <v>7</v>
          </cell>
        </row>
        <row r="125">
          <cell r="C125" t="str">
            <v>RO0125</v>
          </cell>
          <cell r="D125" t="str">
            <v>33:трубостойки, АМС инфраструктурного оператора</v>
          </cell>
          <cell r="E125" t="str">
            <v>Ростовская Область, Новочеркасск Город, Клещева Улица, дом 110</v>
          </cell>
          <cell r="F125">
            <v>2.06</v>
          </cell>
          <cell r="G125" t="str">
            <v>Осн.</v>
          </cell>
          <cell r="H125" t="str">
            <v>Ростовская</v>
          </cell>
          <cell r="I125">
            <v>53</v>
          </cell>
        </row>
        <row r="126">
          <cell r="C126" t="str">
            <v>RO0126</v>
          </cell>
          <cell r="D126" t="str">
            <v>13:собст. железобетонный столб с заглубленным фундаментом</v>
          </cell>
          <cell r="E126" t="str">
            <v>Ростовская Область, Ростов-на-Дону Город, Таганрогская Улица, дом 139/9</v>
          </cell>
          <cell r="F126">
            <v>1.2</v>
          </cell>
          <cell r="G126" t="str">
            <v>Осн.</v>
          </cell>
          <cell r="H126" t="str">
            <v>Ростовская</v>
          </cell>
          <cell r="I126">
            <v>10</v>
          </cell>
        </row>
        <row r="127">
          <cell r="C127" t="str">
            <v>RO0127</v>
          </cell>
          <cell r="D127" t="str">
            <v>13:собст. железобетонный столб с заглубленным фундаментом</v>
          </cell>
          <cell r="E127" t="str">
            <v>Ростовская Область, Ростов-на-Дону Город, Волоколамская Улица, дом 10</v>
          </cell>
          <cell r="F127">
            <v>1.2</v>
          </cell>
          <cell r="G127" t="str">
            <v>Осн.</v>
          </cell>
          <cell r="H127" t="str">
            <v>Ростовская</v>
          </cell>
          <cell r="I127">
            <v>10</v>
          </cell>
        </row>
        <row r="128">
          <cell r="C128" t="str">
            <v>RO0128</v>
          </cell>
          <cell r="D128" t="str">
            <v>31:трубостойки на чужой АМС на земле/крыше</v>
          </cell>
          <cell r="E128" t="str">
            <v>Ростовская Область, Ростов-на-Дону Город, Волкова Улица, дом 9</v>
          </cell>
          <cell r="F128">
            <v>1.1399999999999999</v>
          </cell>
          <cell r="G128" t="str">
            <v>Осн.</v>
          </cell>
          <cell r="H128" t="str">
            <v>Ростовская</v>
          </cell>
          <cell r="I128">
            <v>7</v>
          </cell>
        </row>
        <row r="129">
          <cell r="C129" t="str">
            <v>RO0129</v>
          </cell>
          <cell r="D129" t="str">
            <v>13:собст. железобетонный столб с заглубленным фундаментом</v>
          </cell>
          <cell r="E129" t="str">
            <v>Ростовская Область, Ростов-на-Дону Город, Думенко Улица, дом 20</v>
          </cell>
          <cell r="F129">
            <v>1.2</v>
          </cell>
          <cell r="G129" t="str">
            <v>Осн.</v>
          </cell>
          <cell r="H129" t="str">
            <v>Ростовская</v>
          </cell>
          <cell r="I129">
            <v>10</v>
          </cell>
        </row>
        <row r="130">
          <cell r="C130" t="str">
            <v>RO0130</v>
          </cell>
          <cell r="D130" t="str">
            <v>32:трубостойки/АМС на: трубе, элеваторе, водонап.башне</v>
          </cell>
          <cell r="E130" t="str">
            <v>Ростовская Область, Аксайский Район, Янтарный Поселок\кварталы 45 и 46, 1055 км трассы М-4 "Дон"</v>
          </cell>
          <cell r="F130">
            <v>1.26</v>
          </cell>
          <cell r="G130" t="str">
            <v>Осн.</v>
          </cell>
          <cell r="H130" t="str">
            <v>Ростовская</v>
          </cell>
          <cell r="I130">
            <v>13</v>
          </cell>
        </row>
        <row r="131">
          <cell r="C131" t="str">
            <v>RO0131</v>
          </cell>
          <cell r="D131" t="str">
            <v>33:трубостойки, АМС инфраструктурного оператора</v>
          </cell>
          <cell r="E131" t="str">
            <v>Ростовская Область, Новочеркасск Город, Ровная Улица, дом 12\118</v>
          </cell>
          <cell r="F131">
            <v>2.02</v>
          </cell>
          <cell r="G131" t="str">
            <v>Осн.</v>
          </cell>
          <cell r="H131" t="str">
            <v>Ростовская</v>
          </cell>
          <cell r="I131">
            <v>51</v>
          </cell>
        </row>
        <row r="132">
          <cell r="C132" t="str">
            <v>RO0132</v>
          </cell>
          <cell r="D132" t="str">
            <v>21:собст. АМС до 10 м на крыше</v>
          </cell>
          <cell r="E132" t="str">
            <v>Ростовская Область, Ростов-на-Дону Город, Менжинского Улица, дом 2н</v>
          </cell>
          <cell r="F132">
            <v>1.1000000000000001</v>
          </cell>
          <cell r="G132" t="str">
            <v>Осн.</v>
          </cell>
          <cell r="H132" t="str">
            <v>Ростовская</v>
          </cell>
          <cell r="I132">
            <v>5</v>
          </cell>
        </row>
        <row r="133">
          <cell r="C133" t="str">
            <v>RO0133</v>
          </cell>
          <cell r="D133" t="str">
            <v>13:собст. железобетонный столб с заглубленным фундаментом</v>
          </cell>
          <cell r="E133" t="str">
            <v>Ростовская Область, Ростов-на-Дону Город, 1-й Конной Армии Улица, дом 1</v>
          </cell>
          <cell r="F133">
            <v>1.04</v>
          </cell>
          <cell r="G133" t="str">
            <v>Осн.</v>
          </cell>
          <cell r="H133" t="str">
            <v>Ростовская</v>
          </cell>
          <cell r="I133">
            <v>2</v>
          </cell>
        </row>
        <row r="134">
          <cell r="C134" t="str">
            <v>RO0134</v>
          </cell>
          <cell r="D134" t="str">
            <v>22:собст. АМС выше 10 м на крыше</v>
          </cell>
          <cell r="E134" t="str">
            <v>Ростовская Область, Ростов-на-Дону Город, 19 Линия Улица, дом 53</v>
          </cell>
          <cell r="F134">
            <v>1.08</v>
          </cell>
          <cell r="G134" t="str">
            <v>Осн.</v>
          </cell>
          <cell r="H134" t="str">
            <v>Ростовская</v>
          </cell>
          <cell r="I134">
            <v>4</v>
          </cell>
        </row>
        <row r="135">
          <cell r="C135" t="str">
            <v>RO0135</v>
          </cell>
          <cell r="D135" t="str">
            <v>21:собст. АМС до 10 м на крыше</v>
          </cell>
          <cell r="E135" t="str">
            <v>Ростовская Область, Ростов-на-Дону Город, Зорге Улица\46</v>
          </cell>
          <cell r="F135">
            <v>1.18</v>
          </cell>
          <cell r="G135" t="str">
            <v>Осн.</v>
          </cell>
          <cell r="H135" t="str">
            <v>Ростовская</v>
          </cell>
          <cell r="I135">
            <v>9</v>
          </cell>
        </row>
        <row r="136">
          <cell r="C136" t="str">
            <v>RO0136</v>
          </cell>
          <cell r="D136" t="str">
            <v>22:собст. АМС выше 10 м на крыше</v>
          </cell>
          <cell r="E136" t="str">
            <v>Ростовская Область, Ростов-на-Дону Город, Береговая Улица\67</v>
          </cell>
          <cell r="F136">
            <v>1.08</v>
          </cell>
          <cell r="G136" t="str">
            <v>Осн.</v>
          </cell>
          <cell r="H136" t="str">
            <v>Ростовская</v>
          </cell>
          <cell r="I136">
            <v>4</v>
          </cell>
        </row>
        <row r="137">
          <cell r="C137" t="str">
            <v>RO0137</v>
          </cell>
          <cell r="D137" t="str">
            <v>31:трубостойки на чужой АМС на земле/крыше</v>
          </cell>
          <cell r="E137" t="str">
            <v>Ростовская Область, Ростов-на-Дону Город, Левобережная Улица, дом 73\п</v>
          </cell>
          <cell r="F137">
            <v>1.22</v>
          </cell>
          <cell r="G137" t="str">
            <v>Осн.</v>
          </cell>
          <cell r="H137" t="str">
            <v>Ростовская</v>
          </cell>
          <cell r="I137">
            <v>11</v>
          </cell>
        </row>
        <row r="138">
          <cell r="C138" t="str">
            <v>RO0138</v>
          </cell>
          <cell r="D138" t="str">
            <v>21:собст. АМС до 10 м на крыше</v>
          </cell>
          <cell r="E138" t="str">
            <v>Ростовская Область, Ростов-на-Дону Город, Береговая Улица, дом 10</v>
          </cell>
          <cell r="F138">
            <v>1.08</v>
          </cell>
          <cell r="G138" t="str">
            <v>Осн.</v>
          </cell>
          <cell r="H138" t="str">
            <v>Ростовская</v>
          </cell>
          <cell r="I138">
            <v>4</v>
          </cell>
        </row>
        <row r="139">
          <cell r="C139" t="str">
            <v>RO0139</v>
          </cell>
          <cell r="D139" t="str">
            <v>21:собст. АМС до 10 м на крыше</v>
          </cell>
          <cell r="E139" t="str">
            <v>Ростовская Область, Ростов-на-Дону Город, Борко Улица, дом 10</v>
          </cell>
          <cell r="F139">
            <v>1.1599999999999999</v>
          </cell>
          <cell r="G139" t="str">
            <v>Осн.</v>
          </cell>
          <cell r="H139" t="str">
            <v>Ростовская</v>
          </cell>
          <cell r="I139">
            <v>8</v>
          </cell>
        </row>
        <row r="140">
          <cell r="C140" t="str">
            <v>RO0140</v>
          </cell>
          <cell r="D140" t="str">
            <v>32:трубостойки/АМС на: трубе, элеваторе, водонап.башне</v>
          </cell>
          <cell r="E140" t="str">
            <v>Ростовская Область, Ростов-на-Дону Город, 40-летия Победы Проспект, дом 63/2</v>
          </cell>
          <cell r="F140">
            <v>1.1599999999999999</v>
          </cell>
          <cell r="G140" t="str">
            <v>Осн.</v>
          </cell>
          <cell r="H140" t="str">
            <v>Ростовская</v>
          </cell>
          <cell r="I140">
            <v>8</v>
          </cell>
        </row>
        <row r="141">
          <cell r="C141" t="str">
            <v>RO0141</v>
          </cell>
          <cell r="D141" t="str">
            <v>21:собст. АМС до 10 м на крыше</v>
          </cell>
          <cell r="E141" t="str">
            <v>Ростовская Область, Ростов-на-Дону Город, Детская Улица, дом 137/40-42</v>
          </cell>
          <cell r="F141">
            <v>1.1399999999999999</v>
          </cell>
          <cell r="G141" t="str">
            <v>Осн.</v>
          </cell>
          <cell r="H141" t="str">
            <v>Ростовская</v>
          </cell>
          <cell r="I141">
            <v>7</v>
          </cell>
        </row>
        <row r="142">
          <cell r="C142" t="str">
            <v>RO0142</v>
          </cell>
          <cell r="D142" t="str">
            <v>31:трубостойки на чужой АМС на земле/крыше</v>
          </cell>
          <cell r="E142" t="str">
            <v>Ростовская Область, Ростов-на-Дону Город, 40-летия Победы Проспект, дом 308/5</v>
          </cell>
          <cell r="F142">
            <v>1.18</v>
          </cell>
          <cell r="G142" t="str">
            <v>Осн.</v>
          </cell>
          <cell r="H142" t="str">
            <v>Ростовская</v>
          </cell>
          <cell r="I142">
            <v>9</v>
          </cell>
        </row>
        <row r="143">
          <cell r="C143" t="str">
            <v>RO0143</v>
          </cell>
          <cell r="D143" t="str">
            <v>33:трубостойки, АМС инфраструктурного оператора</v>
          </cell>
          <cell r="E143" t="str">
            <v>Ростовская Область, Аксайский Район, Аксай Город, Фрунзе Улица, дом 41\Калинина, дом 21</v>
          </cell>
          <cell r="F143">
            <v>1.32</v>
          </cell>
          <cell r="G143" t="str">
            <v>Осн.</v>
          </cell>
          <cell r="H143" t="str">
            <v>Ростовская</v>
          </cell>
          <cell r="I143">
            <v>16</v>
          </cell>
        </row>
        <row r="144">
          <cell r="C144" t="str">
            <v>RO0144</v>
          </cell>
          <cell r="D144" t="str">
            <v>13:собст. железобетонный столб с заглубленным фундаментом</v>
          </cell>
          <cell r="E144" t="str">
            <v>Ростовская Область, Аксайский Район, Аксай Город, Садовая Улица\33</v>
          </cell>
          <cell r="F144">
            <v>1.28</v>
          </cell>
          <cell r="G144" t="str">
            <v>Осн.</v>
          </cell>
          <cell r="H144" t="str">
            <v>Ростовская</v>
          </cell>
          <cell r="I144">
            <v>14</v>
          </cell>
        </row>
        <row r="145">
          <cell r="C145" t="str">
            <v>RO0145</v>
          </cell>
          <cell r="D145" t="str">
            <v>31:трубостойки на чужой АМС на земле/крыше</v>
          </cell>
          <cell r="E145" t="str">
            <v>Ростовская Область, Аксайский Район\п. Ковалевка, 300 м севернее поселка Золотой Колос, башня ГПТГ-Кубань</v>
          </cell>
          <cell r="F145">
            <v>1.38</v>
          </cell>
          <cell r="G145" t="str">
            <v>Осн.</v>
          </cell>
          <cell r="H145" t="str">
            <v>Ростовская</v>
          </cell>
          <cell r="I145">
            <v>19</v>
          </cell>
        </row>
        <row r="146">
          <cell r="C146" t="str">
            <v>RO0146</v>
          </cell>
          <cell r="D146" t="str">
            <v>21:собст. АМС до 10 м на крыше</v>
          </cell>
          <cell r="E146" t="str">
            <v>Ростовская Область, Ростов-на-Дону Город, Чехова Проспект, дом 71\187</v>
          </cell>
          <cell r="F146">
            <v>1.06</v>
          </cell>
          <cell r="G146" t="str">
            <v>Осн.</v>
          </cell>
          <cell r="H146" t="str">
            <v>Ростовская</v>
          </cell>
          <cell r="I146">
            <v>3</v>
          </cell>
        </row>
        <row r="147">
          <cell r="C147" t="str">
            <v>RO0147</v>
          </cell>
          <cell r="D147" t="str">
            <v>22:собст. АМС выше 10 м на крыше</v>
          </cell>
          <cell r="E147" t="str">
            <v>Ростовская Область, Ростов-на-Дону Город, Темерницкая Улица\44</v>
          </cell>
          <cell r="F147">
            <v>1.1000000000000001</v>
          </cell>
          <cell r="G147" t="str">
            <v>Осн.</v>
          </cell>
          <cell r="H147" t="str">
            <v>Ростовская</v>
          </cell>
          <cell r="I147">
            <v>5</v>
          </cell>
        </row>
        <row r="148">
          <cell r="C148" t="str">
            <v>RO0148</v>
          </cell>
          <cell r="D148" t="str">
            <v>31:трубостойки на чужой АМС на земле/крыше</v>
          </cell>
          <cell r="E148" t="str">
            <v>Ростовская Область, Ростов-на-Дону Город, Собино Улица\в районе д.79</v>
          </cell>
          <cell r="F148">
            <v>1.1399999999999999</v>
          </cell>
          <cell r="G148" t="str">
            <v>Осн.</v>
          </cell>
          <cell r="H148" t="str">
            <v>Ростовская</v>
          </cell>
          <cell r="I148">
            <v>7</v>
          </cell>
        </row>
        <row r="149">
          <cell r="C149" t="str">
            <v>RO0149</v>
          </cell>
          <cell r="D149" t="str">
            <v>21:собст. АМС до 10 м на крыше</v>
          </cell>
          <cell r="E149" t="str">
            <v>Ростовская Область, Ростов-на-Дону Город, Михаила Нагибина Проспект, дом 32м</v>
          </cell>
          <cell r="F149">
            <v>1.08</v>
          </cell>
          <cell r="G149" t="str">
            <v>Осн.</v>
          </cell>
          <cell r="H149" t="str">
            <v>Ростовская</v>
          </cell>
          <cell r="I149">
            <v>4</v>
          </cell>
        </row>
        <row r="150">
          <cell r="C150" t="str">
            <v>RO0150</v>
          </cell>
          <cell r="D150" t="str">
            <v>13:собст. железобетонный столб с заглубленным фундаментом</v>
          </cell>
          <cell r="E150" t="str">
            <v>Ростовская Область, Ростов-на-Дону Город, Димитрова Улица, дом 36/7</v>
          </cell>
          <cell r="F150">
            <v>1.08</v>
          </cell>
          <cell r="G150" t="str">
            <v>Осн.</v>
          </cell>
          <cell r="H150" t="str">
            <v>Ростовская</v>
          </cell>
          <cell r="I150">
            <v>4</v>
          </cell>
        </row>
        <row r="151">
          <cell r="C151" t="str">
            <v>RO0151</v>
          </cell>
          <cell r="D151" t="str">
            <v>31:трубостойки на чужой АМС на земле/крыше</v>
          </cell>
          <cell r="E151" t="str">
            <v>Ростовская Область, Ростов-на-Дону Город, Буденновский Проспект, дом 50/78</v>
          </cell>
          <cell r="F151">
            <v>1.08</v>
          </cell>
          <cell r="G151" t="str">
            <v>Осн.</v>
          </cell>
          <cell r="H151" t="str">
            <v>Ростовская</v>
          </cell>
          <cell r="I151">
            <v>4</v>
          </cell>
        </row>
        <row r="152">
          <cell r="C152" t="str">
            <v>RO0152</v>
          </cell>
          <cell r="D152" t="str">
            <v>21:собст. АМС до 10 м на крыше</v>
          </cell>
          <cell r="E152" t="str">
            <v>Ростовская Область, Ростов-на-Дону Город, Пушкинская Улица\70</v>
          </cell>
          <cell r="F152">
            <v>1.08</v>
          </cell>
          <cell r="G152" t="str">
            <v>Осн.</v>
          </cell>
          <cell r="H152" t="str">
            <v>Ростовская</v>
          </cell>
          <cell r="I152">
            <v>4</v>
          </cell>
        </row>
        <row r="153">
          <cell r="C153" t="str">
            <v>RO0153</v>
          </cell>
          <cell r="D153" t="str">
            <v>21:собст. АМС до 10 м на крыше</v>
          </cell>
          <cell r="E153" t="str">
            <v>Ростовская Область, Ростов-на-Дону Город, Лермонтовская Улица, дом 89</v>
          </cell>
          <cell r="F153">
            <v>1.06</v>
          </cell>
          <cell r="G153" t="str">
            <v>Осн.</v>
          </cell>
          <cell r="H153" t="str">
            <v>Ростовская</v>
          </cell>
          <cell r="I153">
            <v>3</v>
          </cell>
        </row>
        <row r="154">
          <cell r="C154" t="str">
            <v>RO0154</v>
          </cell>
          <cell r="D154" t="str">
            <v>21:собст. АМС до 10 м на крыше</v>
          </cell>
          <cell r="E154" t="str">
            <v>Ростовская Область, Ростов-на-Дону Город, Большая Садовая Улица, дом 115</v>
          </cell>
          <cell r="F154">
            <v>1.04</v>
          </cell>
          <cell r="G154" t="str">
            <v>Осн.</v>
          </cell>
          <cell r="H154" t="str">
            <v>Ростовская</v>
          </cell>
          <cell r="I154">
            <v>2</v>
          </cell>
        </row>
        <row r="155">
          <cell r="C155" t="str">
            <v>RO0155</v>
          </cell>
          <cell r="D155" t="str">
            <v>31:трубостойки на чужой АМС на земле/крыше</v>
          </cell>
          <cell r="E155" t="str">
            <v>Ростовская Область, Ростов-на-Дону Город, Свободы Площадь, дом 3</v>
          </cell>
          <cell r="F155">
            <v>1.08</v>
          </cell>
          <cell r="G155" t="str">
            <v>Осн.</v>
          </cell>
          <cell r="H155" t="str">
            <v>Ростовская</v>
          </cell>
          <cell r="I155">
            <v>4</v>
          </cell>
        </row>
        <row r="156">
          <cell r="C156" t="str">
            <v>RO0156</v>
          </cell>
          <cell r="D156" t="str">
            <v>13:собст. железобетонный столб с заглубленным фундаментом</v>
          </cell>
          <cell r="E156" t="str">
            <v>Ростовская Область, Ростов-на-Дону Город, Юфимцева Улица\17</v>
          </cell>
          <cell r="F156">
            <v>1.06</v>
          </cell>
          <cell r="G156" t="str">
            <v>Осн.</v>
          </cell>
          <cell r="H156" t="str">
            <v>Ростовская</v>
          </cell>
          <cell r="I156">
            <v>3</v>
          </cell>
        </row>
        <row r="157">
          <cell r="C157" t="str">
            <v>RO0157</v>
          </cell>
          <cell r="D157" t="str">
            <v>32:трубостойки/АМС на: трубе, элеваторе, водонап.башне</v>
          </cell>
          <cell r="E157" t="str">
            <v>Ростовская Область, Ростов-на-Дону Город, Ахтарский Переулок, дом 6\литер Т</v>
          </cell>
          <cell r="F157">
            <v>1.04</v>
          </cell>
          <cell r="G157" t="str">
            <v>Осн.</v>
          </cell>
          <cell r="H157" t="str">
            <v>Ростовская</v>
          </cell>
          <cell r="I157">
            <v>2</v>
          </cell>
        </row>
        <row r="158">
          <cell r="C158" t="str">
            <v>RO0158</v>
          </cell>
          <cell r="D158" t="str">
            <v>21:собст. АМС до 10 м на крыше</v>
          </cell>
          <cell r="E158" t="str">
            <v>Ростовская Область, Ростов-на-Дону Город, Башкирская Улица\14</v>
          </cell>
          <cell r="F158">
            <v>1.08</v>
          </cell>
          <cell r="G158" t="str">
            <v>Осн.</v>
          </cell>
          <cell r="H158" t="str">
            <v>Ростовская</v>
          </cell>
          <cell r="I158">
            <v>4</v>
          </cell>
        </row>
        <row r="159">
          <cell r="C159" t="str">
            <v>RO0159</v>
          </cell>
          <cell r="D159" t="str">
            <v>21:собст. АМС до 10 м на крыше</v>
          </cell>
          <cell r="E159" t="str">
            <v>Ростовская Область, Ростов-на-Дону Город, Новаторов Улица\5</v>
          </cell>
          <cell r="F159">
            <v>1.08</v>
          </cell>
          <cell r="G159" t="str">
            <v>Осн.</v>
          </cell>
          <cell r="H159" t="str">
            <v>Ростовская</v>
          </cell>
          <cell r="I159">
            <v>4</v>
          </cell>
        </row>
        <row r="160">
          <cell r="C160" t="str">
            <v>RO0160</v>
          </cell>
          <cell r="D160" t="str">
            <v>13:собст. железобетонный столб с заглубленным фундаментом</v>
          </cell>
          <cell r="E160" t="str">
            <v>Ростовская Область, Ростов-на-Дону Город, Геологическая Улица, дом 2</v>
          </cell>
          <cell r="F160">
            <v>1.1399999999999999</v>
          </cell>
          <cell r="G160" t="str">
            <v>Осн.</v>
          </cell>
          <cell r="H160" t="str">
            <v>Ростовская</v>
          </cell>
          <cell r="I160">
            <v>7</v>
          </cell>
        </row>
        <row r="161">
          <cell r="C161" t="str">
            <v>RO0161</v>
          </cell>
          <cell r="D161" t="str">
            <v>13:собст. железобетонный столб с заглубленным фундаментом</v>
          </cell>
          <cell r="E161" t="str">
            <v>Ростовская Область, Ростов-на-Дону Город, 40-летия Победы Проспект, дом 75</v>
          </cell>
          <cell r="F161">
            <v>1.18</v>
          </cell>
          <cell r="G161" t="str">
            <v>Осн.</v>
          </cell>
          <cell r="H161" t="str">
            <v>Ростовская</v>
          </cell>
          <cell r="I161">
            <v>9</v>
          </cell>
        </row>
        <row r="162">
          <cell r="C162" t="str">
            <v>RO0162</v>
          </cell>
          <cell r="D162" t="str">
            <v>31:трубостойки на чужой АМС на земле/крыше</v>
          </cell>
          <cell r="E162" t="str">
            <v>Ростовская Область, Ростов-на-Дону Город, Штахановского Улица\28/1</v>
          </cell>
          <cell r="F162">
            <v>1.2</v>
          </cell>
          <cell r="G162" t="str">
            <v>Осн.</v>
          </cell>
          <cell r="H162" t="str">
            <v>Ростовская</v>
          </cell>
          <cell r="I162">
            <v>10</v>
          </cell>
        </row>
        <row r="163">
          <cell r="C163" t="str">
            <v>RO0163</v>
          </cell>
          <cell r="D163" t="str">
            <v>13:собст. железобетонный столб с заглубленным фундаментом</v>
          </cell>
          <cell r="E163" t="str">
            <v>Ростовская Область, Аксайский Район, Аксай Город, Новочеркасское Шоссе Улица\4а</v>
          </cell>
          <cell r="F163">
            <v>1.24</v>
          </cell>
          <cell r="G163" t="str">
            <v>Осн.</v>
          </cell>
          <cell r="H163" t="str">
            <v>Ростовская</v>
          </cell>
          <cell r="I163">
            <v>12</v>
          </cell>
        </row>
        <row r="164">
          <cell r="C164" t="str">
            <v>RO0164</v>
          </cell>
          <cell r="D164" t="str">
            <v>13:собст. железобетонный столб с заглубленным фундаментом</v>
          </cell>
          <cell r="E164" t="str">
            <v>Ростовская Область, Ростов-на-Дону Город, Доватора Улица, дом 156/1</v>
          </cell>
          <cell r="F164">
            <v>1.26</v>
          </cell>
          <cell r="G164" t="str">
            <v>Осн.</v>
          </cell>
          <cell r="H164" t="str">
            <v>Ростовская</v>
          </cell>
          <cell r="I164">
            <v>13</v>
          </cell>
        </row>
        <row r="165">
          <cell r="C165" t="str">
            <v>RO0165</v>
          </cell>
          <cell r="D165" t="str">
            <v>13:собст. железобетонный столб с заглубленным фундаментом</v>
          </cell>
          <cell r="E165" t="str">
            <v>Ростовская Область, Ростов-на-Дону Город, Семипалатинская Улица\24/39</v>
          </cell>
          <cell r="F165">
            <v>1.2</v>
          </cell>
          <cell r="G165" t="str">
            <v>Осн.</v>
          </cell>
          <cell r="H165" t="str">
            <v>Ростовская</v>
          </cell>
          <cell r="I165">
            <v>10</v>
          </cell>
        </row>
        <row r="166">
          <cell r="C166" t="str">
            <v>RO0166</v>
          </cell>
          <cell r="D166" t="str">
            <v>21:собст. АМС до 10 м на крыше</v>
          </cell>
          <cell r="E166" t="str">
            <v>Ростовская Область, Ростов-на-Дону Город, Станиславского Улица, дом 8а</v>
          </cell>
          <cell r="F166">
            <v>1.1200000000000001</v>
          </cell>
          <cell r="G166" t="str">
            <v>Осн.</v>
          </cell>
          <cell r="H166" t="str">
            <v>Ростовская</v>
          </cell>
          <cell r="I166">
            <v>6</v>
          </cell>
        </row>
        <row r="167">
          <cell r="C167" t="str">
            <v>RO0167</v>
          </cell>
          <cell r="D167" t="str">
            <v>21:собст. АМС до 10 м на крыше</v>
          </cell>
          <cell r="E167" t="str">
            <v>Ростовская Область, Ростов-на-Дону Город, Красноармейская Улица, дом 108\А</v>
          </cell>
          <cell r="F167">
            <v>1.08</v>
          </cell>
          <cell r="G167" t="str">
            <v>Осн.</v>
          </cell>
          <cell r="H167" t="str">
            <v>Ростовская</v>
          </cell>
          <cell r="I167">
            <v>4</v>
          </cell>
        </row>
        <row r="168">
          <cell r="C168" t="str">
            <v>RO0168</v>
          </cell>
          <cell r="D168" t="str">
            <v>32:трубостойки/АМС на: трубе, элеваторе, водонап.башне</v>
          </cell>
          <cell r="E168" t="str">
            <v>Ростовская Область, Ростов-на-Дону Город, Красноармейская Улица\157</v>
          </cell>
          <cell r="F168">
            <v>1.04</v>
          </cell>
          <cell r="G168" t="str">
            <v>Осн.</v>
          </cell>
          <cell r="H168" t="str">
            <v>Ростовская</v>
          </cell>
          <cell r="I168">
            <v>2</v>
          </cell>
        </row>
        <row r="169">
          <cell r="C169" t="str">
            <v>RO0169</v>
          </cell>
          <cell r="D169" t="str">
            <v>13:собст. железобетонный столб с заглубленным фундаментом</v>
          </cell>
          <cell r="E169" t="str">
            <v>Ростовская Область, Ростов-на-Дону Город, Комбайностроителей Улица, дом 2</v>
          </cell>
          <cell r="F169">
            <v>1.1200000000000001</v>
          </cell>
          <cell r="G169" t="str">
            <v>Осн.</v>
          </cell>
          <cell r="H169" t="str">
            <v>Ростовская</v>
          </cell>
          <cell r="I169">
            <v>6</v>
          </cell>
        </row>
        <row r="170">
          <cell r="C170" t="str">
            <v>RO0170</v>
          </cell>
          <cell r="D170" t="str">
            <v>13:собст. железобетонный столб с заглубленным фундаментом</v>
          </cell>
          <cell r="E170" t="str">
            <v>Ростовская Область, Ростов-на-Дону Город, Белорусская Улица, дом 163/23\163-165</v>
          </cell>
          <cell r="F170">
            <v>1.1599999999999999</v>
          </cell>
          <cell r="G170" t="str">
            <v>Осн.</v>
          </cell>
          <cell r="H170" t="str">
            <v>Ростовская</v>
          </cell>
          <cell r="I170">
            <v>8</v>
          </cell>
        </row>
        <row r="171">
          <cell r="C171" t="str">
            <v>RO0171</v>
          </cell>
          <cell r="D171" t="str">
            <v>31:трубостойки на чужой АМС на земле/крыше</v>
          </cell>
          <cell r="E171" t="str">
            <v>Ростовская Область, Ростов-на-Дону Город, Доватора Улица\2 д</v>
          </cell>
          <cell r="F171">
            <v>1.1599999999999999</v>
          </cell>
          <cell r="G171" t="str">
            <v>Осн.</v>
          </cell>
          <cell r="H171" t="str">
            <v>Ростовская</v>
          </cell>
          <cell r="I171">
            <v>8</v>
          </cell>
        </row>
        <row r="172">
          <cell r="C172" t="str">
            <v>RO0172</v>
          </cell>
          <cell r="D172" t="str">
            <v>21:собст. АМС до 10 м на крыше</v>
          </cell>
          <cell r="E172" t="str">
            <v>Ростовская Область, Ростов-на-Дону Город, Рахманинова Улица, дом 24</v>
          </cell>
          <cell r="F172">
            <v>1.18</v>
          </cell>
          <cell r="G172" t="str">
            <v>Осн.</v>
          </cell>
          <cell r="H172" t="str">
            <v>Ростовская</v>
          </cell>
          <cell r="I172">
            <v>9</v>
          </cell>
        </row>
        <row r="173">
          <cell r="C173" t="str">
            <v>RO0173</v>
          </cell>
          <cell r="D173" t="str">
            <v>33:трубостойки, АМС инфраструктурного оператора</v>
          </cell>
          <cell r="E173" t="str">
            <v>Ростовская Область, Ростов-на-Дону Город, Кировский Проспект, дом 57б</v>
          </cell>
          <cell r="F173">
            <v>1.06</v>
          </cell>
          <cell r="G173" t="str">
            <v>Осн.</v>
          </cell>
          <cell r="H173" t="str">
            <v>Ростовская</v>
          </cell>
          <cell r="I173">
            <v>3</v>
          </cell>
        </row>
        <row r="174">
          <cell r="C174" t="str">
            <v>RO0174</v>
          </cell>
          <cell r="D174" t="str">
            <v>32:трубостойки/АМС на: трубе, элеваторе, водонап.башне</v>
          </cell>
          <cell r="E174" t="str">
            <v>Ростовская Область, Ростов-на-Дону Город, Каширская Улица\9/53</v>
          </cell>
          <cell r="F174">
            <v>1.28</v>
          </cell>
          <cell r="G174" t="str">
            <v>Осн.</v>
          </cell>
          <cell r="H174" t="str">
            <v>Ростовская</v>
          </cell>
          <cell r="I174">
            <v>14</v>
          </cell>
        </row>
        <row r="175">
          <cell r="C175" t="str">
            <v>RO0175</v>
          </cell>
          <cell r="D175" t="str">
            <v>31:трубостойки на чужой АМС на земле/крыше</v>
          </cell>
          <cell r="E175" t="str">
            <v>Ростовская Область, Ростов-на-Дону Город, Портовая Улица, дом 372</v>
          </cell>
          <cell r="F175">
            <v>1.22</v>
          </cell>
          <cell r="G175" t="str">
            <v>Осн.</v>
          </cell>
          <cell r="H175" t="str">
            <v>Ростовская</v>
          </cell>
          <cell r="I175">
            <v>11</v>
          </cell>
        </row>
        <row r="176">
          <cell r="C176" t="str">
            <v>RO0176</v>
          </cell>
          <cell r="D176" t="str">
            <v>13:собст. железобетонный столб с заглубленным фундаментом</v>
          </cell>
          <cell r="E176" t="str">
            <v>Ростовская Область, Ростов-на-Дону Город, 1-я Луговая Улица, дом 20</v>
          </cell>
          <cell r="F176">
            <v>1.2</v>
          </cell>
          <cell r="G176" t="str">
            <v>Осн.</v>
          </cell>
          <cell r="H176" t="str">
            <v>Ростовская</v>
          </cell>
          <cell r="I176">
            <v>10</v>
          </cell>
        </row>
        <row r="177">
          <cell r="C177" t="str">
            <v>RO0177</v>
          </cell>
          <cell r="D177" t="str">
            <v>22:собст. АМС выше 10 м на крыше</v>
          </cell>
          <cell r="E177" t="str">
            <v>Ростовская Область, Ростов-на-Дону Город, Таганрогская Улица, дом 114</v>
          </cell>
          <cell r="F177">
            <v>1.22</v>
          </cell>
          <cell r="G177" t="str">
            <v>Осн.</v>
          </cell>
          <cell r="H177" t="str">
            <v>Ростовская</v>
          </cell>
          <cell r="I177">
            <v>11</v>
          </cell>
        </row>
        <row r="178">
          <cell r="C178" t="str">
            <v>RO0178</v>
          </cell>
          <cell r="D178" t="str">
            <v>32:трубостойки/АМС на: трубе, элеваторе, водонап.башне</v>
          </cell>
          <cell r="E178" t="str">
            <v>Ростовская Область, Ростов-на-Дону Город, Ашхабадский Переулок, дом 4</v>
          </cell>
          <cell r="F178">
            <v>1.08</v>
          </cell>
          <cell r="G178" t="str">
            <v>Осн.</v>
          </cell>
          <cell r="H178" t="str">
            <v>Ростовская</v>
          </cell>
          <cell r="I178">
            <v>4</v>
          </cell>
        </row>
        <row r="179">
          <cell r="C179" t="str">
            <v>RO0179</v>
          </cell>
          <cell r="D179" t="str">
            <v>13:собст. железобетонный столб с заглубленным фундаментом</v>
          </cell>
          <cell r="E179" t="str">
            <v>Ростовская Область, Ростов-на-Дону Город, Нансена Улица\79а</v>
          </cell>
          <cell r="F179">
            <v>1.1000000000000001</v>
          </cell>
          <cell r="G179" t="str">
            <v>Осн.</v>
          </cell>
          <cell r="H179" t="str">
            <v>Ростовская</v>
          </cell>
          <cell r="I179">
            <v>5</v>
          </cell>
        </row>
        <row r="180">
          <cell r="C180" t="str">
            <v>RO0180</v>
          </cell>
          <cell r="D180" t="str">
            <v>21:собст. АМС до 10 м на крыше</v>
          </cell>
          <cell r="E180" t="str">
            <v>Ростовская Область, Ростов-на-Дону Город, Евдокимова Улица, дом 37а</v>
          </cell>
          <cell r="F180">
            <v>1.1399999999999999</v>
          </cell>
          <cell r="G180" t="str">
            <v>Осн.</v>
          </cell>
          <cell r="H180" t="str">
            <v>Ростовская</v>
          </cell>
          <cell r="I180">
            <v>7</v>
          </cell>
        </row>
        <row r="181">
          <cell r="C181" t="str">
            <v>RO0181</v>
          </cell>
          <cell r="D181" t="str">
            <v>22:собст. АМС выше 10 м на крыше</v>
          </cell>
          <cell r="E181" t="str">
            <v>Ростовская Область, Ростов-на-Дону Город, Беляева Улица, дом 24</v>
          </cell>
          <cell r="F181">
            <v>1.22</v>
          </cell>
          <cell r="G181" t="str">
            <v>Осн.</v>
          </cell>
          <cell r="H181" t="str">
            <v>Ростовская</v>
          </cell>
          <cell r="I181">
            <v>11</v>
          </cell>
        </row>
        <row r="182">
          <cell r="C182" t="str">
            <v>RO0182</v>
          </cell>
          <cell r="D182" t="str">
            <v>31:трубостойки на чужой АМС на земле/крыше</v>
          </cell>
          <cell r="E182" t="str">
            <v>Ростовская Область, Ростов-на-Дону Город, Днепровский Переулок, дом 116</v>
          </cell>
          <cell r="F182">
            <v>1.2</v>
          </cell>
          <cell r="G182" t="str">
            <v>Осн.</v>
          </cell>
          <cell r="H182" t="str">
            <v>Ростовская</v>
          </cell>
          <cell r="I182">
            <v>10</v>
          </cell>
        </row>
        <row r="183">
          <cell r="C183" t="str">
            <v>RO0183</v>
          </cell>
          <cell r="D183" t="str">
            <v>13:собст. железобетонный столб с заглубленным фундаментом</v>
          </cell>
          <cell r="E183" t="str">
            <v>Ростовская Область, Ростов-на-Дону Город, Днепропетровская Улица\83</v>
          </cell>
          <cell r="F183">
            <v>1.2</v>
          </cell>
          <cell r="G183" t="str">
            <v>Осн.</v>
          </cell>
          <cell r="H183" t="str">
            <v>Ростовская</v>
          </cell>
          <cell r="I183">
            <v>10</v>
          </cell>
        </row>
        <row r="184">
          <cell r="C184" t="str">
            <v>RO0184</v>
          </cell>
          <cell r="D184" t="str">
            <v>13:собст. железобетонный столб с заглубленным фундаментом</v>
          </cell>
          <cell r="E184" t="str">
            <v>Ростовская Область, Ростов-на-Дону Город, Шолохова Проспект, дом 211\Б</v>
          </cell>
          <cell r="F184">
            <v>1.1399999999999999</v>
          </cell>
          <cell r="G184" t="str">
            <v>Осн.</v>
          </cell>
          <cell r="H184" t="str">
            <v>Ростовская</v>
          </cell>
          <cell r="I184">
            <v>7</v>
          </cell>
        </row>
        <row r="185">
          <cell r="C185" t="str">
            <v>RO0185</v>
          </cell>
          <cell r="D185" t="str">
            <v>21:собст. АМС до 10 м на крыше</v>
          </cell>
          <cell r="E185" t="str">
            <v>Ростовская Область, Ростов-на-Дону Город, Сельмаш Проспект, дом 2</v>
          </cell>
          <cell r="F185">
            <v>1.06</v>
          </cell>
          <cell r="G185" t="str">
            <v>Осн.</v>
          </cell>
          <cell r="H185" t="str">
            <v>Ростовская</v>
          </cell>
          <cell r="I185">
            <v>3</v>
          </cell>
        </row>
        <row r="186">
          <cell r="C186" t="str">
            <v>RO0186</v>
          </cell>
          <cell r="D186" t="str">
            <v>13:собст. железобетонный столб с заглубленным фундаментом</v>
          </cell>
          <cell r="E186" t="str">
            <v>Ростовская Область, Ростов-на-Дону Город, 37-я линия Улица\95</v>
          </cell>
          <cell r="F186">
            <v>1.1000000000000001</v>
          </cell>
          <cell r="G186" t="str">
            <v>Осн.</v>
          </cell>
          <cell r="H186" t="str">
            <v>Ростовская</v>
          </cell>
          <cell r="I186">
            <v>5</v>
          </cell>
        </row>
        <row r="187">
          <cell r="C187" t="str">
            <v>RO0187</v>
          </cell>
          <cell r="D187" t="str">
            <v>21:собст. АМС до 10 м на крыше</v>
          </cell>
          <cell r="E187" t="str">
            <v>Ростовская Область, Ростов-на-Дону Город\ул. Буйнакская 3/54</v>
          </cell>
          <cell r="F187">
            <v>1.08</v>
          </cell>
          <cell r="G187" t="str">
            <v>Осн.</v>
          </cell>
          <cell r="H187" t="str">
            <v>Ростовская</v>
          </cell>
          <cell r="I187">
            <v>4</v>
          </cell>
        </row>
        <row r="188">
          <cell r="C188" t="str">
            <v>RO0188</v>
          </cell>
          <cell r="D188" t="str">
            <v>21:собст. АМС до 10 м на крыше</v>
          </cell>
          <cell r="E188" t="str">
            <v>Ростовская Область, Ростов-на-Дону Город, Максима Горького Улица, дом 276</v>
          </cell>
          <cell r="F188">
            <v>1.04</v>
          </cell>
          <cell r="G188" t="str">
            <v>Осн.</v>
          </cell>
          <cell r="H188" t="str">
            <v>Ростовская</v>
          </cell>
          <cell r="I188">
            <v>2</v>
          </cell>
        </row>
        <row r="189">
          <cell r="C189" t="str">
            <v>RO0189</v>
          </cell>
          <cell r="D189" t="str">
            <v>21:собст. АМС до 10 м на крыше</v>
          </cell>
          <cell r="E189" t="str">
            <v>Ростовская Область, Ростов-на-Дону Город, Нансена Улица\135/11</v>
          </cell>
          <cell r="F189">
            <v>1.1000000000000001</v>
          </cell>
          <cell r="G189" t="str">
            <v>Осн.</v>
          </cell>
          <cell r="H189" t="str">
            <v>Ростовская</v>
          </cell>
          <cell r="I189">
            <v>5</v>
          </cell>
        </row>
        <row r="190">
          <cell r="C190" t="str">
            <v>RO0190</v>
          </cell>
          <cell r="D190" t="str">
            <v>13:собст. железобетонный столб с заглубленным фундаментом</v>
          </cell>
          <cell r="E190" t="str">
            <v>Ростовская Область, Ростов-на-Дону Город, Левобережная Улица\66-68</v>
          </cell>
          <cell r="F190">
            <v>1.22</v>
          </cell>
          <cell r="G190" t="str">
            <v>Осн.</v>
          </cell>
          <cell r="H190" t="str">
            <v>Ростовская</v>
          </cell>
          <cell r="I190">
            <v>11</v>
          </cell>
        </row>
        <row r="191">
          <cell r="C191" t="str">
            <v>RO0191</v>
          </cell>
          <cell r="D191" t="str">
            <v>21:собст. АМС до 10 м на крыше</v>
          </cell>
          <cell r="E191" t="str">
            <v>Ростовская Область, Ростов-на-Дону Город, Большая Садовая Улица\69</v>
          </cell>
          <cell r="F191">
            <v>1.08</v>
          </cell>
          <cell r="G191" t="str">
            <v>Осн.</v>
          </cell>
          <cell r="H191" t="str">
            <v>Ростовская</v>
          </cell>
          <cell r="I191">
            <v>4</v>
          </cell>
        </row>
        <row r="192">
          <cell r="C192" t="str">
            <v>RO0192</v>
          </cell>
          <cell r="D192" t="str">
            <v>22:собст. АМС выше 10 м на крыше</v>
          </cell>
          <cell r="E192" t="str">
            <v>Ростовская Область, Ростов-на-Дону Город, Мечникова Улица, дом 140</v>
          </cell>
          <cell r="F192">
            <v>1.06</v>
          </cell>
          <cell r="G192" t="str">
            <v>Осн.</v>
          </cell>
          <cell r="H192" t="str">
            <v>Ростовская</v>
          </cell>
          <cell r="I192">
            <v>3</v>
          </cell>
        </row>
        <row r="193">
          <cell r="C193" t="str">
            <v>RO0193</v>
          </cell>
          <cell r="D193" t="str">
            <v>31:трубостойки на чужой АМС на земле/крыше</v>
          </cell>
          <cell r="E193" t="str">
            <v>Ростовская Область, Аксайский Район, Темерницкий Поселок, Парковый Переулок\8</v>
          </cell>
          <cell r="F193">
            <v>1.28</v>
          </cell>
          <cell r="G193" t="str">
            <v>Осн.</v>
          </cell>
          <cell r="H193" t="str">
            <v>Ростовская</v>
          </cell>
          <cell r="I193">
            <v>14</v>
          </cell>
        </row>
        <row r="194">
          <cell r="C194" t="str">
            <v>RO0194</v>
          </cell>
          <cell r="D194" t="str">
            <v>21:собст. АМС до 10 м на крыше</v>
          </cell>
          <cell r="E194" t="str">
            <v>Ростовская Область, Ростов-на-Дону Город, Братский Переулок, дом 46\/16</v>
          </cell>
          <cell r="F194">
            <v>1.1000000000000001</v>
          </cell>
          <cell r="G194" t="str">
            <v>Осн.</v>
          </cell>
          <cell r="H194" t="str">
            <v>Ростовская</v>
          </cell>
          <cell r="I194">
            <v>5</v>
          </cell>
        </row>
        <row r="195">
          <cell r="C195" t="str">
            <v>RO0195</v>
          </cell>
          <cell r="D195" t="str">
            <v>21:собст. АМС до 10 м на крыше</v>
          </cell>
          <cell r="E195" t="str">
            <v>Ростовская Область, Ростов-на-Дону Город, Лермонтовская Улица, дом 22/5-9</v>
          </cell>
          <cell r="F195">
            <v>1.08</v>
          </cell>
          <cell r="G195" t="str">
            <v>Осн.</v>
          </cell>
          <cell r="H195" t="str">
            <v>Ростовская</v>
          </cell>
          <cell r="I195">
            <v>4</v>
          </cell>
        </row>
        <row r="196">
          <cell r="C196" t="str">
            <v>RO0196</v>
          </cell>
          <cell r="D196" t="str">
            <v>32:трубостойки/АМС на: трубе, элеваторе, водонап.башне</v>
          </cell>
          <cell r="E196" t="str">
            <v>Ростовская Область, Ростов-на-Дону Город, Буденновский Проспект, дом 99</v>
          </cell>
          <cell r="F196">
            <v>1.06</v>
          </cell>
          <cell r="G196" t="str">
            <v>Осн.</v>
          </cell>
          <cell r="H196" t="str">
            <v>Ростовская</v>
          </cell>
          <cell r="I196">
            <v>3</v>
          </cell>
        </row>
        <row r="197">
          <cell r="C197" t="str">
            <v>RO0197</v>
          </cell>
          <cell r="D197" t="str">
            <v>13:собст. железобетонный столб с заглубленным фундаментом</v>
          </cell>
          <cell r="E197" t="str">
            <v>Ростовская Область, Ростов-на-Дону Город, Мечникова Улица\36</v>
          </cell>
          <cell r="F197">
            <v>1.08</v>
          </cell>
          <cell r="G197" t="str">
            <v>Осн.</v>
          </cell>
          <cell r="H197" t="str">
            <v>Ростовская</v>
          </cell>
          <cell r="I197">
            <v>4</v>
          </cell>
        </row>
        <row r="198">
          <cell r="C198" t="str">
            <v>RO0198</v>
          </cell>
          <cell r="D198" t="str">
            <v>13:собст. железобетонный столб с заглубленным фундаментом</v>
          </cell>
          <cell r="E198" t="str">
            <v>Ростовская Область, Аксайский Район, Большой Лог Хутор\район 2-го ракушечного карьера кирпичного завода</v>
          </cell>
          <cell r="F198">
            <v>1.42</v>
          </cell>
          <cell r="G198" t="str">
            <v>Осн.</v>
          </cell>
          <cell r="H198" t="str">
            <v>Ростовская</v>
          </cell>
          <cell r="I198">
            <v>21</v>
          </cell>
        </row>
        <row r="199">
          <cell r="C199" t="str">
            <v>RO0199</v>
          </cell>
          <cell r="D199" t="str">
            <v>13:собст. железобетонный столб с заглубленным фундаментом</v>
          </cell>
          <cell r="E199" t="str">
            <v>Ростовская Область, Мясниковский Район, Ленинаван Хутор, Шаумяна Улица\51</v>
          </cell>
          <cell r="F199">
            <v>1.32</v>
          </cell>
          <cell r="G199" t="str">
            <v>Осн.</v>
          </cell>
          <cell r="H199" t="str">
            <v>Ростовская</v>
          </cell>
          <cell r="I199">
            <v>16</v>
          </cell>
        </row>
        <row r="200">
          <cell r="C200" t="str">
            <v>RO0200</v>
          </cell>
          <cell r="D200" t="str">
            <v>31:трубостойки на чужой АМС на земле/крыше</v>
          </cell>
          <cell r="E200" t="str">
            <v>Ростовская Область, Аксайский Район, Грушевская Станица\Аэропорт "Платов"</v>
          </cell>
          <cell r="F200">
            <v>1.9</v>
          </cell>
          <cell r="G200" t="str">
            <v>Осн.</v>
          </cell>
          <cell r="H200" t="str">
            <v>Ростовская</v>
          </cell>
          <cell r="I200">
            <v>45</v>
          </cell>
        </row>
        <row r="201">
          <cell r="C201" t="str">
            <v>RO0201</v>
          </cell>
          <cell r="D201" t="str">
            <v>31:трубостойки на чужой АМС на земле/крыше</v>
          </cell>
          <cell r="E201" t="str">
            <v>Ростовская Область, Азовский Район, Кооперативная Улица\12</v>
          </cell>
          <cell r="F201">
            <v>1.84</v>
          </cell>
          <cell r="G201" t="str">
            <v>Осн.</v>
          </cell>
          <cell r="H201" t="str">
            <v>Ростовская</v>
          </cell>
          <cell r="I201">
            <v>42</v>
          </cell>
        </row>
        <row r="202">
          <cell r="C202" t="str">
            <v>RO0202</v>
          </cell>
          <cell r="D202" t="str">
            <v>31:трубостойки на чужой АМС на земле/крыше</v>
          </cell>
          <cell r="E202" t="str">
            <v>Ростовская Область, Азовский Район, Новоалександровка Хутор\450 м восточ. гр-цы г Азов, в р-не ПС-А1</v>
          </cell>
          <cell r="F202">
            <v>1.84</v>
          </cell>
          <cell r="G202" t="str">
            <v>Осн.</v>
          </cell>
          <cell r="H202" t="str">
            <v>Ростовская</v>
          </cell>
          <cell r="I202">
            <v>42</v>
          </cell>
        </row>
        <row r="203">
          <cell r="C203" t="str">
            <v>RO0203</v>
          </cell>
          <cell r="D203" t="str">
            <v>31:трубостойки на чужой АМС на земле/крыше</v>
          </cell>
          <cell r="E203" t="str">
            <v>Ростовская Область, Азов Город, Петровский Бульвар, дом 22</v>
          </cell>
          <cell r="F203">
            <v>1.86</v>
          </cell>
          <cell r="G203" t="str">
            <v>Осн.</v>
          </cell>
          <cell r="H203" t="str">
            <v>Ростовская</v>
          </cell>
          <cell r="I203">
            <v>43</v>
          </cell>
        </row>
        <row r="204">
          <cell r="C204" t="str">
            <v>RO0204</v>
          </cell>
          <cell r="D204" t="str">
            <v>21:собст. АМС до 10 м на крыше</v>
          </cell>
          <cell r="E204" t="str">
            <v>Ростовская Область, Азов Город\пер.Некрасовский, 37</v>
          </cell>
          <cell r="F204">
            <v>1.88</v>
          </cell>
          <cell r="G204" t="str">
            <v>Осн.</v>
          </cell>
          <cell r="H204" t="str">
            <v>Ростовская</v>
          </cell>
          <cell r="I204">
            <v>44</v>
          </cell>
        </row>
        <row r="205">
          <cell r="C205" t="str">
            <v>RO0205</v>
          </cell>
          <cell r="D205" t="str">
            <v>22:собст. АМС выше 10 м на крыше</v>
          </cell>
          <cell r="E205" t="str">
            <v>Ростовская Область, Азовский Район, Кулешовка Село, Матросова Переулок\15</v>
          </cell>
          <cell r="F205">
            <v>1.68</v>
          </cell>
          <cell r="G205" t="str">
            <v>Осн.</v>
          </cell>
          <cell r="H205" t="str">
            <v>Ростовская</v>
          </cell>
          <cell r="I205">
            <v>34</v>
          </cell>
        </row>
        <row r="206">
          <cell r="C206" t="str">
            <v>RO0206</v>
          </cell>
          <cell r="D206" t="str">
            <v>21:собст. АМС до 10 м на крыше</v>
          </cell>
          <cell r="E206" t="str">
            <v>Ростовская Область, Азов Город, Ленина Улица\83</v>
          </cell>
          <cell r="F206">
            <v>1.84</v>
          </cell>
          <cell r="G206" t="str">
            <v>Осн.</v>
          </cell>
          <cell r="H206" t="str">
            <v>Ростовская</v>
          </cell>
          <cell r="I206">
            <v>42</v>
          </cell>
        </row>
        <row r="207">
          <cell r="C207" t="str">
            <v>RO0207</v>
          </cell>
          <cell r="D207" t="str">
            <v>31:трубостойки на чужой АМС на земле/крыше</v>
          </cell>
          <cell r="E207" t="str">
            <v>Ростовская Область, Азовский Район, Кугей Село\Кугейская птицефабрика</v>
          </cell>
          <cell r="F207">
            <v>2.3199999999999998</v>
          </cell>
          <cell r="G207" t="str">
            <v>Осн.</v>
          </cell>
          <cell r="H207" t="str">
            <v>Ростовская</v>
          </cell>
          <cell r="I207">
            <v>66</v>
          </cell>
        </row>
        <row r="208">
          <cell r="C208" t="str">
            <v>RO0208</v>
          </cell>
          <cell r="D208" t="str">
            <v>31:трубостойки на чужой АМС на земле/крыше</v>
          </cell>
          <cell r="E208" t="str">
            <v>Ростовская Область, Азовский Район, Александровка Село, Советская Улица\1А</v>
          </cell>
          <cell r="F208">
            <v>2.86</v>
          </cell>
          <cell r="G208" t="str">
            <v>Осн.</v>
          </cell>
          <cell r="H208" t="str">
            <v>Ростовская</v>
          </cell>
          <cell r="I208">
            <v>93</v>
          </cell>
        </row>
        <row r="209">
          <cell r="C209" t="str">
            <v>RO0209</v>
          </cell>
          <cell r="D209" t="str">
            <v>13:собст. железобетонный столб с заглубленным фундаментом</v>
          </cell>
          <cell r="E209" t="str">
            <v>Ростовская Область, Азовский Район, Кагальник Село, Свободы Улица\17</v>
          </cell>
          <cell r="F209">
            <v>2.08</v>
          </cell>
          <cell r="G209" t="str">
            <v>Осн.</v>
          </cell>
          <cell r="H209" t="str">
            <v>Ростовская</v>
          </cell>
          <cell r="I209">
            <v>54</v>
          </cell>
        </row>
        <row r="210">
          <cell r="C210" t="str">
            <v>RO0210</v>
          </cell>
          <cell r="D210" t="str">
            <v>31:трубостойки на чужой АМС на земле/крыше</v>
          </cell>
          <cell r="E210" t="str">
            <v>Ростовская Область, Азовский Район, Займо-Обрыв Село\Октябрьская улица, 25А</v>
          </cell>
          <cell r="F210">
            <v>2.1800000000000002</v>
          </cell>
          <cell r="G210" t="str">
            <v>Осн.</v>
          </cell>
          <cell r="H210" t="str">
            <v>Ростовская</v>
          </cell>
          <cell r="I210">
            <v>59</v>
          </cell>
        </row>
        <row r="211">
          <cell r="C211" t="str">
            <v>RO0211</v>
          </cell>
          <cell r="D211" t="str">
            <v>13:собст. железобетонный столб с заглубленным фундаментом</v>
          </cell>
          <cell r="E211" t="str">
            <v>Ростовская Область, Азовский Район, Пешково Село, Буденного Улица, дом 75\Б</v>
          </cell>
          <cell r="F211">
            <v>1.98</v>
          </cell>
          <cell r="G211" t="str">
            <v>Осн.</v>
          </cell>
          <cell r="H211" t="str">
            <v>Ростовская</v>
          </cell>
          <cell r="I211">
            <v>49</v>
          </cell>
        </row>
        <row r="212">
          <cell r="C212" t="str">
            <v>RO0212</v>
          </cell>
          <cell r="D212" t="str">
            <v>13:собст. железобетонный столб с заглубленным фундаментом</v>
          </cell>
          <cell r="E212" t="str">
            <v>Ростовская Область, Азов Город, Достоевского Переулок, дом 45</v>
          </cell>
          <cell r="F212">
            <v>1.82</v>
          </cell>
          <cell r="G212" t="str">
            <v>Осн.</v>
          </cell>
          <cell r="H212" t="str">
            <v>Ростовская</v>
          </cell>
          <cell r="I212">
            <v>41</v>
          </cell>
        </row>
        <row r="213">
          <cell r="C213" t="str">
            <v>RO0213</v>
          </cell>
          <cell r="D213" t="str">
            <v>13:собст. железобетонный столб с заглубленным фундаментом</v>
          </cell>
          <cell r="E213" t="str">
            <v>Ростовская Область, Азов Город, Комсомольская Улица, дом 32</v>
          </cell>
          <cell r="F213">
            <v>1.8</v>
          </cell>
          <cell r="G213" t="str">
            <v>Осн.</v>
          </cell>
          <cell r="H213" t="str">
            <v>Ростовская</v>
          </cell>
          <cell r="I213">
            <v>40</v>
          </cell>
        </row>
        <row r="214">
          <cell r="C214" t="str">
            <v>RO0214</v>
          </cell>
          <cell r="D214" t="str">
            <v>32:трубостойки/АМС на: трубе, элеваторе, водонап.башне</v>
          </cell>
          <cell r="E214" t="str">
            <v>Ростовская Область, Азовский Район, Самарское Село, Промышленный Переулок\90</v>
          </cell>
          <cell r="F214">
            <v>1.8</v>
          </cell>
          <cell r="G214" t="str">
            <v>Осн.</v>
          </cell>
          <cell r="H214" t="str">
            <v>Ростовская</v>
          </cell>
          <cell r="I214">
            <v>40</v>
          </cell>
        </row>
        <row r="215">
          <cell r="C215" t="str">
            <v>RO0215</v>
          </cell>
          <cell r="D215" t="str">
            <v>13:собст. железобетонный столб с заглубленным фундаментом</v>
          </cell>
          <cell r="E215" t="str">
            <v>Ростовская Область, Азовский Район, Кулешовка Село, Пролетарская Улица\1</v>
          </cell>
          <cell r="F215">
            <v>1.58</v>
          </cell>
          <cell r="G215" t="str">
            <v>Осн.</v>
          </cell>
          <cell r="H215" t="str">
            <v>Ростовская</v>
          </cell>
          <cell r="I215">
            <v>29</v>
          </cell>
        </row>
        <row r="216">
          <cell r="C216" t="str">
            <v>RO0216</v>
          </cell>
          <cell r="D216" t="str">
            <v>13:собст. железобетонный столб с заглубленным фундаментом</v>
          </cell>
          <cell r="E216" t="str">
            <v>Ростовская Область, Азовский Район, Обуховка Хутор, Ленина Улица\10Г</v>
          </cell>
          <cell r="F216">
            <v>1.58</v>
          </cell>
          <cell r="G216" t="str">
            <v>Осн.</v>
          </cell>
          <cell r="H216" t="str">
            <v>Ростовская</v>
          </cell>
          <cell r="I216">
            <v>29</v>
          </cell>
        </row>
        <row r="217">
          <cell r="C217" t="str">
            <v>RO0217</v>
          </cell>
          <cell r="D217" t="str">
            <v>13:собст. железобетонный столб с заглубленным фундаментом</v>
          </cell>
          <cell r="E217" t="str">
            <v>Ростовская Область, Азовский Район, Самарское Село, Базарный Переулок, дом 89</v>
          </cell>
          <cell r="F217">
            <v>1.8</v>
          </cell>
          <cell r="G217" t="str">
            <v>Осн.</v>
          </cell>
          <cell r="H217" t="str">
            <v>Ростовская</v>
          </cell>
          <cell r="I217">
            <v>40</v>
          </cell>
        </row>
        <row r="218">
          <cell r="C218" t="str">
            <v>RO0218</v>
          </cell>
          <cell r="D218" t="str">
            <v>13:собст. железобетонный столб с заглубленным фундаментом</v>
          </cell>
          <cell r="E218" t="str">
            <v>Ростовская Область, Азов Город, Пушкина Улица, дом 203</v>
          </cell>
          <cell r="F218">
            <v>1.74</v>
          </cell>
          <cell r="G218" t="str">
            <v>Осн.</v>
          </cell>
          <cell r="H218" t="str">
            <v>Ростовская</v>
          </cell>
          <cell r="I218">
            <v>37</v>
          </cell>
        </row>
        <row r="219">
          <cell r="C219" t="str">
            <v>RO0219</v>
          </cell>
          <cell r="D219" t="str">
            <v>13:собст. железобетонный столб с заглубленным фундаментом</v>
          </cell>
          <cell r="E219" t="str">
            <v>Ростовская Область, Азов Город, Измайлова Улица\58</v>
          </cell>
          <cell r="F219">
            <v>1.78</v>
          </cell>
          <cell r="G219" t="str">
            <v>Осн.</v>
          </cell>
          <cell r="H219" t="str">
            <v>Ростовская</v>
          </cell>
          <cell r="I219">
            <v>39</v>
          </cell>
        </row>
        <row r="220">
          <cell r="C220" t="str">
            <v>RO0220</v>
          </cell>
          <cell r="D220" t="str">
            <v>31:трубостойки на чужой АМС на земле/крыше</v>
          </cell>
          <cell r="E220" t="str">
            <v>Ростовская Область, Азовский Район, Чумбур-Коса Хутор, Морская Улица\2а</v>
          </cell>
          <cell r="F220">
            <v>2.78</v>
          </cell>
          <cell r="G220" t="str">
            <v>Осн.</v>
          </cell>
          <cell r="H220" t="str">
            <v>Ростовская</v>
          </cell>
          <cell r="I220">
            <v>89</v>
          </cell>
        </row>
        <row r="221">
          <cell r="C221" t="str">
            <v>RO0221</v>
          </cell>
          <cell r="D221" t="str">
            <v>13:собст. железобетонный столб с заглубленным фундаментом</v>
          </cell>
          <cell r="E221" t="str">
            <v>Ростовская Область, Азовский Район, Овощной Поселок, Кравченко Улица\1С</v>
          </cell>
          <cell r="F221">
            <v>1.42</v>
          </cell>
          <cell r="G221" t="str">
            <v>Осн.</v>
          </cell>
          <cell r="H221" t="str">
            <v>Ростовская</v>
          </cell>
          <cell r="I221">
            <v>21</v>
          </cell>
        </row>
        <row r="222">
          <cell r="C222" t="str">
            <v>RO0222</v>
          </cell>
          <cell r="D222" t="str">
            <v>31:трубостойки на чужой АМС на земле/крыше</v>
          </cell>
          <cell r="E222" t="str">
            <v>Ростовская Область, Азовский Район, Семибалки Село, Спортивный Переулок\9Б</v>
          </cell>
          <cell r="F222">
            <v>2.54</v>
          </cell>
          <cell r="G222" t="str">
            <v>Осн.</v>
          </cell>
          <cell r="H222" t="str">
            <v>Ростовская</v>
          </cell>
          <cell r="I222">
            <v>77</v>
          </cell>
        </row>
        <row r="223">
          <cell r="C223" t="str">
            <v>RO0223</v>
          </cell>
          <cell r="D223" t="str">
            <v>21:собст. АМС до 10 м на крыше</v>
          </cell>
          <cell r="E223" t="str">
            <v>Ростовская Область, Азов Город, Петровская Площадь\3</v>
          </cell>
          <cell r="F223">
            <v>1.78</v>
          </cell>
          <cell r="G223" t="str">
            <v>Осн.</v>
          </cell>
          <cell r="H223" t="str">
            <v>Ростовская</v>
          </cell>
          <cell r="I223">
            <v>39</v>
          </cell>
        </row>
        <row r="224">
          <cell r="C224" t="str">
            <v>RO0224</v>
          </cell>
          <cell r="D224" t="str">
            <v>13:собст. железобетонный столб с заглубленным фундаментом</v>
          </cell>
          <cell r="E224" t="str">
            <v>Ростовская Область, Азов Город, Промышленная Улица\2</v>
          </cell>
          <cell r="F224">
            <v>1.8</v>
          </cell>
          <cell r="G224" t="str">
            <v>Осн.</v>
          </cell>
          <cell r="H224" t="str">
            <v>Ростовская</v>
          </cell>
          <cell r="I224">
            <v>40</v>
          </cell>
        </row>
        <row r="225">
          <cell r="C225" t="str">
            <v>RO0225</v>
          </cell>
          <cell r="D225" t="str">
            <v>13:собст. железобетонный столб с заглубленным фундаментом</v>
          </cell>
          <cell r="E225" t="str">
            <v>Ростовская Область, Азов Город, Радужный Переулок\20</v>
          </cell>
          <cell r="F225">
            <v>1.76</v>
          </cell>
          <cell r="G225" t="str">
            <v>Осн.</v>
          </cell>
          <cell r="H225" t="str">
            <v>Ростовская</v>
          </cell>
          <cell r="I225">
            <v>38</v>
          </cell>
        </row>
        <row r="226">
          <cell r="C226" t="str">
            <v>RO0226</v>
          </cell>
          <cell r="D226" t="str">
            <v>32:трубостойки/АМС на: трубе, элеваторе, водонап.башне</v>
          </cell>
          <cell r="E226" t="str">
            <v>Ростовская Область, Азов Город, Социалистический Переулок, дом 61</v>
          </cell>
          <cell r="F226">
            <v>1.78</v>
          </cell>
          <cell r="G226" t="str">
            <v>Осн.</v>
          </cell>
          <cell r="H226" t="str">
            <v>Ростовская</v>
          </cell>
          <cell r="I226">
            <v>39</v>
          </cell>
        </row>
        <row r="227">
          <cell r="C227" t="str">
            <v>RO0227</v>
          </cell>
          <cell r="D227" t="str">
            <v>31:трубостойки на чужой АМС на земле/крыше</v>
          </cell>
          <cell r="E227" t="str">
            <v>Ростовская Область, Азов Город, Кирова Улица\133</v>
          </cell>
          <cell r="F227">
            <v>1.82</v>
          </cell>
          <cell r="G227" t="str">
            <v>Осн.</v>
          </cell>
          <cell r="H227" t="str">
            <v>Ростовская</v>
          </cell>
          <cell r="I227">
            <v>41</v>
          </cell>
        </row>
        <row r="228">
          <cell r="C228" t="str">
            <v>RO0228</v>
          </cell>
          <cell r="D228" t="str">
            <v>15:собст. башня с заглубленным фундаментом до 61м</v>
          </cell>
          <cell r="E228" t="str">
            <v>Ростовская Область, Азов Город, Кагальницкое Шоссе\28Б</v>
          </cell>
          <cell r="F228">
            <v>1.84</v>
          </cell>
          <cell r="G228" t="str">
            <v>Осн.</v>
          </cell>
          <cell r="H228" t="str">
            <v>Ростовская</v>
          </cell>
          <cell r="I228">
            <v>42</v>
          </cell>
        </row>
        <row r="229">
          <cell r="C229" t="str">
            <v>RO0229</v>
          </cell>
          <cell r="D229" t="str">
            <v>13:собст. железобетонный столб с заглубленным фундаментом</v>
          </cell>
          <cell r="E229" t="str">
            <v>Ростовская Область, Азов Город, Мелиораторов Улица\9</v>
          </cell>
          <cell r="F229">
            <v>1.92</v>
          </cell>
          <cell r="G229" t="str">
            <v>Осн.</v>
          </cell>
          <cell r="H229" t="str">
            <v>Ростовская</v>
          </cell>
          <cell r="I229">
            <v>46</v>
          </cell>
        </row>
        <row r="230">
          <cell r="C230" t="str">
            <v>RO0230</v>
          </cell>
          <cell r="D230" t="str">
            <v>32:трубостойки/АМС на: трубе, элеваторе, водонап.башне</v>
          </cell>
          <cell r="E230" t="str">
            <v>Ростовская Область, Аксайский Район, Аксай Город, Набережная Улица, дом 199</v>
          </cell>
          <cell r="F230">
            <v>1.36</v>
          </cell>
          <cell r="G230" t="str">
            <v>Осн.</v>
          </cell>
          <cell r="H230" t="str">
            <v>Ростовская</v>
          </cell>
          <cell r="I230">
            <v>18</v>
          </cell>
        </row>
        <row r="231">
          <cell r="C231" t="str">
            <v>RO0232</v>
          </cell>
          <cell r="D231" t="str">
            <v>13:собст. железобетонный столб с заглубленным фундаментом</v>
          </cell>
          <cell r="E231" t="str">
            <v>Ростовская Область, Аксайский Район, Аксай Город, Чапаева Улица, дом 175</v>
          </cell>
          <cell r="F231">
            <v>1.3</v>
          </cell>
          <cell r="G231" t="str">
            <v>Осн.</v>
          </cell>
          <cell r="H231" t="str">
            <v>Ростовская</v>
          </cell>
          <cell r="I231">
            <v>15</v>
          </cell>
        </row>
        <row r="232">
          <cell r="C232" t="str">
            <v>RO0233</v>
          </cell>
          <cell r="D232" t="str">
            <v>33:трубостойки, АМС инфраструктурного оператора</v>
          </cell>
          <cell r="E232" t="str">
            <v>Ростовская Область, Аксайский Район, Опытный Поселок</v>
          </cell>
          <cell r="F232">
            <v>1.5</v>
          </cell>
          <cell r="G232" t="str">
            <v>Осн.</v>
          </cell>
          <cell r="H232" t="str">
            <v>Ростовская</v>
          </cell>
          <cell r="I232">
            <v>25</v>
          </cell>
        </row>
        <row r="233">
          <cell r="C233" t="str">
            <v>RO0234</v>
          </cell>
          <cell r="D233" t="str">
            <v>31:трубостойки на чужой АМС на земле/крыше</v>
          </cell>
          <cell r="E233" t="str">
            <v>Ростовская Область, Азовский Район, Круглое Село, Мира Улица, дом 81\а</v>
          </cell>
          <cell r="F233">
            <v>2.3199999999999998</v>
          </cell>
          <cell r="G233" t="str">
            <v>Осн.</v>
          </cell>
          <cell r="H233" t="str">
            <v>Ростовская</v>
          </cell>
          <cell r="I233">
            <v>66</v>
          </cell>
        </row>
        <row r="234">
          <cell r="C234" t="str">
            <v>RO0235</v>
          </cell>
          <cell r="D234" t="str">
            <v>31:трубостойки на чужой АМС на земле/крыше</v>
          </cell>
          <cell r="E234" t="str">
            <v>Ростовская Область, Азовский Район, Новоалександровка Хутор, Чапаева Переулок, дом 2\а</v>
          </cell>
          <cell r="F234">
            <v>1.7</v>
          </cell>
          <cell r="G234" t="str">
            <v>Осн.</v>
          </cell>
          <cell r="H234" t="str">
            <v>Ростовская</v>
          </cell>
          <cell r="I234">
            <v>35</v>
          </cell>
        </row>
        <row r="235">
          <cell r="C235" t="str">
            <v>RO0236</v>
          </cell>
          <cell r="D235" t="str">
            <v>31:трубостойки на чужой АМС на земле/крыше</v>
          </cell>
          <cell r="E235" t="str">
            <v>Ростовская Область, Азовский Район, Елизаветовка Село\башня ПАО "ВымпелКом"</v>
          </cell>
          <cell r="F235">
            <v>3.3</v>
          </cell>
          <cell r="G235" t="str">
            <v>Осн.</v>
          </cell>
          <cell r="H235" t="str">
            <v>Ростовская</v>
          </cell>
          <cell r="I235">
            <v>115</v>
          </cell>
        </row>
        <row r="236">
          <cell r="C236" t="str">
            <v>RO0237</v>
          </cell>
          <cell r="D236" t="str">
            <v>31:трубостойки на чужой АМС на земле/крыше</v>
          </cell>
          <cell r="E236" t="str">
            <v>Ростовская Область, Азовский Район, Новомирский Поселок, Московская Улица, дом 15\Б</v>
          </cell>
          <cell r="F236">
            <v>2.56</v>
          </cell>
          <cell r="G236" t="str">
            <v>Осн.</v>
          </cell>
          <cell r="H236" t="str">
            <v>Ростовская</v>
          </cell>
          <cell r="I236">
            <v>78</v>
          </cell>
        </row>
        <row r="237">
          <cell r="C237" t="str">
            <v>RO0238</v>
          </cell>
          <cell r="D237" t="str">
            <v>31:трубостойки на чужой АМС на земле/крыше</v>
          </cell>
          <cell r="E237" t="str">
            <v>Ростовская Область, Азовский Район, Новополтавский Поселок\Строителей пер. 1Б</v>
          </cell>
          <cell r="F237">
            <v>2.66</v>
          </cell>
          <cell r="G237" t="str">
            <v>Осн.</v>
          </cell>
          <cell r="H237" t="str">
            <v>Ростовская</v>
          </cell>
          <cell r="I237">
            <v>83</v>
          </cell>
        </row>
        <row r="238">
          <cell r="C238" t="str">
            <v>RO0239</v>
          </cell>
          <cell r="D238" t="str">
            <v>13:собст. железобетонный столб с заглубленным фундаментом</v>
          </cell>
          <cell r="E238" t="str">
            <v>Ростовская Область, Аксайский Район\с/т "Донское", участки № 776, 777</v>
          </cell>
          <cell r="F238">
            <v>1.36</v>
          </cell>
          <cell r="G238" t="str">
            <v>Осн.</v>
          </cell>
          <cell r="H238" t="str">
            <v>Ростовская</v>
          </cell>
          <cell r="I238">
            <v>18</v>
          </cell>
        </row>
        <row r="239">
          <cell r="C239" t="str">
            <v>RO0240</v>
          </cell>
          <cell r="D239" t="str">
            <v>13:собст. железобетонный столб с заглубленным фундаментом</v>
          </cell>
          <cell r="E239" t="str">
            <v>Ростовская Область, Аксайский Район, Водопадный Поселок, Ясная Поляна Улица\1А</v>
          </cell>
          <cell r="F239">
            <v>1.26</v>
          </cell>
          <cell r="G239" t="str">
            <v>Осн.</v>
          </cell>
          <cell r="H239" t="str">
            <v>Ростовская</v>
          </cell>
          <cell r="I239">
            <v>13</v>
          </cell>
        </row>
        <row r="240">
          <cell r="C240" t="str">
            <v>RO0241</v>
          </cell>
          <cell r="D240" t="str">
            <v>31:трубостойки на чужой АМС на земле/крыше</v>
          </cell>
          <cell r="E240" t="str">
            <v>Ростовская Область, Азовский Район, Орловка Село, Победы Улица\19А</v>
          </cell>
          <cell r="F240">
            <v>2.74</v>
          </cell>
          <cell r="G240" t="str">
            <v>Осн.</v>
          </cell>
          <cell r="H240" t="str">
            <v>Ростовская</v>
          </cell>
          <cell r="I240">
            <v>87</v>
          </cell>
        </row>
        <row r="241">
          <cell r="C241" t="str">
            <v>RO0242</v>
          </cell>
          <cell r="D241" t="str">
            <v>15:собст. башня с заглубленным фундаментом до 61м</v>
          </cell>
          <cell r="E241" t="str">
            <v>Ростовская Область, Азовский Район, Отрадовка Село, Строительная Улица\25</v>
          </cell>
          <cell r="F241">
            <v>3.2</v>
          </cell>
          <cell r="G241" t="str">
            <v>Осн.</v>
          </cell>
          <cell r="H241" t="str">
            <v>Ростовская</v>
          </cell>
          <cell r="I241">
            <v>110</v>
          </cell>
        </row>
        <row r="242">
          <cell r="C242" t="str">
            <v>RO0243</v>
          </cell>
          <cell r="D242" t="str">
            <v>13:собст. железобетонный столб с заглубленным фундаментом</v>
          </cell>
          <cell r="E242" t="str">
            <v>Ростовская Область, Азов Город, Дружбы Улица\13 "О"</v>
          </cell>
          <cell r="F242">
            <v>1.84</v>
          </cell>
          <cell r="G242" t="str">
            <v>Осн.</v>
          </cell>
          <cell r="H242" t="str">
            <v>Ростовская</v>
          </cell>
          <cell r="I242">
            <v>42</v>
          </cell>
        </row>
        <row r="243">
          <cell r="C243" t="str">
            <v>RO0244</v>
          </cell>
          <cell r="D243" t="str">
            <v>31:трубостойки на чужой АМС на земле/крыше</v>
          </cell>
          <cell r="E243" t="str">
            <v>Ростовская Область, Азовский Район\ДНТ "Искра", улица Железнодорожная 4</v>
          </cell>
          <cell r="F243">
            <v>1.78</v>
          </cell>
          <cell r="G243" t="str">
            <v>Осн.</v>
          </cell>
          <cell r="H243" t="str">
            <v>Ростовская</v>
          </cell>
          <cell r="I243">
            <v>39</v>
          </cell>
        </row>
        <row r="244">
          <cell r="C244" t="str">
            <v>RO0246</v>
          </cell>
          <cell r="D244" t="str">
            <v>31:трубостойки на чужой АМС на земле/крыше</v>
          </cell>
          <cell r="E244" t="str">
            <v>Ростовская Область, Азовский Район, Колузаево Хутор\160 м на запад от д.84 по улице Ленина</v>
          </cell>
          <cell r="F244">
            <v>1.48</v>
          </cell>
          <cell r="G244" t="str">
            <v>Осн.</v>
          </cell>
          <cell r="H244" t="str">
            <v>Ростовская</v>
          </cell>
          <cell r="I244">
            <v>24</v>
          </cell>
        </row>
        <row r="245">
          <cell r="C245" t="str">
            <v>RO0247</v>
          </cell>
          <cell r="D245" t="str">
            <v>33:трубостойки, АМС инфраструктурного оператора</v>
          </cell>
          <cell r="E245" t="str">
            <v>Ростовская Область, Азовский Район, Самарское Село, Веселая Улица, дом 94</v>
          </cell>
          <cell r="F245">
            <v>1.8</v>
          </cell>
          <cell r="G245" t="str">
            <v>Осн.</v>
          </cell>
          <cell r="H245" t="str">
            <v>Ростовская</v>
          </cell>
          <cell r="I245">
            <v>40</v>
          </cell>
        </row>
        <row r="246">
          <cell r="C246" t="str">
            <v>RO0248</v>
          </cell>
          <cell r="D246" t="str">
            <v>21:собст. АМС до 10 м на крыше</v>
          </cell>
          <cell r="E246" t="str">
            <v>Ростовская Область, Ростов-на-Дону Город, Пойменная Улица, дом 1ж</v>
          </cell>
          <cell r="F246">
            <v>1.1000000000000001</v>
          </cell>
          <cell r="G246" t="str">
            <v>Осн.</v>
          </cell>
          <cell r="H246" t="str">
            <v>Ростовская</v>
          </cell>
          <cell r="I246">
            <v>5</v>
          </cell>
        </row>
        <row r="247">
          <cell r="C247" t="str">
            <v>RO0250</v>
          </cell>
          <cell r="D247" t="str">
            <v>13:собст. железобетонный столб с заглубленным фундаментом</v>
          </cell>
          <cell r="E247" t="str">
            <v>Ростовская Область, Ростов-на-Дону Город, Космическая Улица, дом 11</v>
          </cell>
          <cell r="F247">
            <v>1.22</v>
          </cell>
          <cell r="G247" t="str">
            <v>Осн.</v>
          </cell>
          <cell r="H247" t="str">
            <v>Ростовская</v>
          </cell>
          <cell r="I247">
            <v>11</v>
          </cell>
        </row>
        <row r="248">
          <cell r="C248" t="str">
            <v>RO0251</v>
          </cell>
          <cell r="D248" t="str">
            <v>13:собст. железобетонный столб с заглубленным фундаментом</v>
          </cell>
          <cell r="E248" t="str">
            <v>Ростовская Область, Ростов-на-Дону Город, Осенняя Улица\29</v>
          </cell>
          <cell r="F248">
            <v>1.18</v>
          </cell>
          <cell r="G248" t="str">
            <v>Осн.</v>
          </cell>
          <cell r="H248" t="str">
            <v>Ростовская</v>
          </cell>
          <cell r="I248">
            <v>9</v>
          </cell>
        </row>
        <row r="249">
          <cell r="C249" t="str">
            <v>RO0252</v>
          </cell>
          <cell r="D249" t="str">
            <v>21:собст. АМС до 10 м на крыше</v>
          </cell>
          <cell r="E249" t="str">
            <v>Ростовская Область, Ростов-на-Дону Город, Добровольского Улица, дом 17</v>
          </cell>
          <cell r="F249">
            <v>1.2</v>
          </cell>
          <cell r="G249" t="str">
            <v>Осн.</v>
          </cell>
          <cell r="H249" t="str">
            <v>Ростовская</v>
          </cell>
          <cell r="I249">
            <v>10</v>
          </cell>
        </row>
        <row r="250">
          <cell r="C250" t="str">
            <v>RO0253</v>
          </cell>
          <cell r="D250" t="str">
            <v>13:собст. железобетонный столб с заглубленным фундаментом</v>
          </cell>
          <cell r="E250" t="str">
            <v>Ростовская Область, Ростов-на-Дону Город, Гнесина Переулок, дом 8</v>
          </cell>
          <cell r="F250">
            <v>1.26</v>
          </cell>
          <cell r="G250" t="str">
            <v>Осн.</v>
          </cell>
          <cell r="H250" t="str">
            <v>Ростовская</v>
          </cell>
          <cell r="I250">
            <v>13</v>
          </cell>
        </row>
        <row r="251">
          <cell r="C251" t="str">
            <v>RO0254</v>
          </cell>
          <cell r="D251" t="str">
            <v>31:трубостойки на чужой АМС на земле/крыше</v>
          </cell>
          <cell r="E251" t="str">
            <v>Ростовская Область, Ростов-на-Дону Город, Содружества Улица, дом 82б</v>
          </cell>
          <cell r="F251">
            <v>1.2</v>
          </cell>
          <cell r="G251" t="str">
            <v>Осн.</v>
          </cell>
          <cell r="H251" t="str">
            <v>Ростовская</v>
          </cell>
          <cell r="I251">
            <v>10</v>
          </cell>
        </row>
        <row r="252">
          <cell r="C252" t="str">
            <v>RO0255</v>
          </cell>
          <cell r="D252" t="str">
            <v>33:трубостойки, АМС инфраструктурного оператора</v>
          </cell>
          <cell r="E252" t="str">
            <v>Ростовская Область, Ростов-на-Дону Город, Самойловская Улица, дом 9</v>
          </cell>
          <cell r="F252">
            <v>1.08</v>
          </cell>
          <cell r="G252" t="str">
            <v>Осн.</v>
          </cell>
          <cell r="H252" t="str">
            <v>Ростовская</v>
          </cell>
          <cell r="I252">
            <v>4</v>
          </cell>
        </row>
        <row r="253">
          <cell r="C253" t="str">
            <v>RO0256</v>
          </cell>
          <cell r="D253" t="str">
            <v>31:трубостойки на чужой АМС на земле/крыше</v>
          </cell>
          <cell r="E253" t="str">
            <v>Ростовская Область, Ростов-на-Дону Город, 20 Линия Улица\4</v>
          </cell>
          <cell r="F253">
            <v>1.08</v>
          </cell>
          <cell r="G253" t="str">
            <v>Осн.</v>
          </cell>
          <cell r="H253" t="str">
            <v>Ростовская</v>
          </cell>
          <cell r="I253">
            <v>4</v>
          </cell>
        </row>
        <row r="254">
          <cell r="C254" t="str">
            <v>RO0257</v>
          </cell>
          <cell r="D254" t="str">
            <v>22:собст. АМС выше 10 м на крыше</v>
          </cell>
          <cell r="E254" t="str">
            <v>Ростовская Область, Ростов-на-Дону Город, Пескова Улица, дом 17</v>
          </cell>
          <cell r="F254">
            <v>1.28</v>
          </cell>
          <cell r="G254" t="str">
            <v>Осн.</v>
          </cell>
          <cell r="H254" t="str">
            <v>Ростовская</v>
          </cell>
          <cell r="I254">
            <v>14</v>
          </cell>
        </row>
        <row r="255">
          <cell r="C255" t="str">
            <v>RO0258</v>
          </cell>
          <cell r="D255" t="str">
            <v>33:трубостойки, АМС инфраструктурного оператора</v>
          </cell>
          <cell r="E255" t="str">
            <v>Ростовская Область, Ростов-на-Дону Город, Краснокурсантская Улица, дом 55/23</v>
          </cell>
          <cell r="F255">
            <v>1.1599999999999999</v>
          </cell>
          <cell r="G255" t="str">
            <v>Осн.</v>
          </cell>
          <cell r="H255" t="str">
            <v>Ростовская</v>
          </cell>
          <cell r="I255">
            <v>8</v>
          </cell>
        </row>
        <row r="256">
          <cell r="C256" t="str">
            <v>RO0259</v>
          </cell>
          <cell r="D256" t="str">
            <v>31:трубостойки на чужой АМС на земле/крыше</v>
          </cell>
          <cell r="E256" t="str">
            <v>Ростовская Область, Аксайский Район, Аксай Город, Чичерина Улица, дом 215А</v>
          </cell>
          <cell r="F256">
            <v>1.4</v>
          </cell>
          <cell r="G256" t="str">
            <v>Осн.</v>
          </cell>
          <cell r="H256" t="str">
            <v>Ростовская</v>
          </cell>
          <cell r="I256">
            <v>20</v>
          </cell>
        </row>
        <row r="257">
          <cell r="C257" t="str">
            <v>RO0260</v>
          </cell>
          <cell r="D257" t="str">
            <v>33:трубостойки, АМС инфраструктурного оператора</v>
          </cell>
          <cell r="E257" t="str">
            <v>Ростовская Область, Ростов-на-Дону Город, Пригородный Переулок\23</v>
          </cell>
          <cell r="F257">
            <v>1.18</v>
          </cell>
          <cell r="G257" t="str">
            <v>Осн.</v>
          </cell>
          <cell r="H257" t="str">
            <v>Ростовская</v>
          </cell>
          <cell r="I257">
            <v>9</v>
          </cell>
        </row>
        <row r="258">
          <cell r="C258" t="str">
            <v>RO0261</v>
          </cell>
          <cell r="D258" t="str">
            <v>31:трубостойки на чужой АМС на земле/крыше</v>
          </cell>
          <cell r="E258" t="str">
            <v>Ростовская Область, Ростов-на-Дону Город, Комбайностроителей Улица, дом 17</v>
          </cell>
          <cell r="F258">
            <v>1.1399999999999999</v>
          </cell>
          <cell r="G258" t="str">
            <v>Осн.</v>
          </cell>
          <cell r="H258" t="str">
            <v>Ростовская</v>
          </cell>
          <cell r="I258">
            <v>7</v>
          </cell>
        </row>
        <row r="259">
          <cell r="C259" t="str">
            <v>RO0262</v>
          </cell>
          <cell r="D259" t="str">
            <v>13:собст. железобетонный столб с заглубленным фундаментом</v>
          </cell>
          <cell r="E259" t="str">
            <v>Ростовская Область, Ростов-на-Дону Город, Миронова Улица, дом 12\/9</v>
          </cell>
          <cell r="F259">
            <v>1.22</v>
          </cell>
          <cell r="G259" t="str">
            <v>Осн.</v>
          </cell>
          <cell r="H259" t="str">
            <v>Ростовская</v>
          </cell>
          <cell r="I259">
            <v>11</v>
          </cell>
        </row>
        <row r="260">
          <cell r="C260" t="str">
            <v>RO0263</v>
          </cell>
          <cell r="D260" t="str">
            <v>31:трубостойки на чужой АМС на земле/крыше</v>
          </cell>
          <cell r="E260" t="str">
            <v>Ростовская Область, Ростов-на-Дону Город, Гикало Улица, дом 20</v>
          </cell>
          <cell r="F260">
            <v>1.1399999999999999</v>
          </cell>
          <cell r="G260" t="str">
            <v>Осн.</v>
          </cell>
          <cell r="H260" t="str">
            <v>Ростовская</v>
          </cell>
          <cell r="I260">
            <v>7</v>
          </cell>
        </row>
        <row r="261">
          <cell r="C261" t="str">
            <v>RO0264</v>
          </cell>
          <cell r="D261" t="str">
            <v>13:собст. железобетонный столб с заглубленным фундаментом</v>
          </cell>
          <cell r="E261" t="str">
            <v>Ростовская Область, Ростов-на-Дону Город, Оганова Улица\33</v>
          </cell>
          <cell r="F261">
            <v>1.2</v>
          </cell>
          <cell r="G261" t="str">
            <v>Осн.</v>
          </cell>
          <cell r="H261" t="str">
            <v>Ростовская</v>
          </cell>
          <cell r="I261">
            <v>10</v>
          </cell>
        </row>
        <row r="262">
          <cell r="C262" t="str">
            <v>RO0265</v>
          </cell>
          <cell r="D262" t="str">
            <v>21:собст. АМС до 10 м на крыше</v>
          </cell>
          <cell r="E262" t="str">
            <v>Ростовская Область, Ростов-на-Дону Город, Зорге Улица, дом 33/3</v>
          </cell>
          <cell r="F262">
            <v>1.2</v>
          </cell>
          <cell r="G262" t="str">
            <v>Осн.</v>
          </cell>
          <cell r="H262" t="str">
            <v>Ростовская</v>
          </cell>
          <cell r="I262">
            <v>10</v>
          </cell>
        </row>
        <row r="263">
          <cell r="C263" t="str">
            <v>RO0266</v>
          </cell>
          <cell r="D263" t="str">
            <v>21:собст. АМС до 10 м на крыше</v>
          </cell>
          <cell r="E263" t="str">
            <v>Ростовская Область, Ростов-на-Дону Город, Королева Проспект, дом 13а</v>
          </cell>
          <cell r="F263">
            <v>1.18</v>
          </cell>
          <cell r="G263" t="str">
            <v>Осн.</v>
          </cell>
          <cell r="H263" t="str">
            <v>Ростовская</v>
          </cell>
          <cell r="I263">
            <v>9</v>
          </cell>
        </row>
        <row r="264">
          <cell r="C264" t="str">
            <v>RO0267</v>
          </cell>
          <cell r="D264" t="str">
            <v>31:трубостойки на чужой АМС на земле/крыше</v>
          </cell>
          <cell r="E264" t="str">
            <v>Ростовская Область, Ростов-на-Дону Город, Шолохова Проспект\в районе д115/1</v>
          </cell>
          <cell r="F264">
            <v>1.08</v>
          </cell>
          <cell r="G264" t="str">
            <v>Осн.</v>
          </cell>
          <cell r="H264" t="str">
            <v>Ростовская</v>
          </cell>
          <cell r="I264">
            <v>4</v>
          </cell>
        </row>
        <row r="265">
          <cell r="C265" t="str">
            <v>RO0268</v>
          </cell>
          <cell r="D265" t="str">
            <v>33:трубостойки, АМС инфраструктурного оператора</v>
          </cell>
          <cell r="E265" t="str">
            <v>Ростовская Область, Ростов-на-Дону Город, Судостроительная Улица\31</v>
          </cell>
          <cell r="F265">
            <v>1.28</v>
          </cell>
          <cell r="G265" t="str">
            <v>Осн.</v>
          </cell>
          <cell r="H265" t="str">
            <v>Ростовская</v>
          </cell>
          <cell r="I265">
            <v>14</v>
          </cell>
        </row>
        <row r="266">
          <cell r="C266" t="str">
            <v>RO0269</v>
          </cell>
          <cell r="D266" t="str">
            <v>22:собст. АМС выше 10 м на крыше</v>
          </cell>
          <cell r="E266" t="str">
            <v>Ростовская Область, Ростов-на-Дону Город, Рабочая Площадь, дом 23</v>
          </cell>
          <cell r="F266">
            <v>1.18</v>
          </cell>
          <cell r="G266" t="str">
            <v>Осн.</v>
          </cell>
          <cell r="H266" t="str">
            <v>Ростовская</v>
          </cell>
          <cell r="I266">
            <v>9</v>
          </cell>
        </row>
        <row r="267">
          <cell r="C267" t="str">
            <v>RO0270</v>
          </cell>
          <cell r="D267" t="str">
            <v>21:собст. АМС до 10 м на крыше</v>
          </cell>
          <cell r="E267" t="str">
            <v>Ростовская Область, Ростов-на-Дону Город, Малиновского Улица, дом 25</v>
          </cell>
          <cell r="F267">
            <v>1.24</v>
          </cell>
          <cell r="G267" t="str">
            <v>Осн.</v>
          </cell>
          <cell r="H267" t="str">
            <v>Ростовская</v>
          </cell>
          <cell r="I267">
            <v>12</v>
          </cell>
        </row>
        <row r="268">
          <cell r="C268" t="str">
            <v>RO0271</v>
          </cell>
          <cell r="D268" t="str">
            <v>31:трубостойки на чужой АМС на земле/крыше</v>
          </cell>
          <cell r="E268" t="str">
            <v>Ростовская Область, Аксайский Район\Большелогское сельское поселение, с/т Дружба, участок № 61</v>
          </cell>
          <cell r="F268">
            <v>1.2</v>
          </cell>
          <cell r="G268" t="str">
            <v>Осн.</v>
          </cell>
          <cell r="H268" t="str">
            <v>Ростовская</v>
          </cell>
          <cell r="I268">
            <v>10</v>
          </cell>
        </row>
        <row r="269">
          <cell r="C269" t="str">
            <v>RO0272</v>
          </cell>
          <cell r="D269" t="str">
            <v>13:собст. железобетонный столб с заглубленным фундаментом</v>
          </cell>
          <cell r="E269" t="str">
            <v>Ростовская Область, Ростов-на-Дону Город, Амиряна Улица, дом 3а</v>
          </cell>
          <cell r="F269">
            <v>1.18</v>
          </cell>
          <cell r="G269" t="str">
            <v>Осн.</v>
          </cell>
          <cell r="H269" t="str">
            <v>Ростовская</v>
          </cell>
          <cell r="I269">
            <v>9</v>
          </cell>
        </row>
        <row r="270">
          <cell r="C270" t="str">
            <v>RO0273</v>
          </cell>
          <cell r="D270" t="str">
            <v>33:трубостойки, АМС инфраструктурного оператора</v>
          </cell>
          <cell r="E270" t="str">
            <v>Ростовская Область, Ростов-на-Дону Город, Нансена Улица, дом 98д</v>
          </cell>
          <cell r="F270">
            <v>1.32</v>
          </cell>
          <cell r="G270" t="str">
            <v>Осн.</v>
          </cell>
          <cell r="H270" t="str">
            <v>Ростовская</v>
          </cell>
          <cell r="I270">
            <v>16</v>
          </cell>
        </row>
        <row r="271">
          <cell r="C271" t="str">
            <v>RO0274</v>
          </cell>
          <cell r="D271" t="str">
            <v>13:собст. железобетонный столб с заглубленным фундаментом</v>
          </cell>
          <cell r="E271" t="str">
            <v>Ростовская Область, Ростов-на-Дону Город, Погодина Улица, дом 20/3</v>
          </cell>
          <cell r="F271">
            <v>1.1200000000000001</v>
          </cell>
          <cell r="G271" t="str">
            <v>Осн.</v>
          </cell>
          <cell r="H271" t="str">
            <v>Ростовская</v>
          </cell>
          <cell r="I271">
            <v>6</v>
          </cell>
        </row>
        <row r="272">
          <cell r="C272" t="str">
            <v>RO0275</v>
          </cell>
          <cell r="D272" t="str">
            <v>22:собст. АМС выше 10 м на крыше</v>
          </cell>
          <cell r="E272" t="str">
            <v>Ростовская Область, Ростов-на-Дону Город\Г. Ростов на Дону, Первомайский район, ДНТ РСМ-Товарищ, дом №8-5</v>
          </cell>
          <cell r="F272">
            <v>1.22</v>
          </cell>
          <cell r="G272" t="str">
            <v>Осн.</v>
          </cell>
          <cell r="H272" t="str">
            <v>Ростовская</v>
          </cell>
          <cell r="I272">
            <v>11</v>
          </cell>
        </row>
        <row r="273">
          <cell r="C273" t="str">
            <v>RO0279</v>
          </cell>
          <cell r="D273" t="str">
            <v>15:собст. башня с заглубленным фундаментом до 61м</v>
          </cell>
          <cell r="E273" t="str">
            <v>Ростовская Область, Мясниковский Район, Калинин Хутор, Донская Улица, дом 14\а</v>
          </cell>
          <cell r="F273">
            <v>2.1</v>
          </cell>
          <cell r="G273" t="str">
            <v>Осн.</v>
          </cell>
          <cell r="H273" t="str">
            <v>Ростовская</v>
          </cell>
          <cell r="I273">
            <v>23</v>
          </cell>
        </row>
        <row r="274">
          <cell r="C274" t="str">
            <v>RO0280</v>
          </cell>
          <cell r="D274" t="str">
            <v>13:собст. железобетонный столб с заглубленным фундаментом</v>
          </cell>
          <cell r="E274" t="str">
            <v>Ростовская Область, Батайск Город, Восточное Шоссе\6</v>
          </cell>
          <cell r="F274">
            <v>1.26</v>
          </cell>
          <cell r="G274" t="str">
            <v>Осн.</v>
          </cell>
          <cell r="H274" t="str">
            <v>Ростовская</v>
          </cell>
          <cell r="I274">
            <v>13</v>
          </cell>
        </row>
        <row r="275">
          <cell r="C275" t="str">
            <v>RO0281</v>
          </cell>
          <cell r="D275" t="str">
            <v>31:трубостойки на чужой АМС на земле/крыше</v>
          </cell>
          <cell r="E275" t="str">
            <v>Ростовская Область, Азовский Район, Топольки Поселок</v>
          </cell>
          <cell r="F275">
            <v>1.86</v>
          </cell>
          <cell r="G275" t="str">
            <v>Осн.</v>
          </cell>
          <cell r="H275" t="str">
            <v>Ростовская</v>
          </cell>
          <cell r="I275">
            <v>43</v>
          </cell>
        </row>
        <row r="276">
          <cell r="C276" t="str">
            <v>RO0283</v>
          </cell>
          <cell r="D276" t="str">
            <v>32:трубостойки/АМС на: трубе, элеваторе, водонап.башне</v>
          </cell>
          <cell r="E276" t="str">
            <v>Ростовская Область, Батайск Город, Пушкина Улица\1Б</v>
          </cell>
          <cell r="F276">
            <v>1.26</v>
          </cell>
          <cell r="G276" t="str">
            <v>Осн.</v>
          </cell>
          <cell r="H276" t="str">
            <v>Ростовская</v>
          </cell>
          <cell r="I276">
            <v>13</v>
          </cell>
        </row>
        <row r="277">
          <cell r="C277" t="str">
            <v>RO0284</v>
          </cell>
          <cell r="D277" t="str">
            <v>13:собст. железобетонный столб с заглубленным фундаментом</v>
          </cell>
          <cell r="E277" t="str">
            <v>Ростовская Область, Аксайский Район, Ленина Хутор, Онучкина Улица, дом 72</v>
          </cell>
          <cell r="F277">
            <v>1.64</v>
          </cell>
          <cell r="G277" t="str">
            <v>Осн.</v>
          </cell>
          <cell r="H277" t="str">
            <v>Ростовская</v>
          </cell>
          <cell r="I277">
            <v>32</v>
          </cell>
        </row>
        <row r="278">
          <cell r="C278" t="str">
            <v>RO0285</v>
          </cell>
          <cell r="D278" t="str">
            <v>31:трубостойки на чужой АМС на земле/крыше</v>
          </cell>
          <cell r="E278" t="str">
            <v>Ростовская Область, Аксайский Район, Дорожный Поселок</v>
          </cell>
          <cell r="F278">
            <v>1.54</v>
          </cell>
          <cell r="G278" t="str">
            <v>Осн.</v>
          </cell>
          <cell r="H278" t="str">
            <v>Ростовская</v>
          </cell>
          <cell r="I278">
            <v>27</v>
          </cell>
        </row>
        <row r="279">
          <cell r="C279" t="str">
            <v>RO0287</v>
          </cell>
          <cell r="D279" t="str">
            <v>21:собст. АМС до 10 м на крыше</v>
          </cell>
          <cell r="E279" t="str">
            <v>Ростовская Область, Ростов-на-Дону Город, Орбитальная Улица\21</v>
          </cell>
          <cell r="F279">
            <v>1.24</v>
          </cell>
          <cell r="G279" t="str">
            <v>Осн.</v>
          </cell>
          <cell r="H279" t="str">
            <v>Ростовская</v>
          </cell>
          <cell r="I279">
            <v>12</v>
          </cell>
        </row>
        <row r="280">
          <cell r="C280" t="str">
            <v>RO0288</v>
          </cell>
          <cell r="D280" t="str">
            <v>13:собст. железобетонный столб с заглубленным фундаментом</v>
          </cell>
          <cell r="E280" t="str">
            <v>Ростовская Область, Батайск Город, Комсомольская Улица, дом 72</v>
          </cell>
          <cell r="F280">
            <v>1.3</v>
          </cell>
          <cell r="G280" t="str">
            <v>Осн.</v>
          </cell>
          <cell r="H280" t="str">
            <v>Ростовская</v>
          </cell>
          <cell r="I280">
            <v>15</v>
          </cell>
        </row>
        <row r="281">
          <cell r="C281" t="str">
            <v>RO0289</v>
          </cell>
          <cell r="D281" t="str">
            <v>31:трубостойки на чужой АМС на земле/крыше</v>
          </cell>
          <cell r="E281" t="str">
            <v>Ростовская Область, Батайск Город, Крупской Улица\5</v>
          </cell>
          <cell r="F281">
            <v>1.3</v>
          </cell>
          <cell r="G281" t="str">
            <v>Осн.</v>
          </cell>
          <cell r="H281" t="str">
            <v>Ростовская</v>
          </cell>
          <cell r="I281">
            <v>15</v>
          </cell>
        </row>
        <row r="282">
          <cell r="C282" t="str">
            <v>RO0290</v>
          </cell>
          <cell r="D282" t="str">
            <v>13:собст. железобетонный столб с заглубленным фундаментом</v>
          </cell>
          <cell r="E282" t="str">
            <v>Ростовская Область, Батайск Город, Краснодарская Улица\1А</v>
          </cell>
          <cell r="F282">
            <v>1.44</v>
          </cell>
          <cell r="G282" t="str">
            <v>Осн.</v>
          </cell>
          <cell r="H282" t="str">
            <v>Ростовская</v>
          </cell>
          <cell r="I282">
            <v>22</v>
          </cell>
        </row>
        <row r="283">
          <cell r="C283" t="str">
            <v>RO0291</v>
          </cell>
          <cell r="D283" t="str">
            <v>15:собст. башня с заглубленным фундаментом до 61м</v>
          </cell>
          <cell r="E283" t="str">
            <v>Ростовская Область, Азовский Район, Еремеевка Хутор, Степная Улица, дом 62\д</v>
          </cell>
          <cell r="F283">
            <v>2.04</v>
          </cell>
          <cell r="G283" t="str">
            <v>Осн.</v>
          </cell>
          <cell r="H283" t="str">
            <v>Ростовская</v>
          </cell>
          <cell r="I283">
            <v>52</v>
          </cell>
        </row>
        <row r="284">
          <cell r="C284" t="str">
            <v>RO0292</v>
          </cell>
          <cell r="D284" t="str">
            <v>13:собст. железобетонный столб с заглубленным фундаментом</v>
          </cell>
          <cell r="E284" t="str">
            <v>Ростовская Область, Аксайский Район, Красный Поселок\в районе животноводческого комплекса</v>
          </cell>
          <cell r="F284">
            <v>1.66</v>
          </cell>
          <cell r="G284" t="str">
            <v>Осн.</v>
          </cell>
          <cell r="H284" t="str">
            <v>Ростовская</v>
          </cell>
          <cell r="I284">
            <v>33</v>
          </cell>
        </row>
        <row r="285">
          <cell r="C285" t="str">
            <v>RO0293</v>
          </cell>
          <cell r="D285" t="str">
            <v>21:собст. АМС до 10 м на крыше</v>
          </cell>
          <cell r="E285" t="str">
            <v>Ростовская Область, Азов Город, Мира Улица, дом 49</v>
          </cell>
          <cell r="F285">
            <v>1.76</v>
          </cell>
          <cell r="G285" t="str">
            <v>Осн.</v>
          </cell>
          <cell r="H285" t="str">
            <v>Ростовская</v>
          </cell>
          <cell r="I285">
            <v>38</v>
          </cell>
        </row>
        <row r="286">
          <cell r="C286" t="str">
            <v>RO0294</v>
          </cell>
          <cell r="D286" t="str">
            <v>21:собст. АМС до 10 м на крыше</v>
          </cell>
          <cell r="E286" t="str">
            <v>Ростовская Область, Ростов-на-Дону Город, Пацаева Улица, дом 9</v>
          </cell>
          <cell r="F286">
            <v>1.2</v>
          </cell>
          <cell r="G286" t="str">
            <v>Осн.</v>
          </cell>
          <cell r="H286" t="str">
            <v>Ростовская</v>
          </cell>
          <cell r="I286">
            <v>10</v>
          </cell>
        </row>
        <row r="287">
          <cell r="C287" t="str">
            <v>RO0295</v>
          </cell>
          <cell r="D287" t="str">
            <v>54:пикосота</v>
          </cell>
          <cell r="E287" t="str">
            <v>Ростовская Область, Ростов-на-Дону Город, Машиностроительный Переулок, дом 7/110</v>
          </cell>
          <cell r="F287">
            <v>1.2</v>
          </cell>
          <cell r="G287" t="str">
            <v>Осн.</v>
          </cell>
          <cell r="H287" t="str">
            <v>Ростовская</v>
          </cell>
          <cell r="I287">
            <v>10</v>
          </cell>
        </row>
        <row r="288">
          <cell r="C288" t="str">
            <v>RO0297</v>
          </cell>
          <cell r="D288" t="str">
            <v>13:собст. железобетонный столб с заглубленным фундаментом</v>
          </cell>
          <cell r="E288" t="str">
            <v>Ростовская Область, Аксайский Район, Аксай Город\СТ Надежда-Ива ул. В.Гетманова, 35</v>
          </cell>
          <cell r="F288">
            <v>1.74</v>
          </cell>
          <cell r="G288" t="str">
            <v>Осн.</v>
          </cell>
          <cell r="H288" t="str">
            <v>Ростовская</v>
          </cell>
          <cell r="I288">
            <v>37</v>
          </cell>
        </row>
        <row r="289">
          <cell r="C289" t="str">
            <v>RO0298</v>
          </cell>
          <cell r="D289" t="str">
            <v>31:трубостойки на чужой АМС на земле/крыше</v>
          </cell>
          <cell r="E289" t="str">
            <v>Ростовская Область, Батайск Город, Ленина Улица, дом 4</v>
          </cell>
          <cell r="F289">
            <v>1.26</v>
          </cell>
          <cell r="G289" t="str">
            <v>Осн.</v>
          </cell>
          <cell r="H289" t="str">
            <v>Ростовская</v>
          </cell>
          <cell r="I289">
            <v>13</v>
          </cell>
        </row>
        <row r="290">
          <cell r="C290" t="str">
            <v>RO0299</v>
          </cell>
          <cell r="D290" t="str">
            <v>31:трубостойки на чужой АМС на земле/крыше</v>
          </cell>
          <cell r="E290" t="str">
            <v>Ростовская Область, Веселовский Район, Веселый Поселок, Комсомольский Переулок\2-б, АМС ФГУП "РТРС"</v>
          </cell>
          <cell r="F290">
            <v>3.1</v>
          </cell>
          <cell r="G290" t="str">
            <v>Осн.</v>
          </cell>
          <cell r="H290" t="str">
            <v>Ростовская</v>
          </cell>
          <cell r="I290">
            <v>105</v>
          </cell>
        </row>
        <row r="291">
          <cell r="C291" t="str">
            <v>RO0300</v>
          </cell>
          <cell r="D291" t="str">
            <v>52:индорсайт</v>
          </cell>
          <cell r="E291" t="str">
            <v>Ростовская Область, Аксайский Район, Грушевская Станица\Indoor Аэропорт "Платов"</v>
          </cell>
          <cell r="F291">
            <v>1.9</v>
          </cell>
          <cell r="G291" t="str">
            <v>Осн.</v>
          </cell>
          <cell r="H291" t="str">
            <v>Ростовская</v>
          </cell>
          <cell r="I291">
            <v>45</v>
          </cell>
        </row>
        <row r="292">
          <cell r="C292" t="str">
            <v>RO0301</v>
          </cell>
          <cell r="D292" t="str">
            <v>31:трубостойки на чужой АМС на земле/крыше</v>
          </cell>
          <cell r="E292" t="str">
            <v>Ростовская Область, Кагальницкий Район, Кировская Станица, Подтелкова Улица, дом 2А</v>
          </cell>
          <cell r="F292">
            <v>1.96</v>
          </cell>
          <cell r="G292" t="str">
            <v>Осн.</v>
          </cell>
          <cell r="H292" t="str">
            <v>Ростовская</v>
          </cell>
          <cell r="I292">
            <v>48</v>
          </cell>
        </row>
        <row r="293">
          <cell r="C293" t="str">
            <v>RO0302</v>
          </cell>
          <cell r="D293" t="str">
            <v>21:собст. АМС до 10 м на крыше</v>
          </cell>
          <cell r="E293" t="str">
            <v>Ростовская Область, Кагальницкий Район, Кагальницкая Станица, Привокзальная Улица, дом 1</v>
          </cell>
          <cell r="F293">
            <v>2.2400000000000002</v>
          </cell>
          <cell r="G293" t="str">
            <v>Осн.</v>
          </cell>
          <cell r="H293" t="str">
            <v>Ростовская</v>
          </cell>
          <cell r="I293">
            <v>62</v>
          </cell>
        </row>
        <row r="294">
          <cell r="C294" t="str">
            <v>RO0303</v>
          </cell>
          <cell r="D294" t="str">
            <v>21:собст. АМС до 10 м на крыше</v>
          </cell>
          <cell r="E294" t="str">
            <v>Ростовская Область, Зерноградский Район, Зерноград Город, им Чехова Улица, дом 1</v>
          </cell>
          <cell r="F294">
            <v>2.54</v>
          </cell>
          <cell r="G294" t="str">
            <v>Осн.</v>
          </cell>
          <cell r="H294" t="str">
            <v>Ростовская</v>
          </cell>
          <cell r="I294">
            <v>77</v>
          </cell>
        </row>
        <row r="295">
          <cell r="C295" t="str">
            <v>RO0304</v>
          </cell>
          <cell r="D295" t="str">
            <v>31:трубостойки на чужой АМС на земле/крыше</v>
          </cell>
          <cell r="E295" t="str">
            <v>Ростовская Область, Зерноградский Район, Мечетинская Станица, Ленина Улица, дом 56\АМС ФГУП "РТРС"</v>
          </cell>
          <cell r="F295">
            <v>2.8</v>
          </cell>
          <cell r="G295" t="str">
            <v>Осн.</v>
          </cell>
          <cell r="H295" t="str">
            <v>Ростовская</v>
          </cell>
          <cell r="I295">
            <v>90</v>
          </cell>
        </row>
        <row r="296">
          <cell r="C296" t="str">
            <v>RO0314</v>
          </cell>
          <cell r="D296" t="str">
            <v>21:собст. АМС до 10 м на крыше</v>
          </cell>
          <cell r="E296" t="str">
            <v>Ростовская Область, Зимовниковский Район, Зимовники Поселок, Железнодорожная Улица, дом 99</v>
          </cell>
          <cell r="F296">
            <v>2.1800000000000002</v>
          </cell>
          <cell r="G296" t="str">
            <v>Осн.</v>
          </cell>
          <cell r="H296" t="str">
            <v>Волгодонская</v>
          </cell>
          <cell r="I296">
            <v>59</v>
          </cell>
        </row>
        <row r="297">
          <cell r="C297" t="str">
            <v>RO0315</v>
          </cell>
          <cell r="D297" t="str">
            <v>21:собст. АМС до 10 м на крыше</v>
          </cell>
          <cell r="E297" t="str">
            <v>Ростовская Область, Дубовский Район, Дубовское Село, Элеваторный Переулок, дом 2</v>
          </cell>
          <cell r="F297">
            <v>2.34</v>
          </cell>
          <cell r="G297" t="str">
            <v>Осн.</v>
          </cell>
          <cell r="H297" t="str">
            <v>Волгодонская</v>
          </cell>
          <cell r="I297">
            <v>67</v>
          </cell>
        </row>
        <row r="298">
          <cell r="C298" t="str">
            <v>RO0316</v>
          </cell>
          <cell r="D298" t="str">
            <v>13:собст. железобетонный столб с заглубленным фундаментом</v>
          </cell>
          <cell r="E298" t="str">
            <v>Ростовская Область, Зерноградский Район, Зерноград Город, им Чкалова Улица\6</v>
          </cell>
          <cell r="F298">
            <v>2.58</v>
          </cell>
          <cell r="G298" t="str">
            <v>Осн.</v>
          </cell>
          <cell r="H298" t="str">
            <v>Ростовская</v>
          </cell>
          <cell r="I298">
            <v>79</v>
          </cell>
        </row>
        <row r="299">
          <cell r="C299" t="str">
            <v>RO0320</v>
          </cell>
          <cell r="D299" t="str">
            <v>21:собст. АМС до 10 м на крыше</v>
          </cell>
          <cell r="E299" t="str">
            <v>Ростовская Область, Ростов-на-Дону Город, Еременко Улица\ул. Еременко 81/1</v>
          </cell>
          <cell r="F299">
            <v>1.18</v>
          </cell>
          <cell r="G299" t="str">
            <v>Осн.</v>
          </cell>
          <cell r="H299" t="str">
            <v>Ростовская</v>
          </cell>
          <cell r="I299">
            <v>9</v>
          </cell>
        </row>
        <row r="300">
          <cell r="C300" t="str">
            <v>RO0325</v>
          </cell>
          <cell r="D300" t="str">
            <v>13:собст. железобетонный столб с заглубленным фундаментом</v>
          </cell>
          <cell r="E300" t="str">
            <v>Ростовская Область, Зерноградский Район, Зерноград Город, Западный Переулок, дом 17</v>
          </cell>
          <cell r="F300">
            <v>2.56</v>
          </cell>
          <cell r="G300" t="str">
            <v>Осн.</v>
          </cell>
          <cell r="H300" t="str">
            <v>Ростовская</v>
          </cell>
          <cell r="I300">
            <v>78</v>
          </cell>
        </row>
        <row r="301">
          <cell r="C301" t="str">
            <v>RO0326</v>
          </cell>
          <cell r="D301" t="str">
            <v>13:собст. железобетонный столб с заглубленным фундаментом</v>
          </cell>
          <cell r="E301" t="str">
            <v>Ростовская Область, Зерноградский Район, Мечетинская Станица, Советская Улица, дом 28</v>
          </cell>
          <cell r="F301">
            <v>2.74</v>
          </cell>
          <cell r="G301" t="str">
            <v>Осн.</v>
          </cell>
          <cell r="H301" t="str">
            <v>Ростовская</v>
          </cell>
          <cell r="I301">
            <v>87</v>
          </cell>
        </row>
        <row r="302">
          <cell r="C302" t="str">
            <v>RO0328</v>
          </cell>
          <cell r="D302" t="str">
            <v>31:трубостойки на чужой АМС на земле/крыше</v>
          </cell>
          <cell r="E302" t="str">
            <v>Ростовская Область, Зимовниковский Район, Гашун Хутор, Железнодорожная Улица, дом 53а</v>
          </cell>
          <cell r="F302">
            <v>2.6</v>
          </cell>
          <cell r="G302" t="str">
            <v>Осн.</v>
          </cell>
          <cell r="H302" t="str">
            <v>Волгодонская</v>
          </cell>
          <cell r="I302">
            <v>80</v>
          </cell>
        </row>
        <row r="303">
          <cell r="C303" t="str">
            <v>RO0330</v>
          </cell>
          <cell r="D303" t="str">
            <v>31:трубостойки на чужой АМС на земле/крыше</v>
          </cell>
          <cell r="E303" t="str">
            <v>Ростовская Область, Зерноградский Район, Гуляй-Борисовка Хутор, Зеленая Улица, дом 1\Б</v>
          </cell>
          <cell r="F303">
            <v>3.24</v>
          </cell>
          <cell r="G303" t="str">
            <v>Осн.</v>
          </cell>
          <cell r="H303" t="str">
            <v>Ростовская</v>
          </cell>
          <cell r="I303">
            <v>112</v>
          </cell>
        </row>
        <row r="304">
          <cell r="C304" t="str">
            <v>RO0333</v>
          </cell>
          <cell r="D304" t="str">
            <v>31:трубостойки на чужой АМС на земле/крыше</v>
          </cell>
          <cell r="E304" t="str">
            <v>Ростовская Область, Зимовниковский Район, Камышев Хутор</v>
          </cell>
          <cell r="F304">
            <v>2.78</v>
          </cell>
          <cell r="G304" t="str">
            <v>Осн.</v>
          </cell>
          <cell r="H304" t="str">
            <v>Волгодонская</v>
          </cell>
          <cell r="I304">
            <v>89</v>
          </cell>
        </row>
        <row r="305">
          <cell r="C305" t="str">
            <v>RO0335</v>
          </cell>
          <cell r="D305" t="str">
            <v>31:трубостойки на чужой АМС на земле/крыше</v>
          </cell>
          <cell r="E305" t="str">
            <v>Ростовская Область, Зимовниковский Район, Кутейниковская Станица, Школьная Улица, дом 1а</v>
          </cell>
          <cell r="F305">
            <v>1.96</v>
          </cell>
          <cell r="G305" t="str">
            <v>Осн.</v>
          </cell>
          <cell r="H305" t="str">
            <v>Волгодонская</v>
          </cell>
          <cell r="I305">
            <v>48</v>
          </cell>
        </row>
        <row r="306">
          <cell r="C306" t="str">
            <v>RO0338</v>
          </cell>
          <cell r="D306" t="str">
            <v>54:пикосота</v>
          </cell>
          <cell r="E306" t="str">
            <v>Ростовская Область, Ростов-на-Дону Город, Туполева Улица, дом 16ж</v>
          </cell>
          <cell r="F306">
            <v>1.28</v>
          </cell>
          <cell r="G306" t="str">
            <v>Осн.</v>
          </cell>
          <cell r="H306" t="str">
            <v>Ростовская</v>
          </cell>
          <cell r="I306">
            <v>14</v>
          </cell>
        </row>
        <row r="307">
          <cell r="C307" t="str">
            <v>RO0340</v>
          </cell>
          <cell r="D307" t="str">
            <v>33:трубостойки, АМС инфраструктурного оператора</v>
          </cell>
          <cell r="E307" t="str">
            <v>Ростовская Область, Заветинский Район, Заветное Село</v>
          </cell>
          <cell r="F307">
            <v>4.28</v>
          </cell>
          <cell r="G307" t="str">
            <v>Осн.</v>
          </cell>
          <cell r="H307" t="str">
            <v>Волгодонская</v>
          </cell>
          <cell r="I307">
            <v>164</v>
          </cell>
        </row>
        <row r="308">
          <cell r="C308" t="str">
            <v>RO0341</v>
          </cell>
          <cell r="D308" t="str">
            <v>31:трубостойки на чужой АМС на земле/крыше</v>
          </cell>
          <cell r="E308" t="str">
            <v>Ростовская Область, Зерноградский Район, Большая Таловая Хутор, Буденного Улица, дом 1\в</v>
          </cell>
          <cell r="F308">
            <v>3.38</v>
          </cell>
          <cell r="G308" t="str">
            <v>Осн.</v>
          </cell>
          <cell r="H308" t="str">
            <v>Ростовская</v>
          </cell>
          <cell r="I308">
            <v>119</v>
          </cell>
        </row>
        <row r="309">
          <cell r="C309" t="str">
            <v>RO0346</v>
          </cell>
          <cell r="D309" t="str">
            <v>31:трубостойки на чужой АМС на земле/крыше</v>
          </cell>
          <cell r="E309" t="str">
            <v>Ростовская Область, Ремонтненский Район, Привольный Поселок, Школьная Улица</v>
          </cell>
          <cell r="F309">
            <v>4.0599999999999996</v>
          </cell>
          <cell r="G309" t="str">
            <v>Осн.</v>
          </cell>
          <cell r="H309" t="str">
            <v>Волгодонская</v>
          </cell>
          <cell r="I309">
            <v>153</v>
          </cell>
        </row>
        <row r="310">
          <cell r="C310" t="str">
            <v>RO0348</v>
          </cell>
          <cell r="D310" t="str">
            <v>13:собст. железобетонный столб с заглубленным фундаментом</v>
          </cell>
          <cell r="E310" t="str">
            <v>Ростовская Область, Кагальницкий Район, Кагальницкая Станица, Комсомольский Переулок\46/4</v>
          </cell>
          <cell r="F310">
            <v>2.2000000000000002</v>
          </cell>
          <cell r="G310" t="str">
            <v>Осн.</v>
          </cell>
          <cell r="H310" t="str">
            <v>Ростовская</v>
          </cell>
          <cell r="I310">
            <v>60</v>
          </cell>
        </row>
        <row r="311">
          <cell r="C311" t="str">
            <v>RO0349</v>
          </cell>
          <cell r="D311" t="str">
            <v>15:собст. башня с заглубленным фундаментом до 61м</v>
          </cell>
          <cell r="E311" t="str">
            <v>Ростовская Область, Зерноградский Район, Зерноград Город, Северная Улица\пересечение с Пархоменко Улица</v>
          </cell>
          <cell r="F311">
            <v>2.62</v>
          </cell>
          <cell r="G311" t="str">
            <v>Осн.</v>
          </cell>
          <cell r="H311" t="str">
            <v>Ростовская</v>
          </cell>
          <cell r="I311">
            <v>81</v>
          </cell>
        </row>
        <row r="312">
          <cell r="C312" t="str">
            <v>RO0350</v>
          </cell>
          <cell r="D312" t="str">
            <v>13:собст. железобетонный столб с заглубленным фундаментом</v>
          </cell>
          <cell r="E312" t="str">
            <v>Ростовская Область, Зерноградский Район, Зерноград Город, им Тельмана Улица, дом 61</v>
          </cell>
          <cell r="F312">
            <v>2.6</v>
          </cell>
          <cell r="G312" t="str">
            <v>Осн.</v>
          </cell>
          <cell r="H312" t="str">
            <v>Ростовская</v>
          </cell>
          <cell r="I312">
            <v>80</v>
          </cell>
        </row>
        <row r="313">
          <cell r="C313" t="str">
            <v>RO0356</v>
          </cell>
          <cell r="D313" t="str">
            <v>31:трубостойки на чужой АМС на земле/крыше</v>
          </cell>
          <cell r="E313" t="str">
            <v>Ростовская Область, Зимовниковский Район, Красностепной Поселок\животноводческая точка №26 в 4 км. севернее поселка</v>
          </cell>
          <cell r="F313">
            <v>3.64</v>
          </cell>
          <cell r="G313" t="str">
            <v>Осн.</v>
          </cell>
          <cell r="H313" t="str">
            <v>Волгодонская</v>
          </cell>
          <cell r="I313">
            <v>132</v>
          </cell>
        </row>
        <row r="314">
          <cell r="C314" t="str">
            <v>RO0360</v>
          </cell>
          <cell r="D314" t="str">
            <v>31:трубостойки на чужой АМС на земле/крыше</v>
          </cell>
          <cell r="E314" t="str">
            <v>Ростовская Область, Зимовниковский Район, Савоськин Хутор, Центральная Улица\100</v>
          </cell>
          <cell r="F314">
            <v>3.32</v>
          </cell>
          <cell r="G314" t="str">
            <v>Осн.</v>
          </cell>
          <cell r="H314" t="str">
            <v>Волгодонская</v>
          </cell>
          <cell r="I314">
            <v>116</v>
          </cell>
        </row>
        <row r="315">
          <cell r="C315" t="str">
            <v>RO0362</v>
          </cell>
          <cell r="D315" t="str">
            <v>31:трубостойки на чужой АМС на земле/крыше</v>
          </cell>
          <cell r="E315" t="str">
            <v>Ростовская Область, Заветинский Район, Никольский Хутор\северо-восточнее хутора</v>
          </cell>
          <cell r="F315">
            <v>3.88</v>
          </cell>
          <cell r="G315" t="str">
            <v>Осн.</v>
          </cell>
          <cell r="H315" t="str">
            <v>Волгодонская</v>
          </cell>
          <cell r="I315">
            <v>144</v>
          </cell>
        </row>
        <row r="316">
          <cell r="C316" t="str">
            <v>RO0364</v>
          </cell>
          <cell r="D316" t="str">
            <v>31:трубостойки на чужой АМС на земле/крыше</v>
          </cell>
          <cell r="E316" t="str">
            <v>Ростовская Область, Зимовниковский Район, Глубокий Хутор, Береговая Улица, дом 2\а</v>
          </cell>
          <cell r="F316">
            <v>2.76</v>
          </cell>
          <cell r="G316" t="str">
            <v>Осн.</v>
          </cell>
          <cell r="H316" t="str">
            <v>Волгодонская</v>
          </cell>
          <cell r="I316">
            <v>88</v>
          </cell>
        </row>
        <row r="317">
          <cell r="C317" t="str">
            <v>RO0370</v>
          </cell>
          <cell r="D317" t="str">
            <v>31:трубостойки на чужой АМС на земле/крыше</v>
          </cell>
          <cell r="E317" t="str">
            <v>Ростовская Область, Азовский Район, Гусарева Балка Хутор</v>
          </cell>
          <cell r="F317">
            <v>2.2799999999999998</v>
          </cell>
          <cell r="G317" t="str">
            <v>Осн.</v>
          </cell>
          <cell r="H317" t="str">
            <v>Ростовская</v>
          </cell>
          <cell r="I317">
            <v>64</v>
          </cell>
        </row>
        <row r="318">
          <cell r="C318" t="str">
            <v>RO0371</v>
          </cell>
          <cell r="D318" t="str">
            <v>31:трубостойки на чужой АМС на земле/крыше</v>
          </cell>
          <cell r="E318" t="str">
            <v>Ростовская Область, Красносулинский Район, Красный Сулин Город, Вербенская Улица</v>
          </cell>
          <cell r="F318">
            <v>3</v>
          </cell>
          <cell r="G318" t="str">
            <v>Осн.</v>
          </cell>
          <cell r="H318" t="str">
            <v>Ростовская</v>
          </cell>
          <cell r="I318">
            <v>100</v>
          </cell>
        </row>
        <row r="319">
          <cell r="C319" t="str">
            <v>RO0372</v>
          </cell>
          <cell r="D319" t="str">
            <v>15:собст. башня с заглубленным фундаментом до 61м</v>
          </cell>
          <cell r="E319" t="str">
            <v>Ростовская Область, Зерноградский Район, Сорговый Поселок, Промышленная Улица, дом 10</v>
          </cell>
          <cell r="F319">
            <v>2.54</v>
          </cell>
          <cell r="G319" t="str">
            <v>Осн.</v>
          </cell>
          <cell r="H319" t="str">
            <v>Ростовская</v>
          </cell>
          <cell r="I319">
            <v>77</v>
          </cell>
        </row>
        <row r="320">
          <cell r="C320" t="str">
            <v>RO0375</v>
          </cell>
          <cell r="D320" t="str">
            <v>33:трубостойки, АМС инфраструктурного оператора</v>
          </cell>
          <cell r="E320" t="str">
            <v>Ростовская Область, Ростов-на-Дону Город, Маршала Жукова Проспект</v>
          </cell>
          <cell r="F320">
            <v>1.24</v>
          </cell>
          <cell r="G320" t="str">
            <v>Осн.</v>
          </cell>
          <cell r="H320" t="str">
            <v>Ростовская</v>
          </cell>
          <cell r="I320">
            <v>12</v>
          </cell>
        </row>
        <row r="321">
          <cell r="C321" t="str">
            <v>RO0380</v>
          </cell>
          <cell r="D321" t="str">
            <v>14:собст. пригруз(мачта, башня, столб) с земли</v>
          </cell>
          <cell r="E321" t="str">
            <v>Ростовская Область, Заветинский Район, Кичкино Село</v>
          </cell>
          <cell r="F321">
            <v>4.4800000000000004</v>
          </cell>
          <cell r="G321" t="str">
            <v>Осн.</v>
          </cell>
          <cell r="H321" t="str">
            <v>Волгодонская</v>
          </cell>
          <cell r="I321">
            <v>174</v>
          </cell>
        </row>
        <row r="322">
          <cell r="C322" t="str">
            <v>RO0381</v>
          </cell>
          <cell r="D322" t="str">
            <v>33:трубостойки, АМС инфраструктурного оператора</v>
          </cell>
          <cell r="E322" t="str">
            <v>Ростовская Область, Зерноградский Район, Крайний Поселок</v>
          </cell>
          <cell r="F322">
            <v>3</v>
          </cell>
          <cell r="G322" t="str">
            <v>Осн.</v>
          </cell>
          <cell r="H322" t="str">
            <v>Ростовская</v>
          </cell>
          <cell r="I322">
            <v>100</v>
          </cell>
        </row>
        <row r="323">
          <cell r="C323" t="str">
            <v>RO0382</v>
          </cell>
          <cell r="D323" t="str">
            <v>15:собст. башня с заглубленным фундаментом до 61м</v>
          </cell>
          <cell r="E323" t="str">
            <v>Ростовская Область, Мартыновский Район, Лесной Хутор, Северная Улица\130 м северо-западнее дома 1</v>
          </cell>
          <cell r="F323">
            <v>2.44</v>
          </cell>
          <cell r="G323" t="str">
            <v>Осн.</v>
          </cell>
          <cell r="H323" t="str">
            <v>Волгодонская</v>
          </cell>
          <cell r="I323">
            <v>72</v>
          </cell>
        </row>
        <row r="324">
          <cell r="C324" t="str">
            <v>RO0388</v>
          </cell>
          <cell r="D324" t="str">
            <v>31:трубостойки на чужой АМС на земле/крыше</v>
          </cell>
          <cell r="E324" t="str">
            <v>Ростовская Область, Ремонтненский Район, Валуевка Село, 40 лет Победы Улица\1А, АМС ФГУП "РТРС"</v>
          </cell>
          <cell r="F324">
            <v>4.4800000000000004</v>
          </cell>
          <cell r="G324" t="str">
            <v>Осн.</v>
          </cell>
          <cell r="H324" t="str">
            <v>Волгодонская</v>
          </cell>
          <cell r="I324">
            <v>174</v>
          </cell>
        </row>
        <row r="325">
          <cell r="C325" t="str">
            <v>RO0392</v>
          </cell>
          <cell r="D325" t="str">
            <v>31:трубостойки на чужой АМС на земле/крыше</v>
          </cell>
          <cell r="E325" t="str">
            <v>Ростовская Область, Веселовский Район, Красный Октябрь Хутор, Школьная Улица\138</v>
          </cell>
          <cell r="F325">
            <v>3.42</v>
          </cell>
          <cell r="G325" t="str">
            <v>Осн.</v>
          </cell>
          <cell r="H325" t="str">
            <v>Ростовская</v>
          </cell>
          <cell r="I325">
            <v>121</v>
          </cell>
        </row>
        <row r="326">
          <cell r="C326" t="str">
            <v>RO0397</v>
          </cell>
          <cell r="D326" t="str">
            <v>33:трубостойки, АМС инфраструктурного оператора</v>
          </cell>
          <cell r="E326" t="str">
            <v>Ростовская Область, Азовский Район, Каяльский Поселок</v>
          </cell>
          <cell r="F326">
            <v>1.98</v>
          </cell>
          <cell r="G326" t="str">
            <v>Осн.</v>
          </cell>
          <cell r="H326" t="str">
            <v>Ростовская</v>
          </cell>
          <cell r="I326">
            <v>49</v>
          </cell>
        </row>
        <row r="327">
          <cell r="C327" t="str">
            <v>RO0399</v>
          </cell>
          <cell r="D327" t="str">
            <v>21:собст. АМС до 10 м на крыше</v>
          </cell>
          <cell r="E327" t="str">
            <v>Ростовская Область, Ростов-на-Дону Город, Стабильная Улица, дом 9</v>
          </cell>
          <cell r="F327">
            <v>1.2</v>
          </cell>
          <cell r="G327" t="str">
            <v>Осн.</v>
          </cell>
          <cell r="H327" t="str">
            <v>Ростовская</v>
          </cell>
          <cell r="I327">
            <v>10</v>
          </cell>
        </row>
        <row r="328">
          <cell r="C328" t="str">
            <v>RO0400</v>
          </cell>
          <cell r="D328" t="str">
            <v>31:трубостойки на чужой АМС на земле/крыше</v>
          </cell>
          <cell r="E328" t="str">
            <v>Ростовская Область, Аксайский Район, Грушевская Станица\Аэропорт "Платов"</v>
          </cell>
          <cell r="F328">
            <v>1.9</v>
          </cell>
          <cell r="G328" t="str">
            <v>Осн.</v>
          </cell>
          <cell r="H328" t="str">
            <v>Ростовская</v>
          </cell>
          <cell r="I328">
            <v>45</v>
          </cell>
        </row>
        <row r="329">
          <cell r="C329" t="str">
            <v>RO0476</v>
          </cell>
          <cell r="D329" t="str">
            <v>13:собст. железобетонный столб с заглубленным фундаментом</v>
          </cell>
          <cell r="E329" t="str">
            <v>Ростовская Область, Мясниковский Район\1-й км автодороги Ростов-Новошахтинск, участок 4/1</v>
          </cell>
          <cell r="F329">
            <v>1.28</v>
          </cell>
          <cell r="G329" t="str">
            <v>Осн.</v>
          </cell>
          <cell r="H329" t="str">
            <v>Ростовская</v>
          </cell>
          <cell r="I329">
            <v>14</v>
          </cell>
        </row>
        <row r="330">
          <cell r="C330" t="str">
            <v>RO0500</v>
          </cell>
          <cell r="D330" t="str">
            <v>13:собст. железобетонный столб с заглубленным фундаментом</v>
          </cell>
          <cell r="E330" t="str">
            <v>Ростовская Область, Ростов-на-Дону Город, Лесопарковая Улица, дом 90б</v>
          </cell>
          <cell r="F330">
            <v>1.1200000000000001</v>
          </cell>
          <cell r="G330" t="str">
            <v>Осн.</v>
          </cell>
          <cell r="H330" t="str">
            <v>Ростовская</v>
          </cell>
          <cell r="I330">
            <v>6</v>
          </cell>
        </row>
        <row r="331">
          <cell r="C331" t="str">
            <v>RO0501</v>
          </cell>
          <cell r="D331" t="str">
            <v>31:трубостойки на чужой АМС на земле/крыше</v>
          </cell>
          <cell r="E331" t="str">
            <v>Ростовская Область, Новочеркасск Город, Народная Улица, дом 54а</v>
          </cell>
          <cell r="F331">
            <v>1.76</v>
          </cell>
          <cell r="G331" t="str">
            <v>Осн.</v>
          </cell>
          <cell r="H331" t="str">
            <v>Ростовская</v>
          </cell>
          <cell r="I331">
            <v>38</v>
          </cell>
        </row>
        <row r="332">
          <cell r="C332" t="str">
            <v>RO0502</v>
          </cell>
          <cell r="D332" t="str">
            <v>22:собст. АМС выше 10 м на крыше</v>
          </cell>
          <cell r="E332" t="str">
            <v>Ростовская Область, Новочеркасск Город\пр-кт Ермака, д.42/46/7/1-б</v>
          </cell>
          <cell r="F332">
            <v>1.84</v>
          </cell>
          <cell r="G332" t="str">
            <v>Осн.</v>
          </cell>
          <cell r="H332" t="str">
            <v>Ростовская</v>
          </cell>
          <cell r="I332">
            <v>42</v>
          </cell>
        </row>
        <row r="333">
          <cell r="C333" t="str">
            <v>RO0503</v>
          </cell>
          <cell r="D333" t="str">
            <v>22:собст. АМС выше 10 м на крыше</v>
          </cell>
          <cell r="E333" t="str">
            <v>Ростовская Область, Новочеркасск Город, Машиностроителей Улица\3</v>
          </cell>
          <cell r="F333">
            <v>1.94</v>
          </cell>
          <cell r="G333" t="str">
            <v>Осн.</v>
          </cell>
          <cell r="H333" t="str">
            <v>Ростовская</v>
          </cell>
          <cell r="I333">
            <v>47</v>
          </cell>
        </row>
        <row r="334">
          <cell r="C334" t="str">
            <v>RO0504</v>
          </cell>
          <cell r="D334" t="str">
            <v>33:трубостойки, АМС инфраструктурного оператора</v>
          </cell>
          <cell r="E334" t="str">
            <v>Ростовская Область, Новочеркасск Город, Михайловская Улица\рядом с домом 166</v>
          </cell>
          <cell r="F334">
            <v>1.78</v>
          </cell>
          <cell r="G334" t="str">
            <v>Осн.</v>
          </cell>
          <cell r="H334" t="str">
            <v>Ростовская</v>
          </cell>
          <cell r="I334">
            <v>39</v>
          </cell>
        </row>
        <row r="335">
          <cell r="C335" t="str">
            <v>RO0505</v>
          </cell>
          <cell r="D335" t="str">
            <v>21:собст. АМС до 10 м на крыше</v>
          </cell>
          <cell r="E335" t="str">
            <v>Ростовская Область, Новочеркасск Город, Ермака Проспект\106</v>
          </cell>
          <cell r="F335">
            <v>1.78</v>
          </cell>
          <cell r="G335" t="str">
            <v>Осн.</v>
          </cell>
          <cell r="H335" t="str">
            <v>Ростовская</v>
          </cell>
          <cell r="I335">
            <v>39</v>
          </cell>
        </row>
        <row r="336">
          <cell r="C336" t="str">
            <v>RO0506</v>
          </cell>
          <cell r="D336" t="str">
            <v>32:трубостойки/АМС на: трубе, элеваторе, водонап.башне</v>
          </cell>
          <cell r="E336" t="str">
            <v>Ростовская Область, Октябрьский Район, Персиановский Поселок, Сосновая Улица\2</v>
          </cell>
          <cell r="F336">
            <v>2</v>
          </cell>
          <cell r="G336" t="str">
            <v>Осн.</v>
          </cell>
          <cell r="H336" t="str">
            <v>Ростовская</v>
          </cell>
          <cell r="I336">
            <v>50</v>
          </cell>
        </row>
        <row r="337">
          <cell r="C337" t="str">
            <v>RO0507</v>
          </cell>
          <cell r="D337" t="str">
            <v>22:собст. АМС выше 10 м на крыше</v>
          </cell>
          <cell r="E337" t="str">
            <v>Ростовская Область, Новочеркасск Город, С.В.Мацоты Улица\65</v>
          </cell>
          <cell r="F337">
            <v>1.96</v>
          </cell>
          <cell r="G337" t="str">
            <v>Осн.</v>
          </cell>
          <cell r="H337" t="str">
            <v>Ростовская</v>
          </cell>
          <cell r="I337">
            <v>48</v>
          </cell>
        </row>
        <row r="338">
          <cell r="C338" t="str">
            <v>RO0508</v>
          </cell>
          <cell r="D338" t="str">
            <v>31:трубостойки на чужой АМС на земле/крыше</v>
          </cell>
          <cell r="E338" t="str">
            <v>Ростовская Область, Новочеркасск Город, Макаренко Улица\22</v>
          </cell>
          <cell r="F338">
            <v>1.86</v>
          </cell>
          <cell r="G338" t="str">
            <v>Осн.</v>
          </cell>
          <cell r="H338" t="str">
            <v>Ростовская</v>
          </cell>
          <cell r="I338">
            <v>43</v>
          </cell>
        </row>
        <row r="339">
          <cell r="C339" t="str">
            <v>RO0509</v>
          </cell>
          <cell r="D339" t="str">
            <v>31:трубостойки на чужой АМС на земле/крыше</v>
          </cell>
          <cell r="E339" t="str">
            <v>Ростовская Область, Октябрьский Район, Бессергеневская Станица, Советская Улица\38</v>
          </cell>
          <cell r="F339">
            <v>2.2599999999999998</v>
          </cell>
          <cell r="G339" t="str">
            <v>Осн.</v>
          </cell>
          <cell r="H339" t="str">
            <v>Ростовская</v>
          </cell>
          <cell r="I339">
            <v>63</v>
          </cell>
        </row>
        <row r="340">
          <cell r="C340" t="str">
            <v>RO0510</v>
          </cell>
          <cell r="D340" t="str">
            <v>22:собст. АМС выше 10 м на крыше</v>
          </cell>
          <cell r="E340" t="str">
            <v>Ростовская Область, Новочеркасск Город, Визирова Улица\9/2</v>
          </cell>
          <cell r="F340">
            <v>1.9</v>
          </cell>
          <cell r="G340" t="str">
            <v>Осн.</v>
          </cell>
          <cell r="H340" t="str">
            <v>Ростовская</v>
          </cell>
          <cell r="I340">
            <v>45</v>
          </cell>
        </row>
        <row r="341">
          <cell r="C341" t="str">
            <v>RO0511</v>
          </cell>
          <cell r="D341" t="str">
            <v>22:собст. АМС выше 10 м на крыше</v>
          </cell>
          <cell r="E341" t="str">
            <v>Ростовская Область, Новочеркасск Город, Баклановский Проспект\166</v>
          </cell>
          <cell r="F341">
            <v>1.72</v>
          </cell>
          <cell r="G341" t="str">
            <v>Осн.</v>
          </cell>
          <cell r="H341" t="str">
            <v>Ростовская</v>
          </cell>
          <cell r="I341">
            <v>36</v>
          </cell>
        </row>
        <row r="342">
          <cell r="C342" t="str">
            <v>RO0512</v>
          </cell>
          <cell r="D342" t="str">
            <v>31:трубостойки на чужой АМС на земле/крыше</v>
          </cell>
          <cell r="E342" t="str">
            <v>Ростовская Область, Новочеркасск Город, Баклановский Проспект\25</v>
          </cell>
          <cell r="F342">
            <v>1.78</v>
          </cell>
          <cell r="G342" t="str">
            <v>Осн.</v>
          </cell>
          <cell r="H342" t="str">
            <v>Ростовская</v>
          </cell>
          <cell r="I342">
            <v>39</v>
          </cell>
        </row>
        <row r="343">
          <cell r="C343" t="str">
            <v>RO0513</v>
          </cell>
          <cell r="D343" t="str">
            <v>22:собст. АМС выше 10 м на крыше</v>
          </cell>
          <cell r="E343" t="str">
            <v>Ростовская Область, Новочеркасск Город, Высоковольтная Улица\1</v>
          </cell>
          <cell r="F343">
            <v>1.96</v>
          </cell>
          <cell r="G343" t="str">
            <v>Осн.</v>
          </cell>
          <cell r="H343" t="str">
            <v>Ростовская</v>
          </cell>
          <cell r="I343">
            <v>48</v>
          </cell>
        </row>
        <row r="344">
          <cell r="C344" t="str">
            <v>RO0514</v>
          </cell>
          <cell r="D344" t="str">
            <v>13:собст. железобетонный столб с заглубленным фундаментом</v>
          </cell>
          <cell r="E344" t="str">
            <v>Ростовская Область, Новочеркасск Город, Платовский Проспект, дом 69</v>
          </cell>
          <cell r="F344">
            <v>1.82</v>
          </cell>
          <cell r="G344" t="str">
            <v>Осн.</v>
          </cell>
          <cell r="H344" t="str">
            <v>Ростовская</v>
          </cell>
          <cell r="I344">
            <v>41</v>
          </cell>
        </row>
        <row r="345">
          <cell r="C345" t="str">
            <v>RO0515</v>
          </cell>
          <cell r="D345" t="str">
            <v>13:собст. железобетонный столб с заглубленным фундаментом</v>
          </cell>
          <cell r="E345" t="str">
            <v>Ростовская Область, Новочеркасск Город, Ростовский выезд Улица\22</v>
          </cell>
          <cell r="F345">
            <v>1.78</v>
          </cell>
          <cell r="G345" t="str">
            <v>Осн.</v>
          </cell>
          <cell r="H345" t="str">
            <v>Ростовская</v>
          </cell>
          <cell r="I345">
            <v>39</v>
          </cell>
        </row>
        <row r="346">
          <cell r="C346" t="str">
            <v>RO0516</v>
          </cell>
          <cell r="D346" t="str">
            <v>21:собст. АМС до 10 м на крыше</v>
          </cell>
          <cell r="E346" t="str">
            <v>Ростовская Область, Новочеркасск Город, Платовский Проспект\72</v>
          </cell>
          <cell r="F346">
            <v>2.02</v>
          </cell>
          <cell r="G346" t="str">
            <v>Осн.</v>
          </cell>
          <cell r="H346" t="str">
            <v>Ростовская</v>
          </cell>
          <cell r="I346">
            <v>51</v>
          </cell>
        </row>
        <row r="347">
          <cell r="C347" t="str">
            <v>RO0517</v>
          </cell>
          <cell r="D347" t="str">
            <v>31:трубостойки на чужой АМС на земле/крыше</v>
          </cell>
          <cell r="E347" t="str">
            <v>Ростовская Область, Новочеркасск Город, Полевая Улица, дом 2Б</v>
          </cell>
          <cell r="F347">
            <v>2.14</v>
          </cell>
          <cell r="G347" t="str">
            <v>Осн.</v>
          </cell>
          <cell r="H347" t="str">
            <v>Ростовская</v>
          </cell>
          <cell r="I347">
            <v>57</v>
          </cell>
        </row>
        <row r="348">
          <cell r="C348" t="str">
            <v>RO0518</v>
          </cell>
          <cell r="D348" t="str">
            <v>32:трубостойки/АМС на: трубе, элеваторе, водонап.башне</v>
          </cell>
          <cell r="E348" t="str">
            <v>Ростовская Область, Новочеркасск Город, Просвещения Улица, дом 93\В</v>
          </cell>
          <cell r="F348">
            <v>1.8</v>
          </cell>
          <cell r="G348" t="str">
            <v>Осн.</v>
          </cell>
          <cell r="H348" t="str">
            <v>Ростовская</v>
          </cell>
          <cell r="I348">
            <v>40</v>
          </cell>
        </row>
        <row r="349">
          <cell r="C349" t="str">
            <v>RO0519</v>
          </cell>
          <cell r="D349" t="str">
            <v>13:собст. железобетонный столб с заглубленным фундаментом</v>
          </cell>
          <cell r="E349" t="str">
            <v>Ростовская Область, Новочеркасск Город, Петрова Улица\3 Б</v>
          </cell>
          <cell r="F349">
            <v>1.84</v>
          </cell>
          <cell r="G349" t="str">
            <v>Осн.</v>
          </cell>
          <cell r="H349" t="str">
            <v>Ростовская</v>
          </cell>
          <cell r="I349">
            <v>42</v>
          </cell>
        </row>
        <row r="350">
          <cell r="C350" t="str">
            <v>RO0520</v>
          </cell>
          <cell r="D350" t="str">
            <v>13:собст. железобетонный столб с заглубленным фундаментом</v>
          </cell>
          <cell r="E350" t="str">
            <v>Ростовская Область, Новочеркасск Город, Буденновская Улица\192</v>
          </cell>
          <cell r="F350">
            <v>1.74</v>
          </cell>
          <cell r="G350" t="str">
            <v>Осн.</v>
          </cell>
          <cell r="H350" t="str">
            <v>Ростовская</v>
          </cell>
          <cell r="I350">
            <v>37</v>
          </cell>
        </row>
        <row r="351">
          <cell r="C351" t="str">
            <v>RO0521</v>
          </cell>
          <cell r="D351" t="str">
            <v>13:собст. железобетонный столб с заглубленным фундаментом</v>
          </cell>
          <cell r="E351" t="str">
            <v>Ростовская Область, Новочеркасск Город, Чехова Улица\24</v>
          </cell>
          <cell r="F351">
            <v>1.96</v>
          </cell>
          <cell r="G351" t="str">
            <v>Осн.</v>
          </cell>
          <cell r="H351" t="str">
            <v>Ростовская</v>
          </cell>
          <cell r="I351">
            <v>48</v>
          </cell>
        </row>
        <row r="352">
          <cell r="C352" t="str">
            <v>RO0522</v>
          </cell>
          <cell r="D352" t="str">
            <v>21:собст. АМС до 10 м на крыше</v>
          </cell>
          <cell r="E352" t="str">
            <v>Ростовская Область, Новочеркасск Город, Крылова Улица\13</v>
          </cell>
          <cell r="F352">
            <v>1.78</v>
          </cell>
          <cell r="G352" t="str">
            <v>Осн.</v>
          </cell>
          <cell r="H352" t="str">
            <v>Ростовская</v>
          </cell>
          <cell r="I352">
            <v>39</v>
          </cell>
        </row>
        <row r="353">
          <cell r="C353" t="str">
            <v>RO0523</v>
          </cell>
          <cell r="D353" t="str">
            <v>13:собст. железобетонный столб с заглубленным фундаментом</v>
          </cell>
          <cell r="E353" t="str">
            <v>Ростовская Область, Новочеркасск Город, Социалистическая Улица, дом 1</v>
          </cell>
          <cell r="F353">
            <v>1.82</v>
          </cell>
          <cell r="G353" t="str">
            <v>Осн.</v>
          </cell>
          <cell r="H353" t="str">
            <v>Ростовская</v>
          </cell>
          <cell r="I353">
            <v>41</v>
          </cell>
        </row>
        <row r="354">
          <cell r="C354" t="str">
            <v>RO0524</v>
          </cell>
          <cell r="D354" t="str">
            <v>22:собст. АМС выше 10 м на крыше</v>
          </cell>
          <cell r="E354" t="str">
            <v>Ростовская Область, Новочеркасск Город, Просвещения Улица, дом 155\а</v>
          </cell>
          <cell r="F354">
            <v>1.78</v>
          </cell>
          <cell r="G354" t="str">
            <v>Осн.</v>
          </cell>
          <cell r="H354" t="str">
            <v>Ростовская</v>
          </cell>
          <cell r="I354">
            <v>39</v>
          </cell>
        </row>
        <row r="355">
          <cell r="C355" t="str">
            <v>RO0525</v>
          </cell>
          <cell r="D355" t="str">
            <v>13:собст. железобетонный столб с заглубленным фундаментом</v>
          </cell>
          <cell r="E355" t="str">
            <v>Ростовская Область, Новочеркасск Город, Спортивная Улица\6</v>
          </cell>
          <cell r="F355">
            <v>1.94</v>
          </cell>
          <cell r="G355" t="str">
            <v>Осн.</v>
          </cell>
          <cell r="H355" t="str">
            <v>Ростовская</v>
          </cell>
          <cell r="I355">
            <v>47</v>
          </cell>
        </row>
        <row r="356">
          <cell r="C356" t="str">
            <v>RO0526</v>
          </cell>
          <cell r="D356" t="str">
            <v>13:собст. железобетонный столб с заглубленным фундаментом</v>
          </cell>
          <cell r="E356" t="str">
            <v>Ростовская Область, Новочеркасск Город, Виноградная Улица\1</v>
          </cell>
          <cell r="F356">
            <v>2</v>
          </cell>
          <cell r="G356" t="str">
            <v>Осн.</v>
          </cell>
          <cell r="H356" t="str">
            <v>Ростовская</v>
          </cell>
          <cell r="I356">
            <v>50</v>
          </cell>
        </row>
        <row r="357">
          <cell r="C357" t="str">
            <v>RO0527</v>
          </cell>
          <cell r="D357" t="str">
            <v>13:собст. железобетонный столб с заглубленным фундаментом</v>
          </cell>
          <cell r="E357" t="str">
            <v>Ростовская Область, Октябрьский Район, Персиановский Поселок, Заречная Улица\33</v>
          </cell>
          <cell r="F357">
            <v>2.1</v>
          </cell>
          <cell r="G357" t="str">
            <v>Осн.</v>
          </cell>
          <cell r="H357" t="str">
            <v>Ростовская</v>
          </cell>
          <cell r="I357">
            <v>55</v>
          </cell>
        </row>
        <row r="358">
          <cell r="C358" t="str">
            <v>RO0528</v>
          </cell>
          <cell r="D358" t="str">
            <v>13:собст. железобетонный столб с заглубленным фундаментом</v>
          </cell>
          <cell r="E358" t="str">
            <v>Ростовская Область, Новочеркасск Город, Баклановский Проспект\200</v>
          </cell>
          <cell r="F358">
            <v>1.7</v>
          </cell>
          <cell r="G358" t="str">
            <v>Осн.</v>
          </cell>
          <cell r="H358" t="str">
            <v>Ростовская</v>
          </cell>
          <cell r="I358">
            <v>35</v>
          </cell>
        </row>
        <row r="359">
          <cell r="C359" t="str">
            <v>RO0529</v>
          </cell>
          <cell r="D359" t="str">
            <v>13:собст. железобетонный столб с заглубленным фундаментом</v>
          </cell>
          <cell r="E359" t="str">
            <v>Ростовская Область, Новочеркасск Город, Парковый Проспект\24</v>
          </cell>
          <cell r="F359">
            <v>2.16</v>
          </cell>
          <cell r="G359" t="str">
            <v>Осн.</v>
          </cell>
          <cell r="H359" t="str">
            <v>Ростовская</v>
          </cell>
          <cell r="I359">
            <v>58</v>
          </cell>
        </row>
        <row r="360">
          <cell r="C360" t="str">
            <v>RO0530</v>
          </cell>
          <cell r="D360" t="str">
            <v>13:собст. железобетонный столб с заглубленным фундаментом</v>
          </cell>
          <cell r="E360" t="str">
            <v>Ростовская Область, Октябрьский Район, Красюковская Слобода, Советская Улица\24</v>
          </cell>
          <cell r="F360">
            <v>2.02</v>
          </cell>
          <cell r="G360" t="str">
            <v>Осн.</v>
          </cell>
          <cell r="H360" t="str">
            <v>Ростовская</v>
          </cell>
          <cell r="I360">
            <v>51</v>
          </cell>
        </row>
        <row r="361">
          <cell r="C361" t="str">
            <v>RO0531</v>
          </cell>
          <cell r="D361" t="str">
            <v>13:собст. железобетонный столб с заглубленным фундаментом</v>
          </cell>
          <cell r="E361" t="str">
            <v>Ростовская Область, Новочеркасск Город, Машиностроителей Улица\7</v>
          </cell>
          <cell r="F361">
            <v>1.94</v>
          </cell>
          <cell r="G361" t="str">
            <v>Осн.</v>
          </cell>
          <cell r="H361" t="str">
            <v>Ростовская</v>
          </cell>
          <cell r="I361">
            <v>47</v>
          </cell>
        </row>
        <row r="362">
          <cell r="C362" t="str">
            <v>RO0532</v>
          </cell>
          <cell r="D362" t="str">
            <v>13:собст. железобетонный столб с заглубленным фундаментом</v>
          </cell>
          <cell r="E362" t="str">
            <v>Ростовская Область, Новочеркасск Город, Интернатный Переулок\10 ГСК 62 место А</v>
          </cell>
          <cell r="F362">
            <v>1.9</v>
          </cell>
          <cell r="G362" t="str">
            <v>Осн.</v>
          </cell>
          <cell r="H362" t="str">
            <v>Ростовская</v>
          </cell>
          <cell r="I362">
            <v>45</v>
          </cell>
        </row>
        <row r="363">
          <cell r="C363" t="str">
            <v>RO0533</v>
          </cell>
          <cell r="D363" t="str">
            <v>13:собст. железобетонный столб с заглубленным фундаментом</v>
          </cell>
          <cell r="E363" t="str">
            <v>Ростовская Область, Новочеркасск Город, Баклановский Проспект\81</v>
          </cell>
          <cell r="F363">
            <v>1.78</v>
          </cell>
          <cell r="G363" t="str">
            <v>Осн.</v>
          </cell>
          <cell r="H363" t="str">
            <v>Ростовская</v>
          </cell>
          <cell r="I363">
            <v>39</v>
          </cell>
        </row>
        <row r="364">
          <cell r="C364" t="str">
            <v>RO0534</v>
          </cell>
          <cell r="D364" t="str">
            <v>13:собст. железобетонный столб с заглубленным фундаментом</v>
          </cell>
          <cell r="E364" t="str">
            <v>Ростовская Область, Новочеркасск Город, Калинина Улица, дом 73</v>
          </cell>
          <cell r="F364">
            <v>1.96</v>
          </cell>
          <cell r="G364" t="str">
            <v>Осн.</v>
          </cell>
          <cell r="H364" t="str">
            <v>Ростовская</v>
          </cell>
          <cell r="I364">
            <v>48</v>
          </cell>
        </row>
        <row r="365">
          <cell r="C365" t="str">
            <v>RO0535</v>
          </cell>
          <cell r="D365" t="str">
            <v>13:собст. железобетонный столб с заглубленным фундаментом</v>
          </cell>
          <cell r="E365" t="str">
            <v>Ростовская Область, Октябрьский Район, Кривянская Станица, Комарова Улица\55а</v>
          </cell>
          <cell r="F365">
            <v>2.1</v>
          </cell>
          <cell r="G365" t="str">
            <v>Осн.</v>
          </cell>
          <cell r="H365" t="str">
            <v>Ростовская</v>
          </cell>
          <cell r="I365">
            <v>55</v>
          </cell>
        </row>
        <row r="366">
          <cell r="C366" t="str">
            <v>RO0536</v>
          </cell>
          <cell r="D366" t="str">
            <v>13:собст. железобетонный столб с заглубленным фундаментом</v>
          </cell>
          <cell r="E366" t="str">
            <v>Ростовская Область, Новочеркасск Город, Харьковское Шоссе, дом 13А</v>
          </cell>
          <cell r="F366">
            <v>1.86</v>
          </cell>
          <cell r="G366" t="str">
            <v>Осн.</v>
          </cell>
          <cell r="H366" t="str">
            <v>Ростовская</v>
          </cell>
          <cell r="I366">
            <v>43</v>
          </cell>
        </row>
        <row r="367">
          <cell r="C367" t="str">
            <v>RO0537</v>
          </cell>
          <cell r="D367" t="str">
            <v>13:собст. железобетонный столб с заглубленным фундаментом</v>
          </cell>
          <cell r="E367" t="str">
            <v>Ростовская Область, Новочеркасск Город, Молодежная Улица\20</v>
          </cell>
          <cell r="F367">
            <v>1.96</v>
          </cell>
          <cell r="G367" t="str">
            <v>Осн.</v>
          </cell>
          <cell r="H367" t="str">
            <v>Ростовская</v>
          </cell>
          <cell r="I367">
            <v>48</v>
          </cell>
        </row>
        <row r="368">
          <cell r="C368" t="str">
            <v>RO0538</v>
          </cell>
          <cell r="D368" t="str">
            <v>31:трубостойки на чужой АМС на земле/крыше</v>
          </cell>
          <cell r="E368" t="str">
            <v>Ростовская Область, Новочеркасск Город, Фрунзе Улица, дом 55\литер Э</v>
          </cell>
          <cell r="F368">
            <v>1.82</v>
          </cell>
          <cell r="G368" t="str">
            <v>Осн.</v>
          </cell>
          <cell r="H368" t="str">
            <v>Ростовская</v>
          </cell>
          <cell r="I368">
            <v>41</v>
          </cell>
        </row>
        <row r="369">
          <cell r="C369" t="str">
            <v>RO0539</v>
          </cell>
          <cell r="D369" t="str">
            <v>13:собст. железобетонный столб с заглубленным фундаментом</v>
          </cell>
          <cell r="E369" t="str">
            <v>Ростовская Область, Новочеркасск Город, Пушкинская Улица\83</v>
          </cell>
          <cell r="F369">
            <v>1.78</v>
          </cell>
          <cell r="G369" t="str">
            <v>Осн.</v>
          </cell>
          <cell r="H369" t="str">
            <v>Ростовская</v>
          </cell>
          <cell r="I369">
            <v>39</v>
          </cell>
        </row>
        <row r="370">
          <cell r="C370" t="str">
            <v>RO0540</v>
          </cell>
          <cell r="D370" t="str">
            <v>13:собст. железобетонный столб с заглубленным фундаментом</v>
          </cell>
          <cell r="E370" t="str">
            <v>Ростовская Область, Новочеркасск Город, Платовский Проспект, дом 158Б</v>
          </cell>
          <cell r="F370">
            <v>1.8</v>
          </cell>
          <cell r="G370" t="str">
            <v>Осн.</v>
          </cell>
          <cell r="H370" t="str">
            <v>Ростовская</v>
          </cell>
          <cell r="I370">
            <v>40</v>
          </cell>
        </row>
        <row r="371">
          <cell r="C371" t="str">
            <v>RO0541</v>
          </cell>
          <cell r="D371" t="str">
            <v>13:собст. железобетонный столб с заглубленным фундаментом</v>
          </cell>
          <cell r="E371" t="str">
            <v>Ростовская Область, Аксайский Район, Красный Колос Поселок, Производственная Улица\9</v>
          </cell>
          <cell r="F371">
            <v>1.56</v>
          </cell>
          <cell r="G371" t="str">
            <v>Осн.</v>
          </cell>
          <cell r="H371" t="str">
            <v>Ростовская</v>
          </cell>
          <cell r="I371">
            <v>28</v>
          </cell>
        </row>
        <row r="372">
          <cell r="C372" t="str">
            <v>RO0542</v>
          </cell>
          <cell r="D372" t="str">
            <v>31:трубостойки на чужой АМС на земле/крыше</v>
          </cell>
          <cell r="E372" t="str">
            <v>Ростовская Область, Новочеркасск Город, Украинская Улица, дом 5А</v>
          </cell>
          <cell r="F372">
            <v>1.8</v>
          </cell>
          <cell r="G372" t="str">
            <v>Осн.</v>
          </cell>
          <cell r="H372" t="str">
            <v>Ростовская</v>
          </cell>
          <cell r="I372">
            <v>40</v>
          </cell>
        </row>
        <row r="373">
          <cell r="C373" t="str">
            <v>RO0543</v>
          </cell>
          <cell r="D373" t="str">
            <v>21:собст. АМС до 10 м на крыше</v>
          </cell>
          <cell r="E373" t="str">
            <v>Ростовская Область, Новочеркасск Город, Гвардейская Улица\24</v>
          </cell>
          <cell r="F373">
            <v>1.94</v>
          </cell>
          <cell r="G373" t="str">
            <v>Осн.</v>
          </cell>
          <cell r="H373" t="str">
            <v>Ростовская</v>
          </cell>
          <cell r="I373">
            <v>47</v>
          </cell>
        </row>
        <row r="374">
          <cell r="C374" t="str">
            <v>RO0544</v>
          </cell>
          <cell r="D374" t="str">
            <v>31:трубостойки на чужой АМС на земле/крыше</v>
          </cell>
          <cell r="E374" t="str">
            <v>Ростовская Область, Новочеркасск Город, Восточная Улица, дом 39</v>
          </cell>
          <cell r="F374">
            <v>1.94</v>
          </cell>
          <cell r="G374" t="str">
            <v>Осн.</v>
          </cell>
          <cell r="H374" t="str">
            <v>Ростовская</v>
          </cell>
          <cell r="I374">
            <v>47</v>
          </cell>
        </row>
        <row r="375">
          <cell r="C375" t="str">
            <v>RO0545</v>
          </cell>
          <cell r="D375" t="str">
            <v>13:собст. железобетонный столб с заглубленным фундаментом</v>
          </cell>
          <cell r="E375" t="str">
            <v>Ростовская Область, Октябрьский Район, Заплавская Станица, Кузнечный Переулок\1-б</v>
          </cell>
          <cell r="F375">
            <v>2.2200000000000002</v>
          </cell>
          <cell r="G375" t="str">
            <v>Осн.</v>
          </cell>
          <cell r="H375" t="str">
            <v>Ростовская</v>
          </cell>
          <cell r="I375">
            <v>61</v>
          </cell>
        </row>
        <row r="376">
          <cell r="C376" t="str">
            <v>RO0546</v>
          </cell>
          <cell r="D376" t="str">
            <v>13:собст. железобетонный столб с заглубленным фундаментом</v>
          </cell>
          <cell r="E376" t="str">
            <v>Ростовская Область, Новочеркасск Город, Мелиховская Улица\2</v>
          </cell>
          <cell r="F376">
            <v>2.14</v>
          </cell>
          <cell r="G376" t="str">
            <v>Осн.</v>
          </cell>
          <cell r="H376" t="str">
            <v>Ростовская</v>
          </cell>
          <cell r="I376">
            <v>57</v>
          </cell>
        </row>
        <row r="377">
          <cell r="C377" t="str">
            <v>RO0547</v>
          </cell>
          <cell r="D377" t="str">
            <v>13:собст. железобетонный столб с заглубленным фундаментом</v>
          </cell>
          <cell r="E377" t="str">
            <v>Ростовская Область, Новочеркасск Город, Железнодорожная Улица, дом 14</v>
          </cell>
          <cell r="F377">
            <v>1.84</v>
          </cell>
          <cell r="G377" t="str">
            <v>Осн.</v>
          </cell>
          <cell r="H377" t="str">
            <v>Ростовская</v>
          </cell>
          <cell r="I377">
            <v>42</v>
          </cell>
        </row>
        <row r="378">
          <cell r="C378" t="str">
            <v>RO0548</v>
          </cell>
          <cell r="D378" t="str">
            <v>13:собст. железобетонный столб с заглубленным фундаментом</v>
          </cell>
          <cell r="E378" t="str">
            <v>Ростовская Область, Аксайский Район, Мишкинская Станица\за зданием ДК</v>
          </cell>
          <cell r="F378">
            <v>1.62</v>
          </cell>
          <cell r="G378" t="str">
            <v>Осн.</v>
          </cell>
          <cell r="H378" t="str">
            <v>Ростовская</v>
          </cell>
          <cell r="I378">
            <v>31</v>
          </cell>
        </row>
        <row r="379">
          <cell r="C379" t="str">
            <v>RO0549</v>
          </cell>
          <cell r="D379" t="str">
            <v>13:собст. железобетонный столб с заглубленным фундаментом</v>
          </cell>
          <cell r="E379" t="str">
            <v>Ростовская Область, Октябрьский Район, Кривянская Станица, Багаевская Улица\4</v>
          </cell>
          <cell r="F379">
            <v>2.04</v>
          </cell>
          <cell r="G379" t="str">
            <v>Осн.</v>
          </cell>
          <cell r="H379" t="str">
            <v>Ростовская</v>
          </cell>
          <cell r="I379">
            <v>52</v>
          </cell>
        </row>
        <row r="380">
          <cell r="C380" t="str">
            <v>RO0550</v>
          </cell>
          <cell r="D380" t="str">
            <v>15:собст. башня с заглубленным фундаментом до 61м</v>
          </cell>
          <cell r="E380" t="str">
            <v>Ростовская Область, Аксайский Район, Грушевская Станица\61:02:0600002:618</v>
          </cell>
          <cell r="F380">
            <v>1.76</v>
          </cell>
          <cell r="G380" t="str">
            <v>Осн.</v>
          </cell>
          <cell r="H380" t="str">
            <v>Ростовская</v>
          </cell>
          <cell r="I380">
            <v>38</v>
          </cell>
        </row>
        <row r="381">
          <cell r="C381" t="str">
            <v>RO0552</v>
          </cell>
          <cell r="D381" t="str">
            <v>31:трубостойки на чужой АМС на земле/крыше</v>
          </cell>
          <cell r="E381" t="str">
            <v>Ростовская Область, Шахты Город, Телеграфная Улица, дом 20А</v>
          </cell>
          <cell r="F381">
            <v>2.54</v>
          </cell>
          <cell r="G381" t="str">
            <v>Осн.</v>
          </cell>
          <cell r="H381" t="str">
            <v>Ростовская</v>
          </cell>
          <cell r="I381">
            <v>77</v>
          </cell>
        </row>
        <row r="382">
          <cell r="C382" t="str">
            <v>RO0553</v>
          </cell>
          <cell r="D382" t="str">
            <v>13:собст. железобетонный столб с заглубленным фундаментом</v>
          </cell>
          <cell r="E382" t="str">
            <v>Ростовская Область, Красносулинский Район, Черевково Поселок, Трудовая Улица\в 140 м на юг от дома 18</v>
          </cell>
          <cell r="F382">
            <v>3.08</v>
          </cell>
          <cell r="G382" t="str">
            <v>Осн.</v>
          </cell>
          <cell r="H382" t="str">
            <v>Ростовская</v>
          </cell>
          <cell r="I382">
            <v>104</v>
          </cell>
        </row>
        <row r="383">
          <cell r="C383" t="str">
            <v>RO0554</v>
          </cell>
          <cell r="D383" t="str">
            <v>31:трубостойки на чужой АМС на земле/крыше</v>
          </cell>
          <cell r="E383" t="str">
            <v>Ростовская Область, Миллеровский Район, Криворожье Слобода\с южной стороны</v>
          </cell>
          <cell r="F383">
            <v>3</v>
          </cell>
          <cell r="G383" t="str">
            <v>Осн.</v>
          </cell>
          <cell r="H383" t="str">
            <v>Каменская</v>
          </cell>
          <cell r="I383">
            <v>100</v>
          </cell>
        </row>
        <row r="384">
          <cell r="C384" t="str">
            <v>RO0555</v>
          </cell>
          <cell r="D384" t="str">
            <v>15:собст. башня с заглубленным фундаментом до 61м</v>
          </cell>
          <cell r="E384" t="str">
            <v>Ростовская Область, Новочеркасск Город, Центральная Улица\1/7</v>
          </cell>
          <cell r="F384">
            <v>1.76</v>
          </cell>
          <cell r="G384" t="str">
            <v>Осн.</v>
          </cell>
          <cell r="H384" t="str">
            <v>Ростовская</v>
          </cell>
          <cell r="I384">
            <v>38</v>
          </cell>
        </row>
        <row r="385">
          <cell r="C385" t="str">
            <v>RO0556</v>
          </cell>
          <cell r="D385" t="str">
            <v>31:трубостойки на чужой АМС на земле/крыше</v>
          </cell>
          <cell r="E385" t="str">
            <v>Ростовская Область, Октябрьский Район, Новоперсиановка Поселок, Центральная Улица\46</v>
          </cell>
          <cell r="F385">
            <v>1.9</v>
          </cell>
          <cell r="G385" t="str">
            <v>Осн.</v>
          </cell>
          <cell r="H385" t="str">
            <v>Ростовская</v>
          </cell>
          <cell r="I385">
            <v>45</v>
          </cell>
        </row>
        <row r="386">
          <cell r="C386" t="str">
            <v>RO0557</v>
          </cell>
          <cell r="D386" t="str">
            <v>13:собст. железобетонный столб с заглубленным фундаментом</v>
          </cell>
          <cell r="E386" t="str">
            <v>Ростовская Область, Октябрьский Район, Верхнегрушевский Поселок, Школьная Улица\21</v>
          </cell>
          <cell r="F386">
            <v>2.2200000000000002</v>
          </cell>
          <cell r="G386" t="str">
            <v>Осн.</v>
          </cell>
          <cell r="H386" t="str">
            <v>Ростовская</v>
          </cell>
          <cell r="I386">
            <v>61</v>
          </cell>
        </row>
        <row r="387">
          <cell r="C387" t="str">
            <v>RO0558</v>
          </cell>
          <cell r="D387" t="str">
            <v>31:трубостойки на чужой АМС на земле/крыше</v>
          </cell>
          <cell r="E387" t="str">
            <v>Ростовская Область, Октябрьский Район, Керчик-Савров Хутор, Степной Переулок</v>
          </cell>
          <cell r="F387">
            <v>3.38</v>
          </cell>
          <cell r="G387" t="str">
            <v>Осн.</v>
          </cell>
          <cell r="H387" t="str">
            <v>Ростовская</v>
          </cell>
          <cell r="I387">
            <v>119</v>
          </cell>
        </row>
        <row r="388">
          <cell r="C388" t="str">
            <v>RO0560</v>
          </cell>
          <cell r="D388" t="str">
            <v>13:собст. железобетонный столб с заглубленным фундаментом</v>
          </cell>
          <cell r="E388" t="str">
            <v>Ростовская Область, Аксайский Район, Щепкин Поселок, Строителей Улица, дом 34</v>
          </cell>
          <cell r="F388">
            <v>1.4</v>
          </cell>
          <cell r="G388" t="str">
            <v>Осн.</v>
          </cell>
          <cell r="H388" t="str">
            <v>Ростовская</v>
          </cell>
          <cell r="I388">
            <v>22</v>
          </cell>
        </row>
        <row r="389">
          <cell r="C389" t="str">
            <v>RO0561</v>
          </cell>
          <cell r="D389" t="str">
            <v>32:трубостойки/АМС на: трубе, элеваторе, водонап.башне</v>
          </cell>
          <cell r="E389" t="str">
            <v>Ростовская Область, Аксайский Район, Октябрьский Поселок, Тепличная Улица\1</v>
          </cell>
          <cell r="F389">
            <v>1.7</v>
          </cell>
          <cell r="G389" t="str">
            <v>Осн.</v>
          </cell>
          <cell r="H389" t="str">
            <v>Ростовская</v>
          </cell>
          <cell r="I389">
            <v>35</v>
          </cell>
        </row>
        <row r="390">
          <cell r="C390" t="str">
            <v>RO0563</v>
          </cell>
          <cell r="D390" t="str">
            <v>13:собст. железобетонный столб с заглубленным фундаментом</v>
          </cell>
          <cell r="E390" t="str">
            <v>Ростовская Область, Шахты Город, Кольчугина Переулок\101</v>
          </cell>
          <cell r="F390">
            <v>2.64</v>
          </cell>
          <cell r="G390" t="str">
            <v>Осн.</v>
          </cell>
          <cell r="H390" t="str">
            <v>Ростовская</v>
          </cell>
          <cell r="I390">
            <v>82</v>
          </cell>
        </row>
        <row r="391">
          <cell r="C391" t="str">
            <v>RO0564</v>
          </cell>
          <cell r="D391" t="str">
            <v>14:собст. пригруз(мачта, башня, столб) с земли</v>
          </cell>
          <cell r="E391" t="str">
            <v>Ростовская Область, Каменский Район, Волченский Хутор, Молодежная Улица\в районе дома 65</v>
          </cell>
          <cell r="F391">
            <v>1.4</v>
          </cell>
          <cell r="G391" t="str">
            <v>Осн.</v>
          </cell>
          <cell r="H391" t="str">
            <v>Каменская</v>
          </cell>
          <cell r="I391">
            <v>20</v>
          </cell>
        </row>
        <row r="392">
          <cell r="C392" t="str">
            <v>RO0565</v>
          </cell>
          <cell r="D392" t="str">
            <v>14:собст. пригруз(мачта, башня, столб) с земли</v>
          </cell>
          <cell r="E392" t="str">
            <v>Ростовская Область, Октябрьский Район, Алексеевка Село, Школьная Улица\номерной знак 20а</v>
          </cell>
          <cell r="F392">
            <v>2.48</v>
          </cell>
          <cell r="G392" t="str">
            <v>Осн.</v>
          </cell>
          <cell r="H392" t="str">
            <v>Ростовская</v>
          </cell>
          <cell r="I392">
            <v>74</v>
          </cell>
        </row>
        <row r="393">
          <cell r="C393" t="str">
            <v>RO0566</v>
          </cell>
          <cell r="D393" t="str">
            <v>13:собст. железобетонный столб с заглубленным фундаментом</v>
          </cell>
          <cell r="E393" t="str">
            <v>Ростовская Область, Новошахтинск Город, Казахстанская Улица\20 в</v>
          </cell>
          <cell r="F393">
            <v>2.72</v>
          </cell>
          <cell r="G393" t="str">
            <v>Осн.</v>
          </cell>
          <cell r="H393" t="str">
            <v>Ростовская</v>
          </cell>
          <cell r="I393">
            <v>86</v>
          </cell>
        </row>
        <row r="394">
          <cell r="C394" t="str">
            <v>RO0567</v>
          </cell>
          <cell r="D394" t="str">
            <v>15:собст. башня с заглубленным фундаментом до 61м</v>
          </cell>
          <cell r="E394" t="str">
            <v>Ростовская Область, Красносулинский Район, Лихой Хутор, Ленина Улица\65</v>
          </cell>
          <cell r="F394">
            <v>1.5</v>
          </cell>
          <cell r="G394" t="str">
            <v>Осн.</v>
          </cell>
          <cell r="H394" t="str">
            <v>Каменская</v>
          </cell>
          <cell r="I394">
            <v>25</v>
          </cell>
        </row>
        <row r="395">
          <cell r="C395" t="str">
            <v>RO0569</v>
          </cell>
          <cell r="D395" t="str">
            <v>33:трубостойки, АМС инфраструктурного оператора</v>
          </cell>
          <cell r="E395" t="str">
            <v>Ростовская Область, Новочеркасск Город, Гвардейская Улица, дом 9</v>
          </cell>
          <cell r="F395">
            <v>2</v>
          </cell>
          <cell r="G395" t="str">
            <v>Осн.</v>
          </cell>
          <cell r="H395" t="str">
            <v>Ростовская</v>
          </cell>
          <cell r="I395">
            <v>50</v>
          </cell>
        </row>
        <row r="396">
          <cell r="C396" t="str">
            <v>RO0570</v>
          </cell>
          <cell r="D396" t="str">
            <v>15:собст. башня с заглубленным фундаментом до 61м</v>
          </cell>
          <cell r="E396" t="str">
            <v>Ростовская Область, Багаевский Район\1 км восточнее хутора Арпачин, башня ЗАО "РОСС"</v>
          </cell>
          <cell r="F396">
            <v>2.46</v>
          </cell>
          <cell r="G396" t="str">
            <v>Осн.</v>
          </cell>
          <cell r="H396" t="str">
            <v>Ростовская</v>
          </cell>
          <cell r="I396">
            <v>73</v>
          </cell>
        </row>
        <row r="397">
          <cell r="C397" t="str">
            <v>RO0571</v>
          </cell>
          <cell r="D397" t="str">
            <v>13:собст. железобетонный столб с заглубленным фундаментом</v>
          </cell>
          <cell r="E397" t="str">
            <v>Ростовская Область, Гуково Город, Комсомольская Улица, дом 46</v>
          </cell>
          <cell r="F397">
            <v>2.08</v>
          </cell>
          <cell r="G397" t="str">
            <v>Осн.</v>
          </cell>
          <cell r="H397" t="str">
            <v>Каменская</v>
          </cell>
          <cell r="I397">
            <v>54</v>
          </cell>
        </row>
        <row r="398">
          <cell r="C398" t="str">
            <v>RO0572</v>
          </cell>
          <cell r="D398" t="str">
            <v>13:собст. железобетонный столб с заглубленным фундаментом</v>
          </cell>
          <cell r="E398" t="str">
            <v>Ростовская Область, Багаевский Район, Елкин Хутор, Центральный Переулок\47-Б</v>
          </cell>
          <cell r="F398">
            <v>2.72</v>
          </cell>
          <cell r="G398" t="str">
            <v>Осн.</v>
          </cell>
          <cell r="H398" t="str">
            <v>Ростовская</v>
          </cell>
          <cell r="I398">
            <v>86</v>
          </cell>
        </row>
        <row r="399">
          <cell r="C399" t="str">
            <v>RO0573</v>
          </cell>
          <cell r="D399" t="str">
            <v>31:трубостойки на чужой АМС на земле/крыше</v>
          </cell>
          <cell r="E399" t="str">
            <v>Ростовская Область, Октябрьский Район, Нижнедонской Поселок, Ленина Улица\250 м на запад от дома 2</v>
          </cell>
          <cell r="F399">
            <v>3</v>
          </cell>
          <cell r="G399" t="str">
            <v>Осн.</v>
          </cell>
          <cell r="H399" t="str">
            <v>Ростовская</v>
          </cell>
          <cell r="I399">
            <v>100</v>
          </cell>
        </row>
        <row r="400">
          <cell r="C400" t="str">
            <v>RO0574</v>
          </cell>
          <cell r="D400" t="str">
            <v>13:собст. железобетонный столб с заглубленным фундаментом</v>
          </cell>
          <cell r="E400" t="str">
            <v>Ростовская Область, Октябрьский Район, Персиановский Поселок, Московская Улица\д. 30</v>
          </cell>
          <cell r="F400">
            <v>2.08</v>
          </cell>
          <cell r="G400" t="str">
            <v>Осн.</v>
          </cell>
          <cell r="H400" t="str">
            <v>Ростовская</v>
          </cell>
          <cell r="I400">
            <v>54</v>
          </cell>
        </row>
        <row r="401">
          <cell r="C401" t="str">
            <v>RO0575</v>
          </cell>
          <cell r="D401" t="str">
            <v>13:собст. железобетонный столб с заглубленным фундаментом</v>
          </cell>
          <cell r="E401" t="str">
            <v>Ростовская Область, Октябрьский Район, Новозарянский Поселок, Транспортная Улица\8 б</v>
          </cell>
          <cell r="F401">
            <v>3.1</v>
          </cell>
          <cell r="G401" t="str">
            <v>Осн.</v>
          </cell>
          <cell r="H401" t="str">
            <v>Ростовская</v>
          </cell>
          <cell r="I401">
            <v>105</v>
          </cell>
        </row>
        <row r="402">
          <cell r="C402" t="str">
            <v>RO0576</v>
          </cell>
          <cell r="D402" t="str">
            <v>14:собст. пригруз(мачта, башня, столб) с земли</v>
          </cell>
          <cell r="E402" t="str">
            <v>Ростовская Область, Октябрьский Район, Красный Кут Хутор\на въезде в населенный пункт</v>
          </cell>
          <cell r="F402">
            <v>2.5</v>
          </cell>
          <cell r="G402" t="str">
            <v>Осн.</v>
          </cell>
          <cell r="H402" t="str">
            <v>Ростовская</v>
          </cell>
          <cell r="I402">
            <v>75</v>
          </cell>
        </row>
        <row r="403">
          <cell r="C403" t="str">
            <v>RO0577</v>
          </cell>
          <cell r="D403" t="str">
            <v>13:собст. железобетонный столб с заглубленным фундаментом</v>
          </cell>
          <cell r="E403" t="str">
            <v>Ростовская Область, Октябрьский Район, Ильичевка Хутор, Победы Революции Улица, дом 186\а</v>
          </cell>
          <cell r="F403">
            <v>2.7</v>
          </cell>
          <cell r="G403" t="str">
            <v>Осн.</v>
          </cell>
          <cell r="H403" t="str">
            <v>Ростовская</v>
          </cell>
          <cell r="I403">
            <v>85</v>
          </cell>
        </row>
        <row r="404">
          <cell r="C404" t="str">
            <v>RO0578</v>
          </cell>
          <cell r="D404" t="str">
            <v>15:собст. башня с заглубленным фундаментом до 61м</v>
          </cell>
          <cell r="E404" t="str">
            <v>Ростовская Область, Новошахтинск Город, Харьковская Улица, дом 4\литер Ц</v>
          </cell>
          <cell r="F404">
            <v>2.64</v>
          </cell>
          <cell r="G404" t="str">
            <v>Осн.</v>
          </cell>
          <cell r="H404" t="str">
            <v>Ростовская</v>
          </cell>
          <cell r="I404">
            <v>82</v>
          </cell>
        </row>
        <row r="405">
          <cell r="C405" t="str">
            <v>RO0579</v>
          </cell>
          <cell r="D405" t="str">
            <v>15:собст. башня с заглубленным фундаментом до 61м</v>
          </cell>
          <cell r="E405" t="str">
            <v>Ростовская Область, Октябрьский Район, Маркин Хутор, Шоссейная Улица\дом 1</v>
          </cell>
          <cell r="F405">
            <v>2.96</v>
          </cell>
          <cell r="G405" t="str">
            <v>Осн.</v>
          </cell>
          <cell r="H405" t="str">
            <v>Ростовская</v>
          </cell>
          <cell r="I405">
            <v>98</v>
          </cell>
        </row>
        <row r="406">
          <cell r="C406" t="str">
            <v>RO0580</v>
          </cell>
          <cell r="D406" t="str">
            <v>13:собст. железобетонный столб с заглубленным фундаментом</v>
          </cell>
          <cell r="E406" t="str">
            <v>Ростовская Область, Новошахтинск Город, Плодовая Улица\дом 1, литер Г</v>
          </cell>
          <cell r="F406">
            <v>2.8</v>
          </cell>
          <cell r="G406" t="str">
            <v>Осн.</v>
          </cell>
          <cell r="H406" t="str">
            <v>Ростовская</v>
          </cell>
          <cell r="I406">
            <v>90</v>
          </cell>
        </row>
        <row r="407">
          <cell r="C407" t="str">
            <v>RO0581</v>
          </cell>
          <cell r="D407" t="str">
            <v>13:собст. железобетонный столб с заглубленным фундаментом</v>
          </cell>
          <cell r="E407" t="str">
            <v>Ростовская Область, Гуково Город, Алмаз Дачный поселок\улица Школьная, дом 8</v>
          </cell>
          <cell r="F407">
            <v>2.04</v>
          </cell>
          <cell r="G407" t="str">
            <v>Осн.</v>
          </cell>
          <cell r="H407" t="str">
            <v>Каменская</v>
          </cell>
          <cell r="I407">
            <v>52</v>
          </cell>
        </row>
        <row r="408">
          <cell r="C408" t="str">
            <v>RO0582</v>
          </cell>
          <cell r="D408" t="str">
            <v>13:собст. железобетонный столб с заглубленным фундаментом</v>
          </cell>
          <cell r="E408" t="str">
            <v>Ростовская Область, Шахты Город, Дачная Улица, дом 329</v>
          </cell>
          <cell r="F408">
            <v>2.4</v>
          </cell>
          <cell r="G408" t="str">
            <v>Осн.</v>
          </cell>
          <cell r="H408" t="str">
            <v>Ростовская</v>
          </cell>
          <cell r="I408">
            <v>70</v>
          </cell>
        </row>
        <row r="409">
          <cell r="C409" t="str">
            <v>RO0583</v>
          </cell>
          <cell r="D409" t="str">
            <v>16:собст. башня с заглубленным фундаментом выше 61м</v>
          </cell>
          <cell r="E409" t="str">
            <v>Ростовская Область, Шахты Город, Чернокозова Проспект, дом 216\б</v>
          </cell>
          <cell r="F409">
            <v>2.5</v>
          </cell>
          <cell r="G409" t="str">
            <v>Осн.</v>
          </cell>
          <cell r="H409" t="str">
            <v>Ростовская</v>
          </cell>
          <cell r="I409">
            <v>75</v>
          </cell>
        </row>
        <row r="410">
          <cell r="C410" t="str">
            <v>RO0584</v>
          </cell>
          <cell r="D410" t="str">
            <v>13:собст. железобетонный столб с заглубленным фундаментом</v>
          </cell>
          <cell r="E410" t="str">
            <v>Ростовская Область, Шахты Город, Рыночный Переулок\дом 7, литер В</v>
          </cell>
          <cell r="F410">
            <v>2.76</v>
          </cell>
          <cell r="G410" t="str">
            <v>Осн.</v>
          </cell>
          <cell r="H410" t="str">
            <v>Ростовская</v>
          </cell>
          <cell r="I410">
            <v>88</v>
          </cell>
        </row>
        <row r="411">
          <cell r="C411" t="str">
            <v>RO0585</v>
          </cell>
          <cell r="D411" t="str">
            <v>32:трубостойки/АМС на: трубе, элеваторе, водонап.башне</v>
          </cell>
          <cell r="E411" t="str">
            <v>Ростовская Область, Донецк Город, Ульянова Улица\дом 9, литер А</v>
          </cell>
          <cell r="F411">
            <v>1.82</v>
          </cell>
          <cell r="G411" t="str">
            <v>Осн.</v>
          </cell>
          <cell r="H411" t="str">
            <v>Каменская</v>
          </cell>
          <cell r="I411">
            <v>41</v>
          </cell>
        </row>
        <row r="412">
          <cell r="C412" t="str">
            <v>RO0586</v>
          </cell>
          <cell r="D412" t="str">
            <v>31:трубостойки на чужой АМС на земле/крыше</v>
          </cell>
          <cell r="E412" t="str">
            <v>Ростовская Область, Красносулинский Район, Горный Рабочий поселок, Центральная Улица, дом 1</v>
          </cell>
          <cell r="F412">
            <v>2.66</v>
          </cell>
          <cell r="G412" t="str">
            <v>Осн.</v>
          </cell>
          <cell r="H412" t="str">
            <v>Ростовская</v>
          </cell>
          <cell r="I412">
            <v>83</v>
          </cell>
        </row>
        <row r="413">
          <cell r="C413" t="str">
            <v>RO0587</v>
          </cell>
          <cell r="D413" t="str">
            <v>21:собст. АМС до 10 м на крыше</v>
          </cell>
          <cell r="E413" t="str">
            <v>Ростовская Область, Гуково Город, Шахтерская Улица, дом 69</v>
          </cell>
          <cell r="F413">
            <v>2.14</v>
          </cell>
          <cell r="G413" t="str">
            <v>Осн.</v>
          </cell>
          <cell r="H413" t="str">
            <v>Каменская</v>
          </cell>
          <cell r="I413">
            <v>57</v>
          </cell>
        </row>
        <row r="414">
          <cell r="C414" t="str">
            <v>RO0588</v>
          </cell>
          <cell r="D414" t="str">
            <v>31:трубостойки на чужой АМС на земле/крыше</v>
          </cell>
          <cell r="E414" t="str">
            <v>Ростовская Область, Красносулинский Район, Красный Сулин Город, Гагарина Улица, дом 122</v>
          </cell>
          <cell r="F414">
            <v>2.88</v>
          </cell>
          <cell r="G414" t="str">
            <v>Осн.</v>
          </cell>
          <cell r="H414" t="str">
            <v>Ростовская</v>
          </cell>
          <cell r="I414">
            <v>94</v>
          </cell>
        </row>
        <row r="415">
          <cell r="C415" t="str">
            <v>RO0589</v>
          </cell>
          <cell r="D415" t="str">
            <v>13:собст. железобетонный столб с заглубленным фундаментом</v>
          </cell>
          <cell r="E415" t="str">
            <v>Ростовская Область, Шахты Город, Аэрофлотская Улица\дом 1</v>
          </cell>
          <cell r="F415">
            <v>2.66</v>
          </cell>
          <cell r="G415" t="str">
            <v>Осн.</v>
          </cell>
          <cell r="H415" t="str">
            <v>Ростовская</v>
          </cell>
          <cell r="I415">
            <v>83</v>
          </cell>
        </row>
        <row r="416">
          <cell r="C416" t="str">
            <v>RO0590</v>
          </cell>
          <cell r="D416" t="str">
            <v>22:собст. АМС выше 10 м на крыше</v>
          </cell>
          <cell r="E416" t="str">
            <v>Ростовская Область, Аксайский Район, Рассвет Поселок\ДЗНИИСХ</v>
          </cell>
          <cell r="F416">
            <v>1.52</v>
          </cell>
          <cell r="G416" t="str">
            <v>Осн.</v>
          </cell>
          <cell r="H416" t="str">
            <v>Ростовская</v>
          </cell>
          <cell r="I416">
            <v>26</v>
          </cell>
        </row>
        <row r="417">
          <cell r="C417" t="str">
            <v>RO0591</v>
          </cell>
          <cell r="D417" t="str">
            <v>15:собст. башня с заглубленным фундаментом до 61м</v>
          </cell>
          <cell r="E417" t="str">
            <v>Ростовская Область, Октябрьский Район, Аюта Хутор, Заповедная Улица\73</v>
          </cell>
          <cell r="F417">
            <v>2.1</v>
          </cell>
          <cell r="G417" t="str">
            <v>Осн.</v>
          </cell>
          <cell r="H417" t="str">
            <v>Ростовская</v>
          </cell>
          <cell r="I417">
            <v>55</v>
          </cell>
        </row>
        <row r="418">
          <cell r="C418" t="str">
            <v>RO0592</v>
          </cell>
          <cell r="D418" t="str">
            <v>31:трубостойки на чужой АМС на земле/крыше</v>
          </cell>
          <cell r="E418" t="str">
            <v>Ростовская Область, Новошахтинск Город\поселок Самбек, улица Мориса Тореза, дом 20</v>
          </cell>
          <cell r="F418">
            <v>2.36</v>
          </cell>
          <cell r="G418" t="str">
            <v>Осн.</v>
          </cell>
          <cell r="H418" t="str">
            <v>Ростовская</v>
          </cell>
          <cell r="I418">
            <v>68</v>
          </cell>
        </row>
        <row r="419">
          <cell r="C419" t="str">
            <v>RO0593</v>
          </cell>
          <cell r="D419" t="str">
            <v>13:собст. железобетонный столб с заглубленным фундаментом</v>
          </cell>
          <cell r="E419" t="str">
            <v>Ростовская Область, Красносулинский Район, Красный Сулин Город, Чкалова Улица, дом 92б</v>
          </cell>
          <cell r="F419">
            <v>2.94</v>
          </cell>
          <cell r="G419" t="str">
            <v>Осн.</v>
          </cell>
          <cell r="H419" t="str">
            <v>Ростовская</v>
          </cell>
          <cell r="I419">
            <v>97</v>
          </cell>
        </row>
        <row r="420">
          <cell r="C420" t="str">
            <v>RO0594</v>
          </cell>
          <cell r="D420" t="str">
            <v>13:собст. железобетонный столб с заглубленным фундаментом</v>
          </cell>
          <cell r="E420" t="str">
            <v>Ростовская Область, Гуково Город, Волгодонская Улица, дом 9\а</v>
          </cell>
          <cell r="F420">
            <v>2.2799999999999998</v>
          </cell>
          <cell r="G420" t="str">
            <v>Осн.</v>
          </cell>
          <cell r="H420" t="str">
            <v>Каменская</v>
          </cell>
          <cell r="I420">
            <v>64</v>
          </cell>
        </row>
        <row r="421">
          <cell r="C421" t="str">
            <v>RO0595</v>
          </cell>
          <cell r="D421" t="str">
            <v>13:собст. железобетонный столб с заглубленным фундаментом</v>
          </cell>
          <cell r="E421" t="str">
            <v>Ростовская Область, Красносулинский Район, Коминтерн Хутор</v>
          </cell>
          <cell r="F421">
            <v>2.2799999999999998</v>
          </cell>
          <cell r="G421" t="str">
            <v>Осн.</v>
          </cell>
          <cell r="H421" t="str">
            <v>Каменская</v>
          </cell>
          <cell r="I421">
            <v>64</v>
          </cell>
        </row>
        <row r="422">
          <cell r="C422" t="str">
            <v>RO0596</v>
          </cell>
          <cell r="D422" t="str">
            <v>13:собст. железобетонный столб с заглубленным фундаментом</v>
          </cell>
          <cell r="E422" t="str">
            <v>Ростовская Область, Гуково Город, Ленина Улица, дом 39а</v>
          </cell>
          <cell r="F422">
            <v>2.16</v>
          </cell>
          <cell r="G422" t="str">
            <v>Осн.</v>
          </cell>
          <cell r="H422" t="str">
            <v>Каменская</v>
          </cell>
          <cell r="I422">
            <v>58</v>
          </cell>
        </row>
        <row r="423">
          <cell r="C423" t="str">
            <v>RO0597</v>
          </cell>
          <cell r="D423" t="str">
            <v>13:собст. железобетонный столб с заглубленным фундаментом</v>
          </cell>
          <cell r="E423" t="str">
            <v>Ростовская Область, Каменский Район, Красновка Хутор, Профильная Улица\дом 123</v>
          </cell>
          <cell r="F423">
            <v>1.1399999999999999</v>
          </cell>
          <cell r="G423" t="str">
            <v>Осн.</v>
          </cell>
          <cell r="H423" t="str">
            <v>Каменская</v>
          </cell>
          <cell r="I423">
            <v>7</v>
          </cell>
        </row>
        <row r="424">
          <cell r="C424" t="str">
            <v>RO0598</v>
          </cell>
          <cell r="D424" t="str">
            <v>13:собст. железобетонный столб с заглубленным фундаментом</v>
          </cell>
          <cell r="E424" t="str">
            <v>Ростовская Область, Шахты Город\поселок Новокадамово, пересечение улицы Шоссейная и улицы Тынянова</v>
          </cell>
          <cell r="F424">
            <v>2.92</v>
          </cell>
          <cell r="G424" t="str">
            <v>Осн.</v>
          </cell>
          <cell r="H424" t="str">
            <v>Ростовская</v>
          </cell>
          <cell r="I424">
            <v>96</v>
          </cell>
        </row>
        <row r="425">
          <cell r="C425" t="str">
            <v>RO0599</v>
          </cell>
          <cell r="D425" t="str">
            <v>13:собст. железобетонный столб с заглубленным фундаментом</v>
          </cell>
          <cell r="E425" t="str">
            <v>Ростовская Область, Шахты Город, Сокольнический Переулок\дом 17, литер А</v>
          </cell>
          <cell r="F425">
            <v>2.66</v>
          </cell>
          <cell r="G425" t="str">
            <v>Осн.</v>
          </cell>
          <cell r="H425" t="str">
            <v>Ростовская</v>
          </cell>
          <cell r="I425">
            <v>83</v>
          </cell>
        </row>
        <row r="426">
          <cell r="C426" t="str">
            <v>RO0600</v>
          </cell>
          <cell r="D426" t="str">
            <v>31:трубостойки на чужой АМС на земле/крыше</v>
          </cell>
          <cell r="E426" t="str">
            <v>Ростовская Область, Шахты Город, Советская Улица\112</v>
          </cell>
          <cell r="F426">
            <v>2.56</v>
          </cell>
          <cell r="G426" t="str">
            <v>Осн.</v>
          </cell>
          <cell r="H426" t="str">
            <v>Ростовская</v>
          </cell>
          <cell r="I426">
            <v>78</v>
          </cell>
        </row>
        <row r="427">
          <cell r="C427" t="str">
            <v>RO0601</v>
          </cell>
          <cell r="D427" t="str">
            <v>31:трубостойки на чужой АМС на земле/крыше</v>
          </cell>
          <cell r="E427" t="str">
            <v>Ростовская Область, Шахты Город, Победа Революции Проспект, дом 63</v>
          </cell>
          <cell r="F427">
            <v>2.54</v>
          </cell>
          <cell r="G427" t="str">
            <v>Осн.</v>
          </cell>
          <cell r="H427" t="str">
            <v>Ростовская</v>
          </cell>
          <cell r="I427">
            <v>77</v>
          </cell>
        </row>
        <row r="428">
          <cell r="C428" t="str">
            <v>RO0602</v>
          </cell>
          <cell r="D428" t="str">
            <v>33:трубостойки, АМС инфраструктурного оператора</v>
          </cell>
          <cell r="E428" t="str">
            <v>Ростовская Область, Шахты Город, Шевченко Улица, дом 180</v>
          </cell>
          <cell r="F428">
            <v>2.5</v>
          </cell>
          <cell r="G428" t="str">
            <v>Осн.</v>
          </cell>
          <cell r="H428" t="str">
            <v>Ростовская</v>
          </cell>
          <cell r="I428">
            <v>75</v>
          </cell>
        </row>
        <row r="429">
          <cell r="C429" t="str">
            <v>RO0603</v>
          </cell>
          <cell r="D429" t="str">
            <v>21:собст. АМС до 10 м на крыше</v>
          </cell>
          <cell r="E429" t="str">
            <v>Ростовская Область, Шахты Город, Горняцкая Улица\93</v>
          </cell>
          <cell r="F429">
            <v>2.74</v>
          </cell>
          <cell r="G429" t="str">
            <v>Осн.</v>
          </cell>
          <cell r="H429" t="str">
            <v>Ростовская</v>
          </cell>
          <cell r="I429">
            <v>87</v>
          </cell>
        </row>
        <row r="430">
          <cell r="C430" t="str">
            <v>RO0604</v>
          </cell>
          <cell r="D430" t="str">
            <v>22:собст. АМС выше 10 м на крыше</v>
          </cell>
          <cell r="E430" t="str">
            <v>Ростовская Область, Шахты Город, Текстильная Улица\15</v>
          </cell>
          <cell r="F430">
            <v>2.6</v>
          </cell>
          <cell r="G430" t="str">
            <v>Осн.</v>
          </cell>
          <cell r="H430" t="str">
            <v>Ростовская</v>
          </cell>
          <cell r="I430">
            <v>80</v>
          </cell>
        </row>
        <row r="431">
          <cell r="C431" t="str">
            <v>RO0605</v>
          </cell>
          <cell r="D431" t="str">
            <v>13:собст. железобетонный столб с заглубленным фундаментом</v>
          </cell>
          <cell r="E431" t="str">
            <v>Ростовская Область, Шахты Город, Тбилисская Улица\1А</v>
          </cell>
          <cell r="F431">
            <v>2.56</v>
          </cell>
          <cell r="G431" t="str">
            <v>Осн.</v>
          </cell>
          <cell r="H431" t="str">
            <v>Ростовская</v>
          </cell>
          <cell r="I431">
            <v>78</v>
          </cell>
        </row>
        <row r="432">
          <cell r="C432" t="str">
            <v>RO0606</v>
          </cell>
          <cell r="D432" t="str">
            <v>13:собст. железобетонный столб с заглубленным фундаментом</v>
          </cell>
          <cell r="E432" t="str">
            <v>Ростовская Область, Октябрьский Район, Каменоломни Рабочий поселок, Шоссейный Переулок\1</v>
          </cell>
          <cell r="F432">
            <v>2.56</v>
          </cell>
          <cell r="G432" t="str">
            <v>Осн.</v>
          </cell>
          <cell r="H432" t="str">
            <v>Ростовская</v>
          </cell>
          <cell r="I432">
            <v>78</v>
          </cell>
        </row>
        <row r="433">
          <cell r="C433" t="str">
            <v>RO0607</v>
          </cell>
          <cell r="D433" t="str">
            <v>31:трубостойки на чужой АМС на земле/крыше</v>
          </cell>
          <cell r="E433" t="str">
            <v>Ростовская Область, Новошахтинск Город, Горняцкая Улица\21</v>
          </cell>
          <cell r="F433">
            <v>2.62</v>
          </cell>
          <cell r="G433" t="str">
            <v>Осн.</v>
          </cell>
          <cell r="H433" t="str">
            <v>Ростовская</v>
          </cell>
          <cell r="I433">
            <v>81</v>
          </cell>
        </row>
        <row r="434">
          <cell r="C434" t="str">
            <v>RO0608</v>
          </cell>
          <cell r="D434" t="str">
            <v>22:собст. АМС выше 10 м на крыше</v>
          </cell>
          <cell r="E434" t="str">
            <v>Ростовская Область, Шахты Город, Устинова Улица, дом 41\А</v>
          </cell>
          <cell r="F434">
            <v>2.36</v>
          </cell>
          <cell r="G434" t="str">
            <v>Осн.</v>
          </cell>
          <cell r="H434" t="str">
            <v>Ростовская</v>
          </cell>
          <cell r="I434">
            <v>68</v>
          </cell>
        </row>
        <row r="435">
          <cell r="C435" t="str">
            <v>RO0609</v>
          </cell>
          <cell r="D435" t="str">
            <v>31:трубостойки на чужой АМС на земле/крыше</v>
          </cell>
          <cell r="E435" t="str">
            <v>Ростовская Область, Гуково Город, Шахтерская Улица, дом 40</v>
          </cell>
          <cell r="F435">
            <v>2</v>
          </cell>
          <cell r="G435" t="str">
            <v>Осн.</v>
          </cell>
          <cell r="H435" t="str">
            <v>Каменская</v>
          </cell>
          <cell r="I435">
            <v>50</v>
          </cell>
        </row>
        <row r="436">
          <cell r="C436" t="str">
            <v>RO0610</v>
          </cell>
          <cell r="D436" t="str">
            <v>32:трубостойки/АМС на: трубе, элеваторе, водонап.башне</v>
          </cell>
          <cell r="E436" t="str">
            <v>Ростовская Область, Шахты Город, Мелиховская Улица, дом 1М</v>
          </cell>
          <cell r="F436">
            <v>2.8</v>
          </cell>
          <cell r="G436" t="str">
            <v>Осн.</v>
          </cell>
          <cell r="H436" t="str">
            <v>Ростовская</v>
          </cell>
          <cell r="I436">
            <v>90</v>
          </cell>
        </row>
        <row r="437">
          <cell r="C437" t="str">
            <v>RO0611</v>
          </cell>
          <cell r="D437" t="str">
            <v>22:собст. АМС выше 10 м на крыше</v>
          </cell>
          <cell r="E437" t="str">
            <v>Ростовская Область, Гуково Город, Карла Маркса Улица\96</v>
          </cell>
          <cell r="F437">
            <v>2.12</v>
          </cell>
          <cell r="G437" t="str">
            <v>Осн.</v>
          </cell>
          <cell r="H437" t="str">
            <v>Каменская</v>
          </cell>
          <cell r="I437">
            <v>56</v>
          </cell>
        </row>
        <row r="438">
          <cell r="C438" t="str">
            <v>RO0612</v>
          </cell>
          <cell r="D438" t="str">
            <v>31:трубостойки на чужой АМС на земле/крыше</v>
          </cell>
          <cell r="E438" t="str">
            <v>Ростовская Область, Каменск-Шахтинский Город, Ретрансляторная Улица\1, АМС ФГУП "РТРС"</v>
          </cell>
          <cell r="F438">
            <v>1.1200000000000001</v>
          </cell>
          <cell r="G438" t="str">
            <v>Осн.</v>
          </cell>
          <cell r="H438" t="str">
            <v>Каменская</v>
          </cell>
          <cell r="I438">
            <v>6</v>
          </cell>
        </row>
        <row r="439">
          <cell r="C439" t="str">
            <v>RO0613</v>
          </cell>
          <cell r="D439" t="str">
            <v>32:трубостойки/АМС на: трубе, элеваторе, водонап.башне</v>
          </cell>
          <cell r="E439" t="str">
            <v>Ростовская Область, Каменск-Шахтинский Город, Заводская Улица, дом 58</v>
          </cell>
          <cell r="F439">
            <v>1.1000000000000001</v>
          </cell>
          <cell r="G439" t="str">
            <v>Осн.</v>
          </cell>
          <cell r="H439" t="str">
            <v>Каменская</v>
          </cell>
          <cell r="I439">
            <v>5</v>
          </cell>
        </row>
        <row r="440">
          <cell r="C440" t="str">
            <v>RO0614</v>
          </cell>
          <cell r="D440" t="str">
            <v>32:трубостойки/АМС на: трубе, элеваторе, водонап.башне</v>
          </cell>
          <cell r="E440" t="str">
            <v>Ростовская Область, Новошахтинск Город, Радио Улица\82</v>
          </cell>
          <cell r="F440">
            <v>2.72</v>
          </cell>
          <cell r="G440" t="str">
            <v>Осн.</v>
          </cell>
          <cell r="H440" t="str">
            <v>Ростовская</v>
          </cell>
          <cell r="I440">
            <v>86</v>
          </cell>
        </row>
        <row r="441">
          <cell r="C441" t="str">
            <v>RO0615</v>
          </cell>
          <cell r="D441" t="str">
            <v>31:трубостойки на чужой АМС на земле/крыше</v>
          </cell>
          <cell r="E441" t="str">
            <v>Ростовская Область, Новошахтинск Город, Привокзальная Улица, дом 132</v>
          </cell>
          <cell r="F441">
            <v>2.74</v>
          </cell>
          <cell r="G441" t="str">
            <v>Осн.</v>
          </cell>
          <cell r="H441" t="str">
            <v>Ростовская</v>
          </cell>
          <cell r="I441">
            <v>87</v>
          </cell>
        </row>
        <row r="442">
          <cell r="C442" t="str">
            <v>RO0616</v>
          </cell>
          <cell r="D442" t="str">
            <v>31:трубостойки на чужой АМС на земле/крыше</v>
          </cell>
          <cell r="E442" t="str">
            <v>Ростовская Область, Новошахтинск Город, Грессовская Улица, дом 10</v>
          </cell>
          <cell r="F442">
            <v>2.7</v>
          </cell>
          <cell r="G442" t="str">
            <v>Осн.</v>
          </cell>
          <cell r="H442" t="str">
            <v>Ростовская</v>
          </cell>
          <cell r="I442">
            <v>85</v>
          </cell>
        </row>
        <row r="443">
          <cell r="C443" t="str">
            <v>RO0617</v>
          </cell>
          <cell r="D443" t="str">
            <v>31:трубостойки на чужой АМС на земле/крыше</v>
          </cell>
          <cell r="E443" t="str">
            <v>Ростовская Область, Каменск-Шахтинский Город, Лиховской Микрорайон, Советская Улица\134</v>
          </cell>
          <cell r="F443">
            <v>1.46</v>
          </cell>
          <cell r="G443" t="str">
            <v>Осн.</v>
          </cell>
          <cell r="H443" t="str">
            <v>Каменская</v>
          </cell>
          <cell r="I443">
            <v>23</v>
          </cell>
        </row>
        <row r="444">
          <cell r="C444" t="str">
            <v>RO0618</v>
          </cell>
          <cell r="D444" t="str">
            <v>31:трубостойки на чужой АМС на земле/крыше</v>
          </cell>
          <cell r="E444" t="str">
            <v>Ростовская Область, Красносулинский Район, Красный Сулин Город, Монтажников Улица, дом 2</v>
          </cell>
          <cell r="F444">
            <v>2.9</v>
          </cell>
          <cell r="G444" t="str">
            <v>Осн.</v>
          </cell>
          <cell r="H444" t="str">
            <v>Ростовская</v>
          </cell>
          <cell r="I444">
            <v>95</v>
          </cell>
        </row>
        <row r="445">
          <cell r="C445" t="str">
            <v>RO0619</v>
          </cell>
          <cell r="D445" t="str">
            <v>22:собст. АМС выше 10 м на крыше</v>
          </cell>
          <cell r="E445" t="str">
            <v>Ростовская Область, Донецк Город, Ленина Проспект\30</v>
          </cell>
          <cell r="F445">
            <v>1.72</v>
          </cell>
          <cell r="G445" t="str">
            <v>Осн.</v>
          </cell>
          <cell r="H445" t="str">
            <v>Каменская</v>
          </cell>
          <cell r="I445">
            <v>36</v>
          </cell>
        </row>
        <row r="446">
          <cell r="C446" t="str">
            <v>RO0620</v>
          </cell>
          <cell r="D446" t="str">
            <v>32:трубостойки/АМС на: трубе, элеваторе, водонап.башне</v>
          </cell>
          <cell r="E446" t="str">
            <v>Ростовская Область, Зверево Город, Обухова Улица</v>
          </cell>
          <cell r="F446">
            <v>1.84</v>
          </cell>
          <cell r="G446" t="str">
            <v>Осн.</v>
          </cell>
          <cell r="H446" t="str">
            <v>Каменская</v>
          </cell>
          <cell r="I446">
            <v>42</v>
          </cell>
        </row>
        <row r="447">
          <cell r="C447" t="str">
            <v>RO0621</v>
          </cell>
          <cell r="D447" t="str">
            <v>31:трубостойки на чужой АМС на земле/крыше</v>
          </cell>
          <cell r="E447" t="str">
            <v>Ростовская Область, Красносулинский Район, Красный Сулин Город\РТПС</v>
          </cell>
          <cell r="F447">
            <v>3.08</v>
          </cell>
          <cell r="G447" t="str">
            <v>Осн.</v>
          </cell>
          <cell r="H447" t="str">
            <v>Ростовская</v>
          </cell>
          <cell r="I447">
            <v>104</v>
          </cell>
        </row>
        <row r="448">
          <cell r="C448" t="str">
            <v>RO0622</v>
          </cell>
          <cell r="D448" t="str">
            <v>13:собст. железобетонный столб с заглубленным фундаментом</v>
          </cell>
          <cell r="E448" t="str">
            <v>Ростовская Область, Каменск-Шахтинский Город, Карла Маркса Проспект\62</v>
          </cell>
          <cell r="F448">
            <v>1.04</v>
          </cell>
          <cell r="G448" t="str">
            <v>Осн.</v>
          </cell>
          <cell r="H448" t="str">
            <v>Каменская</v>
          </cell>
          <cell r="I448">
            <v>2</v>
          </cell>
        </row>
        <row r="449">
          <cell r="C449" t="str">
            <v>RO0623</v>
          </cell>
          <cell r="D449" t="str">
            <v>31:трубостойки на чужой АМС на земле/крыше</v>
          </cell>
          <cell r="E449" t="str">
            <v>Ростовская Область, Тарасовский Район, Тарасовский Поселок\Рудовская гора, башня ОАО "Вымпелком"</v>
          </cell>
          <cell r="F449">
            <v>2.12</v>
          </cell>
          <cell r="G449" t="str">
            <v>Осн.</v>
          </cell>
          <cell r="H449" t="str">
            <v>Каменская</v>
          </cell>
          <cell r="I449">
            <v>56</v>
          </cell>
        </row>
        <row r="450">
          <cell r="C450" t="str">
            <v>RO0624</v>
          </cell>
          <cell r="D450" t="str">
            <v>22:собст. АМС выше 10 м на крыше</v>
          </cell>
          <cell r="E450" t="str">
            <v>Ростовская Область, Шахты Город, Победа Революции Проспект, дом 111</v>
          </cell>
          <cell r="F450">
            <v>2.52</v>
          </cell>
          <cell r="G450" t="str">
            <v>Осн.</v>
          </cell>
          <cell r="H450" t="str">
            <v>Ростовская</v>
          </cell>
          <cell r="I450">
            <v>76</v>
          </cell>
        </row>
        <row r="451">
          <cell r="C451" t="str">
            <v>RO0625</v>
          </cell>
          <cell r="D451" t="str">
            <v>33:трубостойки, АМС инфраструктурного оператора</v>
          </cell>
          <cell r="E451" t="str">
            <v>Ростовская Область, Каменск-Шахтинский Город, Заводской Микрорайон, Заводская Улица\80 м. восточнее от дома №26а</v>
          </cell>
          <cell r="F451">
            <v>1.36</v>
          </cell>
          <cell r="G451" t="str">
            <v>Осн.</v>
          </cell>
          <cell r="H451" t="str">
            <v>Каменская</v>
          </cell>
          <cell r="I451">
            <v>18</v>
          </cell>
        </row>
        <row r="452">
          <cell r="C452" t="str">
            <v>RO0626</v>
          </cell>
          <cell r="D452" t="str">
            <v>32:трубостойки/АМС на: трубе, элеваторе, водонап.башне</v>
          </cell>
          <cell r="E452" t="str">
            <v>Ростовская Область, Миллеровский Район, Миллерово Город, 3 Интернационала Улица\60</v>
          </cell>
          <cell r="F452">
            <v>2.7</v>
          </cell>
          <cell r="G452" t="str">
            <v>Осн.</v>
          </cell>
          <cell r="H452" t="str">
            <v>Каменская</v>
          </cell>
          <cell r="I452">
            <v>85</v>
          </cell>
        </row>
        <row r="453">
          <cell r="C453" t="str">
            <v>RO0627</v>
          </cell>
          <cell r="D453" t="str">
            <v>22:собст. АМС выше 10 м на крыше</v>
          </cell>
          <cell r="E453" t="str">
            <v>Ростовская Область, Миллеровский Район, Миллерово Город, Шолохова Улица, дом 1</v>
          </cell>
          <cell r="F453">
            <v>2.62</v>
          </cell>
          <cell r="G453" t="str">
            <v>Осн.</v>
          </cell>
          <cell r="H453" t="str">
            <v>Каменская</v>
          </cell>
          <cell r="I453">
            <v>81</v>
          </cell>
        </row>
        <row r="454">
          <cell r="C454" t="str">
            <v>RO0628</v>
          </cell>
          <cell r="D454" t="str">
            <v>13:собст. железобетонный столб с заглубленным фундаментом</v>
          </cell>
          <cell r="E454" t="str">
            <v>Ростовская Область, Шахты Город, Ленинского Комсомола Проспект\1В</v>
          </cell>
          <cell r="F454">
            <v>2.68</v>
          </cell>
          <cell r="G454" t="str">
            <v>Осн.</v>
          </cell>
          <cell r="H454" t="str">
            <v>Ростовская</v>
          </cell>
          <cell r="I454">
            <v>84</v>
          </cell>
        </row>
        <row r="455">
          <cell r="C455" t="str">
            <v>RO0629</v>
          </cell>
          <cell r="D455" t="str">
            <v>33:трубостойки, АМС инфраструктурного оператора</v>
          </cell>
          <cell r="E455" t="str">
            <v>Ростовская Область, Каменский Район, Глубокий Рабочий поселок, Садовая Улица\69</v>
          </cell>
          <cell r="F455">
            <v>1.62</v>
          </cell>
          <cell r="G455" t="str">
            <v>Осн.</v>
          </cell>
          <cell r="H455" t="str">
            <v>Каменская</v>
          </cell>
          <cell r="I455">
            <v>31</v>
          </cell>
        </row>
        <row r="456">
          <cell r="C456" t="str">
            <v>RO0630</v>
          </cell>
          <cell r="D456" t="str">
            <v>33:трубостойки, АМС инфраструктурного оператора</v>
          </cell>
          <cell r="E456" t="str">
            <v>Ростовская Область, Чертковский Район, Чертково Поселок\ж/д станция Чертково</v>
          </cell>
          <cell r="F456">
            <v>4.4000000000000004</v>
          </cell>
          <cell r="G456" t="str">
            <v>Осн.</v>
          </cell>
          <cell r="H456" t="str">
            <v>Каменская</v>
          </cell>
          <cell r="I456">
            <v>170</v>
          </cell>
        </row>
        <row r="457">
          <cell r="C457" t="str">
            <v>RO0632</v>
          </cell>
          <cell r="D457" t="str">
            <v>13:собст. железобетонный столб с заглубленным фундаментом</v>
          </cell>
          <cell r="E457" t="str">
            <v>Ростовская Область, Донецк Город, Комсомольская Улица\2</v>
          </cell>
          <cell r="F457">
            <v>1.68</v>
          </cell>
          <cell r="G457" t="str">
            <v>Осн.</v>
          </cell>
          <cell r="H457" t="str">
            <v>Каменская</v>
          </cell>
          <cell r="I457">
            <v>34</v>
          </cell>
        </row>
        <row r="458">
          <cell r="C458" t="str">
            <v>RO0633</v>
          </cell>
          <cell r="D458" t="str">
            <v>13:собст. железобетонный столб с заглубленным фундаментом</v>
          </cell>
          <cell r="E458" t="str">
            <v>Ростовская Область, Зверево Город, Советская Улица\89</v>
          </cell>
          <cell r="F458">
            <v>1.98</v>
          </cell>
          <cell r="G458" t="str">
            <v>Осн.</v>
          </cell>
          <cell r="H458" t="str">
            <v>Каменская</v>
          </cell>
          <cell r="I458">
            <v>49</v>
          </cell>
        </row>
        <row r="459">
          <cell r="C459" t="str">
            <v>RO0634</v>
          </cell>
          <cell r="D459" t="str">
            <v>31:трубостойки на чужой АМС на земле/крыше</v>
          </cell>
          <cell r="E459" t="str">
            <v>Ростовская Область, Красносулинский Район, Красный Сулин Город, Памяти Улица\башня ПАО "МТС"</v>
          </cell>
          <cell r="F459">
            <v>2.94</v>
          </cell>
          <cell r="G459" t="str">
            <v>Осн.</v>
          </cell>
          <cell r="H459" t="str">
            <v>Ростовская</v>
          </cell>
          <cell r="I459">
            <v>97</v>
          </cell>
        </row>
        <row r="460">
          <cell r="C460" t="str">
            <v>RO0635</v>
          </cell>
          <cell r="D460" t="str">
            <v>31:трубостойки на чужой АМС на земле/крыше</v>
          </cell>
          <cell r="E460" t="str">
            <v>Ростовская Область, Родионово-Несветайский Район\3 км юго-западнее станицы Родионово-Несветайская, башня ОАО "Ростелеком"</v>
          </cell>
          <cell r="F460">
            <v>1.92</v>
          </cell>
          <cell r="G460" t="str">
            <v>Осн.</v>
          </cell>
          <cell r="H460" t="str">
            <v>Ростовская</v>
          </cell>
          <cell r="I460">
            <v>46</v>
          </cell>
        </row>
        <row r="461">
          <cell r="C461" t="str">
            <v>RO0636</v>
          </cell>
          <cell r="D461" t="str">
            <v>31:трубостойки на чужой АМС на земле/крыше</v>
          </cell>
          <cell r="E461" t="str">
            <v>Ростовская Область, Родионово-Несветайский Район, Большекрепинская Слобода\СПК "Рассвет"</v>
          </cell>
          <cell r="F461">
            <v>2.34</v>
          </cell>
          <cell r="G461" t="str">
            <v>Осн.</v>
          </cell>
          <cell r="H461" t="str">
            <v>Ростовская</v>
          </cell>
          <cell r="I461">
            <v>67</v>
          </cell>
        </row>
        <row r="462">
          <cell r="C462" t="str">
            <v>RO0637</v>
          </cell>
          <cell r="D462" t="str">
            <v>21:собст. АМС до 10 м на крыше</v>
          </cell>
          <cell r="E462" t="str">
            <v>Ростовская Область, Зверево Город\Промплощадка ОАО "Шахтоуправление Обуховское"</v>
          </cell>
          <cell r="F462">
            <v>1.76</v>
          </cell>
          <cell r="G462" t="str">
            <v>Осн.</v>
          </cell>
          <cell r="H462" t="str">
            <v>Каменская</v>
          </cell>
          <cell r="I462">
            <v>38</v>
          </cell>
        </row>
        <row r="463">
          <cell r="C463" t="str">
            <v>RO0638</v>
          </cell>
          <cell r="D463" t="str">
            <v>31:трубостойки на чужой АМС на земле/крыше</v>
          </cell>
          <cell r="E463" t="str">
            <v>Ростовская Область, Миллеровский Район\1,5 км северо-восточнее слободы Дегтево, АМС ФГУП "РТРС"</v>
          </cell>
          <cell r="F463">
            <v>3.4</v>
          </cell>
          <cell r="G463" t="str">
            <v>Осн.</v>
          </cell>
          <cell r="H463" t="str">
            <v>Каменская</v>
          </cell>
          <cell r="I463">
            <v>120</v>
          </cell>
        </row>
        <row r="464">
          <cell r="C464" t="str">
            <v>RO0639</v>
          </cell>
          <cell r="D464" t="str">
            <v>31:трубостойки на чужой АМС на земле/крыше</v>
          </cell>
          <cell r="E464" t="str">
            <v>Ростовская Область, Миллеровский Район\1400 м западнее села Ольховый Рог</v>
          </cell>
          <cell r="F464">
            <v>3</v>
          </cell>
          <cell r="G464" t="str">
            <v>Осн.</v>
          </cell>
          <cell r="H464" t="str">
            <v>Каменская</v>
          </cell>
          <cell r="I464">
            <v>100</v>
          </cell>
        </row>
        <row r="465">
          <cell r="C465" t="str">
            <v>RO0640</v>
          </cell>
          <cell r="D465" t="str">
            <v>31:трубостойки на чужой АМС на земле/крыше</v>
          </cell>
          <cell r="E465" t="str">
            <v>Ростовская Область, Кашарский Район, Кашары Слобода\башня ОАО "Вымпелком"</v>
          </cell>
          <cell r="F465">
            <v>3.5</v>
          </cell>
          <cell r="G465" t="str">
            <v>Осн.</v>
          </cell>
          <cell r="H465" t="str">
            <v>Каменская</v>
          </cell>
          <cell r="I465">
            <v>125</v>
          </cell>
        </row>
        <row r="466">
          <cell r="C466" t="str">
            <v>RO0641</v>
          </cell>
          <cell r="D466" t="str">
            <v>13:собст. железобетонный столб с заглубленным фундаментом</v>
          </cell>
          <cell r="E466" t="str">
            <v>Ростовская Область, Шахты Город, Майский Поселок городского типа\улица Советская, 37</v>
          </cell>
          <cell r="F466">
            <v>2.36</v>
          </cell>
          <cell r="G466" t="str">
            <v>Осн.</v>
          </cell>
          <cell r="H466" t="str">
            <v>Ростовская</v>
          </cell>
          <cell r="I466">
            <v>68</v>
          </cell>
        </row>
        <row r="467">
          <cell r="C467" t="str">
            <v>RO0642</v>
          </cell>
          <cell r="D467" t="str">
            <v>13:собст. железобетонный столб с заглубленным фундаментом</v>
          </cell>
          <cell r="E467" t="str">
            <v>Ростовская Область, Шахты Город, Юный Спартак Улица\122В</v>
          </cell>
          <cell r="F467">
            <v>2.6</v>
          </cell>
          <cell r="G467" t="str">
            <v>Осн.</v>
          </cell>
          <cell r="H467" t="str">
            <v>Ростовская</v>
          </cell>
          <cell r="I467">
            <v>80</v>
          </cell>
        </row>
        <row r="468">
          <cell r="C468" t="str">
            <v>RO0643</v>
          </cell>
          <cell r="D468" t="str">
            <v>13:собст. железобетонный столб с заглубленным фундаментом</v>
          </cell>
          <cell r="E468" t="str">
            <v>Ростовская Область, Шахты Город, Скочинского Переулок\32</v>
          </cell>
          <cell r="F468">
            <v>2.62</v>
          </cell>
          <cell r="G468" t="str">
            <v>Осн.</v>
          </cell>
          <cell r="H468" t="str">
            <v>Ростовская</v>
          </cell>
          <cell r="I468">
            <v>81</v>
          </cell>
        </row>
        <row r="469">
          <cell r="C469" t="str">
            <v>RO0644</v>
          </cell>
          <cell r="D469" t="str">
            <v>31:трубостойки на чужой АМС на земле/крыше</v>
          </cell>
          <cell r="E469" t="str">
            <v>Ростовская Область, Шахты Город, Таловый Поселок городского типа\Стачки Улица, 74</v>
          </cell>
          <cell r="F469">
            <v>2.66</v>
          </cell>
          <cell r="G469" t="str">
            <v>Осн.</v>
          </cell>
          <cell r="H469" t="str">
            <v>Ростовская</v>
          </cell>
          <cell r="I469">
            <v>83</v>
          </cell>
        </row>
        <row r="470">
          <cell r="C470" t="str">
            <v>RO0645</v>
          </cell>
          <cell r="D470" t="str">
            <v>13:собст. железобетонный столб с заглубленным фундаментом</v>
          </cell>
          <cell r="E470" t="str">
            <v>Ростовская Область, Шахты Город, Акмолинская Улица\31</v>
          </cell>
          <cell r="F470">
            <v>2.78</v>
          </cell>
          <cell r="G470" t="str">
            <v>Осн.</v>
          </cell>
          <cell r="H470" t="str">
            <v>Ростовская</v>
          </cell>
          <cell r="I470">
            <v>89</v>
          </cell>
        </row>
        <row r="471">
          <cell r="C471" t="str">
            <v>RO0646</v>
          </cell>
          <cell r="D471" t="str">
            <v>21:собст. АМС до 10 м на крыше</v>
          </cell>
          <cell r="E471" t="str">
            <v>Ростовская Область, Новошахтинск Город, Харьковская Улица, дом 28</v>
          </cell>
          <cell r="F471">
            <v>2.64</v>
          </cell>
          <cell r="G471" t="str">
            <v>Осн.</v>
          </cell>
          <cell r="H471" t="str">
            <v>Ростовская</v>
          </cell>
          <cell r="I471">
            <v>82</v>
          </cell>
        </row>
        <row r="472">
          <cell r="C472" t="str">
            <v>RO0647</v>
          </cell>
          <cell r="D472" t="str">
            <v>15:собст. башня с заглубленным фундаментом до 61м</v>
          </cell>
          <cell r="E472" t="str">
            <v>Ростовская Область, Донецк Город, Тимирязева Улица\45</v>
          </cell>
          <cell r="F472">
            <v>1.74</v>
          </cell>
          <cell r="G472" t="str">
            <v>Осн.</v>
          </cell>
          <cell r="H472" t="str">
            <v>Каменская</v>
          </cell>
          <cell r="I472">
            <v>37</v>
          </cell>
        </row>
        <row r="473">
          <cell r="C473" t="str">
            <v>RO0648</v>
          </cell>
          <cell r="D473" t="str">
            <v>22:собст. АМС выше 10 м на крыше</v>
          </cell>
          <cell r="E473" t="str">
            <v>Ростовская Область, Каменск-Шахтинский Город, Кирова Улица\67</v>
          </cell>
          <cell r="F473">
            <v>1.06</v>
          </cell>
          <cell r="G473" t="str">
            <v>Осн.</v>
          </cell>
          <cell r="H473" t="str">
            <v>Каменская</v>
          </cell>
          <cell r="I473">
            <v>3</v>
          </cell>
        </row>
        <row r="474">
          <cell r="C474" t="str">
            <v>RO0649</v>
          </cell>
          <cell r="D474" t="str">
            <v>13:собст. железобетонный столб с заглубленным фундаментом</v>
          </cell>
          <cell r="E474" t="str">
            <v>Ростовская Область, Каменский Район, Старая Станица Хутор, Буденного Улица\248а</v>
          </cell>
          <cell r="F474">
            <v>1.2</v>
          </cell>
          <cell r="G474" t="str">
            <v>Осн.</v>
          </cell>
          <cell r="H474" t="str">
            <v>Каменская</v>
          </cell>
          <cell r="I474">
            <v>10</v>
          </cell>
        </row>
        <row r="475">
          <cell r="C475" t="str">
            <v>RO0650</v>
          </cell>
          <cell r="D475" t="str">
            <v>13:собст. железобетонный столб с заглубленным фундаментом</v>
          </cell>
          <cell r="E475" t="str">
            <v>Ростовская Область, Шахты Город, Победа Революции Проспект, дом 119В</v>
          </cell>
          <cell r="F475">
            <v>2.52</v>
          </cell>
          <cell r="G475" t="str">
            <v>Осн.</v>
          </cell>
          <cell r="H475" t="str">
            <v>Ростовская</v>
          </cell>
          <cell r="I475">
            <v>76</v>
          </cell>
        </row>
        <row r="476">
          <cell r="C476" t="str">
            <v>RO0651</v>
          </cell>
          <cell r="D476" t="str">
            <v>13:собст. железобетонный столб с заглубленным фундаментом</v>
          </cell>
          <cell r="E476" t="str">
            <v>Ростовская Область, Шахты Город, Искра Улица\58</v>
          </cell>
          <cell r="F476">
            <v>2.66</v>
          </cell>
          <cell r="G476" t="str">
            <v>Осн.</v>
          </cell>
          <cell r="H476" t="str">
            <v>Ростовская</v>
          </cell>
          <cell r="I476">
            <v>83</v>
          </cell>
        </row>
        <row r="477">
          <cell r="C477" t="str">
            <v>RO0652</v>
          </cell>
          <cell r="D477" t="str">
            <v>13:собст. железобетонный столб с заглубленным фундаментом</v>
          </cell>
          <cell r="E477" t="str">
            <v>Ростовская Область, Новошахтинск Город, Вокзальная Улица\12а</v>
          </cell>
          <cell r="F477">
            <v>2.7</v>
          </cell>
          <cell r="G477" t="str">
            <v>Осн.</v>
          </cell>
          <cell r="H477" t="str">
            <v>Ростовская</v>
          </cell>
          <cell r="I477">
            <v>85</v>
          </cell>
        </row>
        <row r="478">
          <cell r="C478" t="str">
            <v>RO0653</v>
          </cell>
          <cell r="D478" t="str">
            <v>13:собст. железобетонный столб с заглубленным фундаментом</v>
          </cell>
          <cell r="E478" t="str">
            <v>Ростовская Область, Каменск-Шахтинский Город, Освобождения Улица, дом 48\А</v>
          </cell>
          <cell r="F478">
            <v>1.02</v>
          </cell>
          <cell r="G478" t="str">
            <v>Осн.</v>
          </cell>
          <cell r="H478" t="str">
            <v>Каменская</v>
          </cell>
          <cell r="I478">
            <v>1</v>
          </cell>
        </row>
        <row r="479">
          <cell r="C479" t="str">
            <v>RO0654</v>
          </cell>
          <cell r="D479" t="str">
            <v>31:трубостойки на чужой АМС на земле/крыше</v>
          </cell>
          <cell r="E479" t="str">
            <v>Ростовская Область, Донецк Город, 3-й Микрорайон\5, башня ЦТС</v>
          </cell>
          <cell r="F479">
            <v>1.62</v>
          </cell>
          <cell r="G479" t="str">
            <v>Осн.</v>
          </cell>
          <cell r="H479" t="str">
            <v>Каменская</v>
          </cell>
          <cell r="I479">
            <v>31</v>
          </cell>
        </row>
        <row r="480">
          <cell r="C480" t="str">
            <v>RO0655</v>
          </cell>
          <cell r="D480" t="str">
            <v>33:трубостойки, АМС инфраструктурного оператора</v>
          </cell>
          <cell r="E480" t="str">
            <v>Ростовская Область, Красносулинский Район, Красный Сулин Город, Интернациональный Переулок\в районе адреса №13</v>
          </cell>
          <cell r="F480">
            <v>3.02</v>
          </cell>
          <cell r="G480" t="str">
            <v>Осн.</v>
          </cell>
          <cell r="H480" t="str">
            <v>Ростовская</v>
          </cell>
          <cell r="I480">
            <v>101</v>
          </cell>
        </row>
        <row r="481">
          <cell r="C481" t="str">
            <v>RO0656</v>
          </cell>
          <cell r="D481" t="str">
            <v>13:собст. железобетонный столб с заглубленным фундаментом</v>
          </cell>
          <cell r="E481" t="str">
            <v>Ростовская Область, Красносулинский Район, Красный Сулин Город, Гагарина Улица\б/н</v>
          </cell>
          <cell r="F481">
            <v>2.9</v>
          </cell>
          <cell r="G481" t="str">
            <v>Осн.</v>
          </cell>
          <cell r="H481" t="str">
            <v>Ростовская</v>
          </cell>
          <cell r="I481">
            <v>95</v>
          </cell>
        </row>
        <row r="482">
          <cell r="C482" t="str">
            <v>RO0657</v>
          </cell>
          <cell r="D482" t="str">
            <v>13:собст. железобетонный столб с заглубленным фундаментом</v>
          </cell>
          <cell r="E482" t="str">
            <v>Ростовская Область, Новошахтинск Город, Луговая Улица\3В</v>
          </cell>
          <cell r="F482">
            <v>2.42</v>
          </cell>
          <cell r="G482" t="str">
            <v>Осн.</v>
          </cell>
          <cell r="H482" t="str">
            <v>Ростовская</v>
          </cell>
          <cell r="I482">
            <v>71</v>
          </cell>
        </row>
        <row r="483">
          <cell r="C483" t="str">
            <v>RO0658</v>
          </cell>
          <cell r="D483" t="str">
            <v>13:собст. железобетонный столб с заглубленным фундаментом</v>
          </cell>
          <cell r="E483" t="str">
            <v>Ростовская Область, Новошахтинск Город, Газеты Правда Улица, дом 2\В</v>
          </cell>
          <cell r="F483">
            <v>2.76</v>
          </cell>
          <cell r="G483" t="str">
            <v>Осн.</v>
          </cell>
          <cell r="H483" t="str">
            <v>Ростовская</v>
          </cell>
          <cell r="I483">
            <v>88</v>
          </cell>
        </row>
        <row r="484">
          <cell r="C484" t="str">
            <v>RO0659</v>
          </cell>
          <cell r="D484" t="str">
            <v>13:собст. железобетонный столб с заглубленным фундаментом</v>
          </cell>
          <cell r="E484" t="str">
            <v>Ростовская Область, Новошахтинск Город, Молодежная Улица, дом 2</v>
          </cell>
          <cell r="F484">
            <v>2.68</v>
          </cell>
          <cell r="G484" t="str">
            <v>Осн.</v>
          </cell>
          <cell r="H484" t="str">
            <v>Ростовская</v>
          </cell>
          <cell r="I484">
            <v>84</v>
          </cell>
        </row>
        <row r="485">
          <cell r="C485" t="str">
            <v>RO0660</v>
          </cell>
          <cell r="D485" t="str">
            <v>13:собст. железобетонный столб с заглубленным фундаментом</v>
          </cell>
          <cell r="E485" t="str">
            <v>Ростовская Область, Новошахтинск Город, Короленко Улица\23В</v>
          </cell>
          <cell r="F485">
            <v>2.72</v>
          </cell>
          <cell r="G485" t="str">
            <v>Осн.</v>
          </cell>
          <cell r="H485" t="str">
            <v>Ростовская</v>
          </cell>
          <cell r="I485">
            <v>86</v>
          </cell>
        </row>
        <row r="486">
          <cell r="C486" t="str">
            <v>RO0661</v>
          </cell>
          <cell r="D486" t="str">
            <v>13:собст. железобетонный столб с заглубленным фундаментом</v>
          </cell>
          <cell r="E486" t="str">
            <v>Ростовская Область, Новошахтинск Город, Перспективная Улица\2 Е</v>
          </cell>
          <cell r="F486">
            <v>2.6</v>
          </cell>
          <cell r="G486" t="str">
            <v>Осн.</v>
          </cell>
          <cell r="H486" t="str">
            <v>Ростовская</v>
          </cell>
          <cell r="I486">
            <v>80</v>
          </cell>
        </row>
        <row r="487">
          <cell r="C487" t="str">
            <v>RO0662</v>
          </cell>
          <cell r="D487" t="str">
            <v>13:собст. железобетонный столб с заглубленным фундаментом</v>
          </cell>
          <cell r="E487" t="str">
            <v>Ростовская Область, Шахты Город, Садовая Улица, дом 12Д</v>
          </cell>
          <cell r="F487">
            <v>2.56</v>
          </cell>
          <cell r="G487" t="str">
            <v>Осн.</v>
          </cell>
          <cell r="H487" t="str">
            <v>Ростовская</v>
          </cell>
          <cell r="I487">
            <v>78</v>
          </cell>
        </row>
        <row r="488">
          <cell r="C488" t="str">
            <v>RO0663</v>
          </cell>
          <cell r="D488" t="str">
            <v>13:собст. железобетонный столб с заглубленным фундаментом</v>
          </cell>
          <cell r="E488" t="str">
            <v>Ростовская Область, Гуково Город, Нахимова Улица, дом 21</v>
          </cell>
          <cell r="F488">
            <v>2.04</v>
          </cell>
          <cell r="G488" t="str">
            <v>Осн.</v>
          </cell>
          <cell r="H488" t="str">
            <v>Каменская</v>
          </cell>
          <cell r="I488">
            <v>52</v>
          </cell>
        </row>
        <row r="489">
          <cell r="C489" t="str">
            <v>RO0664</v>
          </cell>
          <cell r="D489" t="str">
            <v>31:трубостойки на чужой АМС на земле/крыше</v>
          </cell>
          <cell r="E489" t="str">
            <v>Ростовская Область, Гуково Город, Шахтерская Улица, дом 21</v>
          </cell>
          <cell r="F489">
            <v>2.04</v>
          </cell>
          <cell r="G489" t="str">
            <v>Осн.</v>
          </cell>
          <cell r="H489" t="str">
            <v>Каменская</v>
          </cell>
          <cell r="I489">
            <v>52</v>
          </cell>
        </row>
        <row r="490">
          <cell r="C490" t="str">
            <v>RO0665</v>
          </cell>
          <cell r="D490" t="str">
            <v>13:собст. железобетонный столб с заглубленным фундаментом</v>
          </cell>
          <cell r="E490" t="str">
            <v>Ростовская Область, Гуково Город, Свободы Улица\1</v>
          </cell>
          <cell r="F490">
            <v>2.14</v>
          </cell>
          <cell r="G490" t="str">
            <v>Осн.</v>
          </cell>
          <cell r="H490" t="str">
            <v>Каменская</v>
          </cell>
          <cell r="I490">
            <v>57</v>
          </cell>
        </row>
        <row r="491">
          <cell r="C491" t="str">
            <v>RO0666</v>
          </cell>
          <cell r="D491" t="str">
            <v>21:собст. АМС до 10 м на крыше</v>
          </cell>
          <cell r="E491" t="str">
            <v>Ростовская Область, Шахты Город, Енисейский Переулок\15</v>
          </cell>
          <cell r="F491">
            <v>2.6</v>
          </cell>
          <cell r="G491" t="str">
            <v>Осн.</v>
          </cell>
          <cell r="H491" t="str">
            <v>Ростовская</v>
          </cell>
          <cell r="I491">
            <v>80</v>
          </cell>
        </row>
        <row r="492">
          <cell r="C492" t="str">
            <v>RO0667</v>
          </cell>
          <cell r="D492" t="str">
            <v>13:собст. железобетонный столб с заглубленным фундаментом</v>
          </cell>
          <cell r="E492" t="str">
            <v>Ростовская Область, Каменск-Шахтинский Город, Лиховской Микрорайон, Советская Улица\60В</v>
          </cell>
          <cell r="F492">
            <v>1.46</v>
          </cell>
          <cell r="G492" t="str">
            <v>Осн.</v>
          </cell>
          <cell r="H492" t="str">
            <v>Каменская</v>
          </cell>
          <cell r="I492">
            <v>23</v>
          </cell>
        </row>
        <row r="493">
          <cell r="C493" t="str">
            <v>RO0668</v>
          </cell>
          <cell r="D493" t="str">
            <v>13:собст. железобетонный столб с заглубленным фундаментом</v>
          </cell>
          <cell r="E493" t="str">
            <v>Ростовская Область, Новошахтинск Город, Киевская Улица, дом 4</v>
          </cell>
          <cell r="F493">
            <v>2.76</v>
          </cell>
          <cell r="G493" t="str">
            <v>Осн.</v>
          </cell>
          <cell r="H493" t="str">
            <v>Ростовская</v>
          </cell>
          <cell r="I493">
            <v>88</v>
          </cell>
        </row>
        <row r="494">
          <cell r="C494" t="str">
            <v>RO0669</v>
          </cell>
          <cell r="D494" t="str">
            <v>13:собст. железобетонный столб с заглубленным фундаментом</v>
          </cell>
          <cell r="E494" t="str">
            <v>Ростовская Область, Шахты Город, Цуканова Переулок\75А</v>
          </cell>
          <cell r="F494">
            <v>2.6</v>
          </cell>
          <cell r="G494" t="str">
            <v>Осн.</v>
          </cell>
          <cell r="H494" t="str">
            <v>Ростовская</v>
          </cell>
          <cell r="I494">
            <v>80</v>
          </cell>
        </row>
        <row r="495">
          <cell r="C495" t="str">
            <v>RO0670</v>
          </cell>
          <cell r="D495" t="str">
            <v>13:собст. железобетонный столб с заглубленным фундаментом</v>
          </cell>
          <cell r="E495" t="str">
            <v>Ростовская Область, Шахты Город, Иванова Переулок\14</v>
          </cell>
          <cell r="F495">
            <v>2.52</v>
          </cell>
          <cell r="G495" t="str">
            <v>Осн.</v>
          </cell>
          <cell r="H495" t="str">
            <v>Ростовская</v>
          </cell>
          <cell r="I495">
            <v>76</v>
          </cell>
        </row>
        <row r="496">
          <cell r="C496" t="str">
            <v>RO0671</v>
          </cell>
          <cell r="D496" t="str">
            <v>22:собст. АМС выше 10 м на крыше</v>
          </cell>
          <cell r="E496" t="str">
            <v>Ростовская Область, Шахты Город, Пушкина Улица\29А</v>
          </cell>
          <cell r="F496">
            <v>2.54</v>
          </cell>
          <cell r="G496" t="str">
            <v>Осн.</v>
          </cell>
          <cell r="H496" t="str">
            <v>Ростовская</v>
          </cell>
          <cell r="I496">
            <v>77</v>
          </cell>
        </row>
        <row r="497">
          <cell r="C497" t="str">
            <v>RO0672</v>
          </cell>
          <cell r="D497" t="str">
            <v>13:собст. железобетонный столб с заглубленным фундаментом</v>
          </cell>
          <cell r="E497" t="str">
            <v>Ростовская Область, Новошахтинск Город, Кузнецкая Улица\парковая</v>
          </cell>
          <cell r="F497">
            <v>2.78</v>
          </cell>
          <cell r="G497" t="str">
            <v>Осн.</v>
          </cell>
          <cell r="H497" t="str">
            <v>Ростовская</v>
          </cell>
          <cell r="I497">
            <v>89</v>
          </cell>
        </row>
        <row r="498">
          <cell r="C498" t="str">
            <v>RO0673</v>
          </cell>
          <cell r="D498" t="str">
            <v>13:собст. железобетонный столб с заглубленным фундаментом</v>
          </cell>
          <cell r="E498" t="str">
            <v>Ростовская Область, Октябрьский Район, Красногорняцкий Поселок, Чапаева Улица, дом 30</v>
          </cell>
          <cell r="F498">
            <v>2.58</v>
          </cell>
          <cell r="G498" t="str">
            <v>Осн.</v>
          </cell>
          <cell r="H498" t="str">
            <v>Ростовская</v>
          </cell>
          <cell r="I498">
            <v>79</v>
          </cell>
        </row>
        <row r="499">
          <cell r="C499" t="str">
            <v>RO0674</v>
          </cell>
          <cell r="D499" t="str">
            <v>13:собст. железобетонный столб с заглубленным фундаментом</v>
          </cell>
          <cell r="E499" t="str">
            <v>Ростовская Область, Шахты Город, Дачная Улица\202А</v>
          </cell>
          <cell r="F499">
            <v>2.44</v>
          </cell>
          <cell r="G499" t="str">
            <v>Осн.</v>
          </cell>
          <cell r="H499" t="str">
            <v>Ростовская</v>
          </cell>
          <cell r="I499">
            <v>72</v>
          </cell>
        </row>
        <row r="500">
          <cell r="C500" t="str">
            <v>RO0675</v>
          </cell>
          <cell r="D500" t="str">
            <v>13:собст. железобетонный столб с заглубленным фундаментом</v>
          </cell>
          <cell r="E500" t="str">
            <v>Ростовская Область, Шахты Город, Красинская Улица, дом 45</v>
          </cell>
          <cell r="F500">
            <v>2.68</v>
          </cell>
          <cell r="G500" t="str">
            <v>Осн.</v>
          </cell>
          <cell r="H500" t="str">
            <v>Ростовская</v>
          </cell>
          <cell r="I500">
            <v>84</v>
          </cell>
        </row>
        <row r="501">
          <cell r="C501" t="str">
            <v>RO0676</v>
          </cell>
          <cell r="D501" t="str">
            <v>13:собст. железобетонный столб с заглубленным фундаментом</v>
          </cell>
          <cell r="E501" t="str">
            <v>Ростовская Область, Шахты Город, Ионова Улица, дом 217\Б</v>
          </cell>
          <cell r="F501">
            <v>2.56</v>
          </cell>
          <cell r="G501" t="str">
            <v>Осн.</v>
          </cell>
          <cell r="H501" t="str">
            <v>Ростовская</v>
          </cell>
          <cell r="I501">
            <v>70</v>
          </cell>
        </row>
        <row r="502">
          <cell r="C502" t="str">
            <v>RO0677</v>
          </cell>
          <cell r="D502" t="str">
            <v>13:собст. железобетонный столб с заглубленным фундаментом</v>
          </cell>
          <cell r="E502" t="str">
            <v>Ростовская Область, Новошахтинск Город, Ермака Переулок\11</v>
          </cell>
          <cell r="F502">
            <v>2.74</v>
          </cell>
          <cell r="G502" t="str">
            <v>Осн.</v>
          </cell>
          <cell r="H502" t="str">
            <v>Ростовская</v>
          </cell>
          <cell r="I502">
            <v>87</v>
          </cell>
        </row>
        <row r="503">
          <cell r="C503" t="str">
            <v>RO0678</v>
          </cell>
          <cell r="D503" t="str">
            <v>13:собст. железобетонный столб с заглубленным фундаментом</v>
          </cell>
          <cell r="E503" t="str">
            <v>Ростовская Область, Новошахтинск Город, Фрунзе Улица\20-б</v>
          </cell>
          <cell r="F503">
            <v>2.66</v>
          </cell>
          <cell r="G503" t="str">
            <v>Осн.</v>
          </cell>
          <cell r="H503" t="str">
            <v>Ростовская</v>
          </cell>
          <cell r="I503">
            <v>83</v>
          </cell>
        </row>
        <row r="504">
          <cell r="C504" t="str">
            <v>RO0679</v>
          </cell>
          <cell r="D504" t="str">
            <v>13:собст. железобетонный столб с заглубленным фундаментом</v>
          </cell>
          <cell r="E504" t="str">
            <v>Ростовская Область, Новошахтинск Город, Фестивальная Улица\11</v>
          </cell>
          <cell r="F504">
            <v>2.52</v>
          </cell>
          <cell r="G504" t="str">
            <v>Осн.</v>
          </cell>
          <cell r="H504" t="str">
            <v>Ростовская</v>
          </cell>
          <cell r="I504">
            <v>76</v>
          </cell>
        </row>
        <row r="505">
          <cell r="C505" t="str">
            <v>RO0680</v>
          </cell>
          <cell r="D505" t="str">
            <v>31:трубостойки на чужой АМС на земле/крыше</v>
          </cell>
          <cell r="E505" t="str">
            <v>Ростовская Область, Мясниковский Район, Несветай Село\c/т "Поднятая целина", улица Центральная</v>
          </cell>
          <cell r="F505">
            <v>1.62</v>
          </cell>
          <cell r="G505" t="str">
            <v>Осн.</v>
          </cell>
          <cell r="H505" t="str">
            <v>Ростовская</v>
          </cell>
          <cell r="I505">
            <v>31</v>
          </cell>
        </row>
        <row r="506">
          <cell r="C506" t="str">
            <v>RO0681</v>
          </cell>
          <cell r="D506" t="str">
            <v>31:трубостойки на чужой АМС на земле/крыше</v>
          </cell>
          <cell r="E506" t="str">
            <v>Ростовская Область, Чертковский Район\3,5 км западнее села Алексеево-Лозовское, 801-й км автотрассы М-4, АМС ФГУП РТРС</v>
          </cell>
          <cell r="F506">
            <v>3.72</v>
          </cell>
          <cell r="G506" t="str">
            <v>Осн.</v>
          </cell>
          <cell r="H506" t="str">
            <v>Каменская</v>
          </cell>
          <cell r="I506">
            <v>136</v>
          </cell>
        </row>
        <row r="507">
          <cell r="C507" t="str">
            <v>RO0682</v>
          </cell>
          <cell r="D507" t="str">
            <v>31:трубостойки на чужой АМС на земле/крыше</v>
          </cell>
          <cell r="E507" t="str">
            <v>Ростовская Область, Зверево Город, Обухова Улица\14</v>
          </cell>
          <cell r="F507">
            <v>1.82</v>
          </cell>
          <cell r="G507" t="str">
            <v>Осн.</v>
          </cell>
          <cell r="H507" t="str">
            <v>Каменская</v>
          </cell>
          <cell r="I507">
            <v>41</v>
          </cell>
        </row>
        <row r="508">
          <cell r="C508" t="str">
            <v>RO0683</v>
          </cell>
          <cell r="D508" t="str">
            <v>13:собст. железобетонный столб с заглубленным фундаментом</v>
          </cell>
          <cell r="E508" t="str">
            <v>Ростовская Область, Красносулинский Район, Красный Сулин Город, Транспортная Улица, дом 3</v>
          </cell>
          <cell r="F508">
            <v>2.98</v>
          </cell>
          <cell r="G508" t="str">
            <v>Осн.</v>
          </cell>
          <cell r="H508" t="str">
            <v>Ростовская</v>
          </cell>
          <cell r="I508">
            <v>99</v>
          </cell>
        </row>
        <row r="509">
          <cell r="C509" t="str">
            <v>RO0684</v>
          </cell>
          <cell r="D509" t="str">
            <v>33:трубостойки, АМС инфраструктурного оператора</v>
          </cell>
          <cell r="E509" t="str">
            <v>Ростовская Область, Миллеровский Район, Боченков Разъезд\ЖДУС</v>
          </cell>
          <cell r="F509">
            <v>3.32</v>
          </cell>
          <cell r="G509" t="str">
            <v>Осн.</v>
          </cell>
          <cell r="H509" t="str">
            <v>Каменская</v>
          </cell>
          <cell r="I509">
            <v>116</v>
          </cell>
        </row>
        <row r="510">
          <cell r="C510" t="str">
            <v>RO0685</v>
          </cell>
          <cell r="D510" t="str">
            <v>13:собст. железобетонный столб с заглубленным фундаментом</v>
          </cell>
          <cell r="E510" t="str">
            <v>Ростовская Область, Каменский Район\1,2 км юго-западнее поселка Чистоозерный</v>
          </cell>
          <cell r="F510">
            <v>1.3</v>
          </cell>
          <cell r="G510" t="str">
            <v>Осн.</v>
          </cell>
          <cell r="H510" t="str">
            <v>Каменская</v>
          </cell>
          <cell r="I510">
            <v>15</v>
          </cell>
        </row>
        <row r="511">
          <cell r="C511" t="str">
            <v>RO0686</v>
          </cell>
          <cell r="D511" t="str">
            <v>31:трубостойки на чужой АМС на земле/крыше</v>
          </cell>
          <cell r="E511" t="str">
            <v>Ростовская Область, Донецк Город, Гундоровка Поселок\пересечение улицы Калинина и улицы Тельмана</v>
          </cell>
          <cell r="F511">
            <v>1.56</v>
          </cell>
          <cell r="G511" t="str">
            <v>Осн.</v>
          </cell>
          <cell r="H511" t="str">
            <v>Каменская</v>
          </cell>
          <cell r="I511">
            <v>28</v>
          </cell>
        </row>
        <row r="512">
          <cell r="C512" t="str">
            <v>RO0687</v>
          </cell>
          <cell r="D512" t="str">
            <v>21:собст. АМС до 10 м на крыше</v>
          </cell>
          <cell r="E512" t="str">
            <v>Ростовская Область, Миллеровский Район, Мальчевская Станица, Железнодорожная Улица\2</v>
          </cell>
          <cell r="F512">
            <v>3</v>
          </cell>
          <cell r="G512" t="str">
            <v>Осн.</v>
          </cell>
          <cell r="H512" t="str">
            <v>Каменская</v>
          </cell>
          <cell r="I512">
            <v>100</v>
          </cell>
        </row>
        <row r="513">
          <cell r="C513" t="str">
            <v>RO0688</v>
          </cell>
          <cell r="D513" t="str">
            <v>31:трубостойки на чужой АМС на земле/крыше</v>
          </cell>
          <cell r="E513" t="str">
            <v>Ростовская Область, Чертковский Район\2,5 км восточнее села Маньково-Калитвенское, башня ОАО "МТС"</v>
          </cell>
          <cell r="F513">
            <v>4.2</v>
          </cell>
          <cell r="G513" t="str">
            <v>Осн.</v>
          </cell>
          <cell r="H513" t="str">
            <v>Каменская</v>
          </cell>
          <cell r="I513">
            <v>160</v>
          </cell>
        </row>
        <row r="514">
          <cell r="C514" t="str">
            <v>RO0689</v>
          </cell>
          <cell r="D514" t="str">
            <v>31:трубостойки на чужой АМС на земле/крыше</v>
          </cell>
          <cell r="E514" t="str">
            <v>Ростовская Область, Чертковский Район, Михайлово-Александровка Село, Большевитская Улица\36а</v>
          </cell>
          <cell r="F514">
            <v>4.72</v>
          </cell>
          <cell r="G514" t="str">
            <v>Осн.</v>
          </cell>
          <cell r="H514" t="str">
            <v>Каменская</v>
          </cell>
          <cell r="I514">
            <v>186</v>
          </cell>
        </row>
        <row r="515">
          <cell r="C515" t="str">
            <v>RO0690</v>
          </cell>
          <cell r="D515" t="str">
            <v>13:собст. железобетонный столб с заглубленным фундаментом</v>
          </cell>
          <cell r="E515" t="str">
            <v>Ростовская Область, Новошахтинск Город\поселок Соколово-Кундрюченский, улица Железнякова, 30</v>
          </cell>
          <cell r="F515">
            <v>2.86</v>
          </cell>
          <cell r="G515" t="str">
            <v>Осн.</v>
          </cell>
          <cell r="H515" t="str">
            <v>Ростовская</v>
          </cell>
          <cell r="I515">
            <v>93</v>
          </cell>
        </row>
        <row r="516">
          <cell r="C516" t="str">
            <v>RO0691</v>
          </cell>
          <cell r="D516" t="str">
            <v>13:собст. железобетонный столб с заглубленным фундаментом</v>
          </cell>
          <cell r="E516" t="str">
            <v>Ростовская Область, Красносулинский Район, Углеродовский Рабочий поселок, Восточная Улица\хлебозавод</v>
          </cell>
          <cell r="F516">
            <v>1.64</v>
          </cell>
          <cell r="G516" t="str">
            <v>Осн.</v>
          </cell>
          <cell r="H516" t="str">
            <v>Каменская</v>
          </cell>
          <cell r="I516">
            <v>32</v>
          </cell>
        </row>
        <row r="517">
          <cell r="C517" t="str">
            <v>RO0692</v>
          </cell>
          <cell r="D517" t="str">
            <v>31:трубостойки на чужой АМС на земле/крыше</v>
          </cell>
          <cell r="E517" t="str">
            <v>Ростовская Область, Тарасовский Район, Верхний Митякин Хутор\АМС "Вымпелком"</v>
          </cell>
          <cell r="F517">
            <v>2.56</v>
          </cell>
          <cell r="G517" t="str">
            <v>Осн.</v>
          </cell>
          <cell r="H517" t="str">
            <v>Каменская</v>
          </cell>
          <cell r="I517">
            <v>78</v>
          </cell>
        </row>
        <row r="518">
          <cell r="C518" t="str">
            <v>RO0693</v>
          </cell>
          <cell r="D518" t="str">
            <v>31:трубостойки на чужой АМС на земле/крыше</v>
          </cell>
          <cell r="E518" t="str">
            <v>Ростовская Область, Миллеровский Район, Волошино Слобода\АМС "Вымпелком"</v>
          </cell>
          <cell r="F518">
            <v>3.38</v>
          </cell>
          <cell r="G518" t="str">
            <v>Осн.</v>
          </cell>
          <cell r="H518" t="str">
            <v>Каменская</v>
          </cell>
          <cell r="I518">
            <v>119</v>
          </cell>
        </row>
        <row r="519">
          <cell r="C519" t="str">
            <v>RO0694</v>
          </cell>
          <cell r="D519" t="str">
            <v>13:собст. железобетонный столб с заглубленным фундаментом</v>
          </cell>
          <cell r="E519" t="str">
            <v>Ростовская Область, Красносулинский Район, Красный Сулин Город, Октябрьская Улица\автостоянка</v>
          </cell>
          <cell r="F519">
            <v>2.94</v>
          </cell>
          <cell r="G519" t="str">
            <v>Осн.</v>
          </cell>
          <cell r="H519" t="str">
            <v>Ростовская</v>
          </cell>
          <cell r="I519">
            <v>97</v>
          </cell>
        </row>
        <row r="520">
          <cell r="C520" t="str">
            <v>RO0695</v>
          </cell>
          <cell r="D520" t="str">
            <v>13:собст. железобетонный столб с заглубленным фундаментом</v>
          </cell>
          <cell r="E520" t="str">
            <v>Ростовская Область, Гуково Город, Пригородная Улица, дом 1\лтер Г</v>
          </cell>
          <cell r="F520">
            <v>2.04</v>
          </cell>
          <cell r="G520" t="str">
            <v>Осн.</v>
          </cell>
          <cell r="H520" t="str">
            <v>Каменская</v>
          </cell>
          <cell r="I520">
            <v>52</v>
          </cell>
        </row>
        <row r="521">
          <cell r="C521" t="str">
            <v>RO0698</v>
          </cell>
          <cell r="D521" t="str">
            <v>13:собст. железобетонный столб с заглубленным фундаментом</v>
          </cell>
          <cell r="E521" t="str">
            <v>Ростовская Область, Донецк Город, Краснова Улица\63</v>
          </cell>
          <cell r="F521">
            <v>1.7</v>
          </cell>
          <cell r="G521" t="str">
            <v>Осн.</v>
          </cell>
          <cell r="H521" t="str">
            <v>Каменская</v>
          </cell>
          <cell r="I521">
            <v>35</v>
          </cell>
        </row>
        <row r="522">
          <cell r="C522" t="str">
            <v>RO0699</v>
          </cell>
          <cell r="D522" t="str">
            <v>31:трубостойки на чужой АМС на земле/крыше</v>
          </cell>
          <cell r="E522" t="str">
            <v>Ростовская Область, Шахты Город\поселок Аютинский, проезд 4-й квартал, 7, башня ОАО "МТС"</v>
          </cell>
          <cell r="F522">
            <v>2.52</v>
          </cell>
          <cell r="G522" t="str">
            <v>Осн.</v>
          </cell>
          <cell r="H522" t="str">
            <v>Ростовская</v>
          </cell>
          <cell r="I522">
            <v>76</v>
          </cell>
        </row>
        <row r="523">
          <cell r="C523" t="str">
            <v>RO0700</v>
          </cell>
          <cell r="D523" t="str">
            <v>21:собст. АМС до 10 м на крыше</v>
          </cell>
          <cell r="E523" t="str">
            <v>Ростовская Область, Семикаракорский Район, Семикаракорск Город, А.А.Араканцева Улица, дом 31</v>
          </cell>
          <cell r="F523">
            <v>3.4</v>
          </cell>
          <cell r="G523" t="str">
            <v>Осн.</v>
          </cell>
          <cell r="H523" t="str">
            <v>Волгодонская</v>
          </cell>
          <cell r="I523">
            <v>120</v>
          </cell>
        </row>
        <row r="524">
          <cell r="C524" t="str">
            <v>RO0701</v>
          </cell>
          <cell r="D524" t="str">
            <v>15:собст. башня с заглубленным фундаментом до 61м</v>
          </cell>
          <cell r="E524" t="str">
            <v>Ростовская Область, Аксайский Район, Старочеркасская Станица, Мира Улица\дом 13/2</v>
          </cell>
          <cell r="F524">
            <v>1.64</v>
          </cell>
          <cell r="G524" t="str">
            <v>Осн.</v>
          </cell>
          <cell r="H524" t="str">
            <v>Ростовская</v>
          </cell>
          <cell r="I524">
            <v>32</v>
          </cell>
        </row>
        <row r="525">
          <cell r="C525" t="str">
            <v>RO0702</v>
          </cell>
          <cell r="D525" t="str">
            <v>15:собст. башня с заглубленным фундаментом до 61м</v>
          </cell>
          <cell r="E525" t="str">
            <v>Ростовская Область, Аксайский Район, Ольгинская Станица, Широкая Улица, дом 133\а</v>
          </cell>
          <cell r="F525">
            <v>1.44</v>
          </cell>
          <cell r="G525" t="str">
            <v>Осн.</v>
          </cell>
          <cell r="H525" t="str">
            <v>Ростовская</v>
          </cell>
          <cell r="I525">
            <v>22</v>
          </cell>
        </row>
        <row r="526">
          <cell r="C526" t="str">
            <v>RO0703</v>
          </cell>
          <cell r="D526" t="str">
            <v>13:собст. железобетонный столб с заглубленным фундаментом</v>
          </cell>
          <cell r="E526" t="str">
            <v>Ростовская Область, Багаевский Район, Багаевская Станица, Московская Улица, дом 59</v>
          </cell>
          <cell r="F526">
            <v>2.58</v>
          </cell>
          <cell r="G526" t="str">
            <v>Осн.</v>
          </cell>
          <cell r="H526" t="str">
            <v>Ростовская</v>
          </cell>
          <cell r="I526">
            <v>79</v>
          </cell>
        </row>
        <row r="527">
          <cell r="C527" t="str">
            <v>RO0704</v>
          </cell>
          <cell r="D527" t="str">
            <v>31:трубостойки на чужой АМС на земле/крыше</v>
          </cell>
          <cell r="E527" t="str">
            <v>Ростовская Область, Семикаракорский Район, Семикаракорск Город, Н.С.Арабского Проспект, дом 10\АМС ФГУП "РТРС"</v>
          </cell>
          <cell r="F527">
            <v>3.44</v>
          </cell>
          <cell r="G527" t="str">
            <v>Осн.</v>
          </cell>
          <cell r="H527" t="str">
            <v>Волгодонская</v>
          </cell>
          <cell r="I527">
            <v>122</v>
          </cell>
        </row>
        <row r="528">
          <cell r="C528" t="str">
            <v>RO0705</v>
          </cell>
          <cell r="D528" t="str">
            <v>31:трубостойки на чужой АМС на земле/крыше</v>
          </cell>
          <cell r="E528" t="str">
            <v>Ростовская Область, Константиновский Район, Константиновск Город, Ленина Улица, дом 46\А</v>
          </cell>
          <cell r="F528">
            <v>3.18</v>
          </cell>
          <cell r="G528" t="str">
            <v>Осн.</v>
          </cell>
          <cell r="H528" t="str">
            <v>Волгодонская</v>
          </cell>
          <cell r="I528">
            <v>109</v>
          </cell>
        </row>
        <row r="529">
          <cell r="C529" t="str">
            <v>RO0706</v>
          </cell>
          <cell r="D529" t="str">
            <v>31:трубостойки на чужой АМС на земле/крыше</v>
          </cell>
          <cell r="E529" t="str">
            <v>Ростовская Область, Волгодонск Город, Железнодорожная Улица\дом 110</v>
          </cell>
          <cell r="F529">
            <v>1.1200000000000001</v>
          </cell>
          <cell r="G529" t="str">
            <v>Осн.</v>
          </cell>
          <cell r="H529" t="str">
            <v>Волгодонская</v>
          </cell>
          <cell r="I529">
            <v>6</v>
          </cell>
        </row>
        <row r="530">
          <cell r="C530" t="str">
            <v>RO0707</v>
          </cell>
          <cell r="D530" t="str">
            <v>21:собст. АМС до 10 м на крыше</v>
          </cell>
          <cell r="E530" t="str">
            <v>Ростовская Область, Волгодонск Город, Курчатова Проспект, дом 14</v>
          </cell>
          <cell r="F530">
            <v>1.1200000000000001</v>
          </cell>
          <cell r="G530" t="str">
            <v>Осн.</v>
          </cell>
          <cell r="H530" t="str">
            <v>Волгодонская</v>
          </cell>
          <cell r="I530">
            <v>6</v>
          </cell>
        </row>
        <row r="531">
          <cell r="C531" t="str">
            <v>RO0708</v>
          </cell>
          <cell r="D531" t="str">
            <v>22:собст. АМС выше 10 м на крыше</v>
          </cell>
          <cell r="E531" t="str">
            <v>Ростовская Область, Волгодонск Город, Ленина Улица, дом 52</v>
          </cell>
          <cell r="F531">
            <v>1.02</v>
          </cell>
          <cell r="G531" t="str">
            <v>Осн.</v>
          </cell>
          <cell r="H531" t="str">
            <v>Волгодонская</v>
          </cell>
          <cell r="I531">
            <v>1</v>
          </cell>
        </row>
        <row r="532">
          <cell r="C532" t="str">
            <v>RO0709</v>
          </cell>
          <cell r="D532" t="str">
            <v>31:трубостойки на чужой АМС на земле/крыше</v>
          </cell>
          <cell r="E532" t="str">
            <v>Ростовская Область, Волгодонск Город, Волгодонская Улица\дом 2, литер В</v>
          </cell>
          <cell r="F532">
            <v>1.08</v>
          </cell>
          <cell r="G532" t="str">
            <v>Осн.</v>
          </cell>
          <cell r="H532" t="str">
            <v>Волгодонская</v>
          </cell>
          <cell r="I532">
            <v>4</v>
          </cell>
        </row>
        <row r="533">
          <cell r="C533" t="str">
            <v>RO0710</v>
          </cell>
          <cell r="D533" t="str">
            <v>31:трубостойки на чужой АМС на земле/крыше</v>
          </cell>
          <cell r="E533" t="str">
            <v>Ростовская Область, Цимлянский Район, Цимлянск Город, Нагорная Улица\дом 2, литер Е</v>
          </cell>
          <cell r="F533">
            <v>1.48</v>
          </cell>
          <cell r="G533" t="str">
            <v>Осн.</v>
          </cell>
          <cell r="H533" t="str">
            <v>Волгодонская</v>
          </cell>
          <cell r="I533">
            <v>24</v>
          </cell>
        </row>
        <row r="534">
          <cell r="C534" t="str">
            <v>RO0711</v>
          </cell>
          <cell r="D534" t="str">
            <v>31:трубостойки на чужой АМС на земле/крыше</v>
          </cell>
          <cell r="E534" t="str">
            <v>Ростовская Область, Цимлянский Район, Цимлянск Город, Московская Улица\76</v>
          </cell>
          <cell r="F534">
            <v>1.46</v>
          </cell>
          <cell r="G534" t="str">
            <v>Осн.</v>
          </cell>
          <cell r="H534" t="str">
            <v>Волгодонская</v>
          </cell>
          <cell r="I534">
            <v>23</v>
          </cell>
        </row>
        <row r="535">
          <cell r="C535" t="str">
            <v>RO0712</v>
          </cell>
          <cell r="D535" t="str">
            <v>21:собст. АМС до 10 м на крыше</v>
          </cell>
          <cell r="E535" t="str">
            <v>Ростовская Область, Волгодонск Город, Строителей Проспект, дом 5</v>
          </cell>
          <cell r="F535">
            <v>1.1200000000000001</v>
          </cell>
          <cell r="G535" t="str">
            <v>Осн.</v>
          </cell>
          <cell r="H535" t="str">
            <v>Волгодонская</v>
          </cell>
          <cell r="I535">
            <v>6</v>
          </cell>
        </row>
        <row r="536">
          <cell r="C536" t="str">
            <v>RO0713</v>
          </cell>
          <cell r="D536" t="str">
            <v>31:трубостойки на чужой АМС на земле/крыше</v>
          </cell>
          <cell r="E536" t="str">
            <v>Ростовская Область, Волгодонск Город, 30 лет Победы Улица, дом 20</v>
          </cell>
          <cell r="F536">
            <v>1.04</v>
          </cell>
          <cell r="G536" t="str">
            <v>Осн.</v>
          </cell>
          <cell r="H536" t="str">
            <v>Волгодонская</v>
          </cell>
          <cell r="I536">
            <v>2</v>
          </cell>
        </row>
        <row r="537">
          <cell r="C537" t="str">
            <v>RO0714</v>
          </cell>
          <cell r="D537" t="str">
            <v>31:трубостойки на чужой АМС на земле/крыше</v>
          </cell>
          <cell r="E537" t="str">
            <v>Ростовская Область, Волгодонск Город\Ростовская АЭС</v>
          </cell>
          <cell r="F537">
            <v>1.46</v>
          </cell>
          <cell r="G537" t="str">
            <v>Осн.</v>
          </cell>
          <cell r="H537" t="str">
            <v>Волгодонская</v>
          </cell>
          <cell r="I537">
            <v>23</v>
          </cell>
        </row>
        <row r="538">
          <cell r="C538" t="str">
            <v>RO0715</v>
          </cell>
          <cell r="D538" t="str">
            <v>15:собст. башня с заглубленным фундаментом до 61м</v>
          </cell>
          <cell r="E538" t="str">
            <v>Ростовская Область, Семикаракорский Район, Маломечетный Хутор\в 94 метрах по направлению на северо-запад от строения по ул. Степная, 57</v>
          </cell>
          <cell r="F538">
            <v>3</v>
          </cell>
          <cell r="G538" t="str">
            <v>Осн.</v>
          </cell>
          <cell r="H538" t="str">
            <v>Волгодонская</v>
          </cell>
          <cell r="I538">
            <v>100</v>
          </cell>
        </row>
        <row r="539">
          <cell r="C539" t="str">
            <v>RO0716</v>
          </cell>
          <cell r="D539" t="str">
            <v>13:собст. железобетонный столб с заглубленным фундаментом</v>
          </cell>
          <cell r="E539" t="str">
            <v>Ростовская Область, Волгодонской Район, Романовская Станица, 50 лет Победы Улица\дом 60</v>
          </cell>
          <cell r="F539">
            <v>1.3</v>
          </cell>
          <cell r="G539" t="str">
            <v>Осн.</v>
          </cell>
          <cell r="H539" t="str">
            <v>Волгодонская</v>
          </cell>
          <cell r="I539">
            <v>15</v>
          </cell>
        </row>
        <row r="540">
          <cell r="C540" t="str">
            <v>RO0717</v>
          </cell>
          <cell r="D540" t="str">
            <v>31:трубостойки на чужой АМС на земле/крыше</v>
          </cell>
          <cell r="E540" t="str">
            <v>Ростовская Область, Белокалитвинский Район, Синегорский Поселок, Маяковского Улица, дом 20</v>
          </cell>
          <cell r="F540">
            <v>2.46</v>
          </cell>
          <cell r="G540" t="str">
            <v>Осн.</v>
          </cell>
          <cell r="H540" t="str">
            <v>Каменская</v>
          </cell>
          <cell r="I540">
            <v>73</v>
          </cell>
        </row>
        <row r="541">
          <cell r="C541" t="str">
            <v>RO0718</v>
          </cell>
          <cell r="D541" t="str">
            <v>31:трубостойки на чужой АМС на земле/крыше</v>
          </cell>
          <cell r="E541" t="str">
            <v>Ростовская Область, Морозовский Район, Знаменка Поселок, Степная Улица\дом 1, литер А</v>
          </cell>
          <cell r="F541">
            <v>2.4</v>
          </cell>
          <cell r="G541" t="str">
            <v>Осн.</v>
          </cell>
          <cell r="H541" t="str">
            <v>Волгодонская</v>
          </cell>
          <cell r="I541">
            <v>70</v>
          </cell>
        </row>
        <row r="542">
          <cell r="C542" t="str">
            <v>RO0719</v>
          </cell>
          <cell r="D542" t="str">
            <v>21:собст. АМС до 10 м на крыше</v>
          </cell>
          <cell r="E542" t="str">
            <v>Ростовская Область, Цимлянский Район, Железнодорожный Хутор\элеватор</v>
          </cell>
          <cell r="F542">
            <v>2.2000000000000002</v>
          </cell>
          <cell r="G542" t="str">
            <v>Осн.</v>
          </cell>
          <cell r="H542" t="str">
            <v>Волгодонская</v>
          </cell>
          <cell r="I542">
            <v>60</v>
          </cell>
        </row>
        <row r="543">
          <cell r="C543" t="str">
            <v>RO0720</v>
          </cell>
          <cell r="D543" t="str">
            <v>31:трубостойки на чужой АМС на земле/крыше</v>
          </cell>
          <cell r="E543" t="str">
            <v>Ростовская Область, Белокалитвинский Район, Белая Калитва Город, Заводская Улица\дом 20</v>
          </cell>
          <cell r="F543">
            <v>2.16</v>
          </cell>
          <cell r="G543" t="str">
            <v>Осн.</v>
          </cell>
          <cell r="H543" t="str">
            <v>Каменская</v>
          </cell>
          <cell r="I543">
            <v>58</v>
          </cell>
        </row>
        <row r="544">
          <cell r="C544" t="str">
            <v>RO0721</v>
          </cell>
          <cell r="D544" t="str">
            <v>32:трубостойки/АМС на: трубе, элеваторе, водонап.башне</v>
          </cell>
          <cell r="E544" t="str">
            <v>Ростовская Область, Белокалитвинский Район, Белая Калитва Город, Крайняя Улица, дом 1\А</v>
          </cell>
          <cell r="F544">
            <v>2.12</v>
          </cell>
          <cell r="G544" t="str">
            <v>Осн.</v>
          </cell>
          <cell r="H544" t="str">
            <v>Каменская</v>
          </cell>
          <cell r="I544">
            <v>56</v>
          </cell>
        </row>
        <row r="545">
          <cell r="C545" t="str">
            <v>RO0722</v>
          </cell>
          <cell r="D545" t="str">
            <v>13:собст. железобетонный столб с заглубленным фундаментом</v>
          </cell>
          <cell r="E545" t="str">
            <v>Ростовская Область, Белокалитвинский Район, Белая Калитва Город, Калинина Улица, дом 6\литер Б</v>
          </cell>
          <cell r="F545">
            <v>2.1800000000000002</v>
          </cell>
          <cell r="G545" t="str">
            <v>Осн.</v>
          </cell>
          <cell r="H545" t="str">
            <v>Каменская</v>
          </cell>
          <cell r="I545">
            <v>59</v>
          </cell>
        </row>
        <row r="546">
          <cell r="C546" t="str">
            <v>RO0723</v>
          </cell>
          <cell r="D546" t="str">
            <v>13:собст. железобетонный столб с заглубленным фундаментом</v>
          </cell>
          <cell r="E546" t="str">
            <v>Ростовская Область, Морозовский Район, Морозовск Город, Ворошилова Улица, дом 73\А</v>
          </cell>
          <cell r="F546">
            <v>3.16</v>
          </cell>
          <cell r="G546" t="str">
            <v>Осн.</v>
          </cell>
          <cell r="H546" t="str">
            <v>Волгодонская</v>
          </cell>
          <cell r="I546">
            <v>108</v>
          </cell>
        </row>
        <row r="547">
          <cell r="C547" t="str">
            <v>RO0724</v>
          </cell>
          <cell r="D547" t="str">
            <v>31:трубостойки на чужой АМС на земле/крыше</v>
          </cell>
          <cell r="E547" t="str">
            <v>Ростовская Область, Морозовский Район, Морозовск Город, Розы Люксембург Улица\дом 96</v>
          </cell>
          <cell r="F547">
            <v>3.12</v>
          </cell>
          <cell r="G547" t="str">
            <v>Осн.</v>
          </cell>
          <cell r="H547" t="str">
            <v>Волгодонская</v>
          </cell>
          <cell r="I547">
            <v>106</v>
          </cell>
        </row>
        <row r="548">
          <cell r="C548" t="str">
            <v>RO0725</v>
          </cell>
          <cell r="D548" t="str">
            <v>13:собст. железобетонный столб с заглубленным фундаментом</v>
          </cell>
          <cell r="E548" t="str">
            <v>Ростовская Область, Морозовский Район, Морозовск Город, Ленина Улица\дом 161, литер Б</v>
          </cell>
          <cell r="F548">
            <v>3.2</v>
          </cell>
          <cell r="G548" t="str">
            <v>Осн.</v>
          </cell>
          <cell r="H548" t="str">
            <v>Волгодонская</v>
          </cell>
          <cell r="I548">
            <v>110</v>
          </cell>
        </row>
        <row r="549">
          <cell r="C549" t="str">
            <v>RO0726</v>
          </cell>
          <cell r="D549" t="str">
            <v>31:трубостойки на чужой АМС на земле/крыше</v>
          </cell>
          <cell r="E549" t="str">
            <v>Ростовская Область, Морозовский Район, Вальково Хутор</v>
          </cell>
          <cell r="F549">
            <v>3.48</v>
          </cell>
          <cell r="G549" t="str">
            <v>Осн.</v>
          </cell>
          <cell r="H549" t="str">
            <v>Каменская</v>
          </cell>
          <cell r="I549">
            <v>124</v>
          </cell>
        </row>
        <row r="550">
          <cell r="C550" t="str">
            <v>RO0727</v>
          </cell>
          <cell r="D550" t="str">
            <v>31:трубостойки на чужой АМС на земле/крыше</v>
          </cell>
          <cell r="E550" t="str">
            <v>Ростовская Область, Тацинский Район, Тацинская Станица, Полевая Улица\дом 5, АМС ФГУП "РТРС"</v>
          </cell>
          <cell r="F550">
            <v>3.14</v>
          </cell>
          <cell r="G550" t="str">
            <v>Осн.</v>
          </cell>
          <cell r="H550" t="str">
            <v>Каменская</v>
          </cell>
          <cell r="I550">
            <v>107</v>
          </cell>
        </row>
        <row r="551">
          <cell r="C551" t="str">
            <v>RO0728</v>
          </cell>
          <cell r="D551" t="str">
            <v>31:трубостойки на чужой АМС на земле/крыше</v>
          </cell>
          <cell r="E551" t="str">
            <v>Ростовская Область, Морозовский Район, Морозовск Город\2,5 км севернее, АМС РТПЦ</v>
          </cell>
          <cell r="F551">
            <v>3.36</v>
          </cell>
          <cell r="G551" t="str">
            <v>Осн.</v>
          </cell>
          <cell r="H551" t="str">
            <v>Волгодонская</v>
          </cell>
          <cell r="I551">
            <v>118</v>
          </cell>
        </row>
        <row r="552">
          <cell r="C552" t="str">
            <v>RO0729</v>
          </cell>
          <cell r="D552" t="str">
            <v>21:собст. АМС до 10 м на крыше</v>
          </cell>
          <cell r="E552" t="str">
            <v>Ростовская Область, Обливский Район, Обливская Станица, Калиманова Улица\дом 19</v>
          </cell>
          <cell r="F552">
            <v>4.1399999999999997</v>
          </cell>
          <cell r="G552" t="str">
            <v>Осн.</v>
          </cell>
          <cell r="H552" t="str">
            <v>Волгодонская</v>
          </cell>
          <cell r="I552">
            <v>157</v>
          </cell>
        </row>
        <row r="553">
          <cell r="C553" t="str">
            <v>RO0730</v>
          </cell>
          <cell r="D553" t="str">
            <v>13:собст. железобетонный столб с заглубленным фундаментом</v>
          </cell>
          <cell r="E553" t="str">
            <v>Ростовская Область, Белокалитвинский Район, Коксовый Поселок, Чапаева Улица, дом 17</v>
          </cell>
          <cell r="F553">
            <v>1.92</v>
          </cell>
          <cell r="G553" t="str">
            <v>Осн.</v>
          </cell>
          <cell r="H553" t="str">
            <v>Каменская</v>
          </cell>
          <cell r="I553">
            <v>46</v>
          </cell>
        </row>
        <row r="554">
          <cell r="C554" t="str">
            <v>RO0731</v>
          </cell>
          <cell r="D554" t="str">
            <v>13:собст. железобетонный столб с заглубленным фундаментом</v>
          </cell>
          <cell r="E554" t="str">
            <v>Ростовская Область, Семикаракорский Район, Семикаракорск Город\пересечение 1-го переулка и улицы Калинина</v>
          </cell>
          <cell r="F554">
            <v>3.4</v>
          </cell>
          <cell r="G554" t="str">
            <v>Осн.</v>
          </cell>
          <cell r="H554" t="str">
            <v>Волгодонская</v>
          </cell>
          <cell r="I554">
            <v>120</v>
          </cell>
        </row>
        <row r="555">
          <cell r="C555" t="str">
            <v>RO0732</v>
          </cell>
          <cell r="D555" t="str">
            <v>32:трубостойки/АМС на: трубе, элеваторе, водонап.башне</v>
          </cell>
          <cell r="E555" t="str">
            <v>Ростовская Область, Тацинский Район, Углегорский Поселок, Гагарина Улица, дом 8а</v>
          </cell>
          <cell r="F555">
            <v>2.96</v>
          </cell>
          <cell r="G555" t="str">
            <v>Осн.</v>
          </cell>
          <cell r="H555" t="str">
            <v>Каменская</v>
          </cell>
          <cell r="I555">
            <v>98</v>
          </cell>
        </row>
        <row r="556">
          <cell r="C556" t="str">
            <v>RO0733</v>
          </cell>
          <cell r="D556" t="str">
            <v>13:собст. железобетонный столб с заглубленным фундаментом</v>
          </cell>
          <cell r="E556" t="str">
            <v>Ростовская Область, Багаевский Район, Багаевская Станица, Семашко Улица, дом 122Н</v>
          </cell>
          <cell r="F556">
            <v>2.64</v>
          </cell>
          <cell r="G556" t="str">
            <v>Осн.</v>
          </cell>
          <cell r="H556" t="str">
            <v>Ростовская</v>
          </cell>
          <cell r="I556">
            <v>82</v>
          </cell>
        </row>
        <row r="557">
          <cell r="C557" t="str">
            <v>RO0734</v>
          </cell>
          <cell r="D557" t="str">
            <v>22:собст. АМС выше 10 м на крыше</v>
          </cell>
          <cell r="E557" t="str">
            <v>Ростовская Область, Усть-Донецкий Район, Усть-Донецкий Рабочий поселок, Почтовый Переулок, дом 9</v>
          </cell>
          <cell r="F557">
            <v>3.52</v>
          </cell>
          <cell r="G557" t="str">
            <v>Осн.</v>
          </cell>
          <cell r="H557" t="str">
            <v>Волгодонская</v>
          </cell>
          <cell r="I557">
            <v>126</v>
          </cell>
        </row>
        <row r="558">
          <cell r="C558" t="str">
            <v>RO0735</v>
          </cell>
          <cell r="D558" t="str">
            <v>15:собст. башня с заглубленным фундаментом до 61м</v>
          </cell>
          <cell r="E558" t="str">
            <v>Ростовская Область, Семикаракорский Район, Сусат Хутор\АМС "РОСС"</v>
          </cell>
          <cell r="F558">
            <v>3.08</v>
          </cell>
          <cell r="G558" t="str">
            <v>Осн.</v>
          </cell>
          <cell r="H558" t="str">
            <v>Ростовская</v>
          </cell>
          <cell r="I558">
            <v>104</v>
          </cell>
        </row>
        <row r="559">
          <cell r="C559" t="str">
            <v>RO0736</v>
          </cell>
          <cell r="D559" t="str">
            <v>31:трубостойки на чужой АМС на земле/крыше</v>
          </cell>
          <cell r="E559" t="str">
            <v>Ростовская Область, Багаевский Район, Красный Хутор, Центральная Улица\башня ОАО "Вымпелком"</v>
          </cell>
          <cell r="F559">
            <v>2.3199999999999998</v>
          </cell>
          <cell r="G559" t="str">
            <v>Осн.</v>
          </cell>
          <cell r="H559" t="str">
            <v>Ростовская</v>
          </cell>
          <cell r="I559">
            <v>66</v>
          </cell>
        </row>
        <row r="560">
          <cell r="C560" t="str">
            <v>RO0737</v>
          </cell>
          <cell r="D560" t="str">
            <v>21:собст. АМС до 10 м на крыше</v>
          </cell>
          <cell r="E560" t="str">
            <v>Ростовская Область, Веселовский Район, Веселый Поселок, Элеваторная Улица\13</v>
          </cell>
          <cell r="F560">
            <v>2.96</v>
          </cell>
          <cell r="G560" t="str">
            <v>Осн.</v>
          </cell>
          <cell r="H560" t="str">
            <v>Ростовская</v>
          </cell>
          <cell r="I560">
            <v>98</v>
          </cell>
        </row>
        <row r="561">
          <cell r="C561" t="str">
            <v>RO0738</v>
          </cell>
          <cell r="D561" t="str">
            <v>15:собст. башня с заглубленным фундаментом до 61м</v>
          </cell>
          <cell r="E561" t="str">
            <v>Ростовская Область, Волгодонской Район, Парамонов Хутор, Строительная Улица\дом 37</v>
          </cell>
          <cell r="F561">
            <v>1.1599999999999999</v>
          </cell>
          <cell r="G561" t="str">
            <v>Осн.</v>
          </cell>
          <cell r="H561" t="str">
            <v>Волгодонская</v>
          </cell>
          <cell r="I561">
            <v>8</v>
          </cell>
        </row>
        <row r="562">
          <cell r="C562" t="str">
            <v>RO0739</v>
          </cell>
          <cell r="D562" t="str">
            <v>13:собст. железобетонный столб с заглубленным фундаментом</v>
          </cell>
          <cell r="E562" t="str">
            <v>Ростовская Область, Волгодонск Город, Степная Улица, дом 169</v>
          </cell>
          <cell r="F562">
            <v>1.06</v>
          </cell>
          <cell r="G562" t="str">
            <v>Осн.</v>
          </cell>
          <cell r="H562" t="str">
            <v>Волгодонская</v>
          </cell>
          <cell r="I562">
            <v>3</v>
          </cell>
        </row>
        <row r="563">
          <cell r="C563" t="str">
            <v>RO0740</v>
          </cell>
          <cell r="D563" t="str">
            <v>13:собст. железобетонный столб с заглубленным фундаментом</v>
          </cell>
          <cell r="E563" t="str">
            <v>Ростовская Область, Волгодонск Город, Гагарина Улица, дом 40</v>
          </cell>
          <cell r="F563">
            <v>1.1599999999999999</v>
          </cell>
          <cell r="G563" t="str">
            <v>Осн.</v>
          </cell>
          <cell r="H563" t="str">
            <v>Волгодонская</v>
          </cell>
          <cell r="I563">
            <v>8</v>
          </cell>
        </row>
        <row r="564">
          <cell r="C564" t="str">
            <v>RO0741</v>
          </cell>
          <cell r="D564" t="str">
            <v>13:собст. железобетонный столб с заглубленным фундаментом</v>
          </cell>
          <cell r="E564" t="str">
            <v>Ростовская Область, Волгодонск Город, Ленинградская Улица\пересечение проспект Курчатова</v>
          </cell>
          <cell r="F564">
            <v>1.1399999999999999</v>
          </cell>
          <cell r="G564" t="str">
            <v>Осн.</v>
          </cell>
          <cell r="H564" t="str">
            <v>Волгодонская</v>
          </cell>
          <cell r="I564">
            <v>7</v>
          </cell>
        </row>
        <row r="565">
          <cell r="C565" t="str">
            <v>RO0742</v>
          </cell>
          <cell r="D565" t="str">
            <v>31:трубостойки на чужой АМС на земле/крыше</v>
          </cell>
          <cell r="E565" t="str">
            <v>Ростовская Область, Белокалитвинский Район, Сосны Поселок, 50 лет СССР Улица, дом 17\а</v>
          </cell>
          <cell r="F565">
            <v>2.2799999999999998</v>
          </cell>
          <cell r="G565" t="str">
            <v>Осн.</v>
          </cell>
          <cell r="H565" t="str">
            <v>Каменская</v>
          </cell>
          <cell r="I565">
            <v>64</v>
          </cell>
        </row>
        <row r="566">
          <cell r="C566" t="str">
            <v>RO0743</v>
          </cell>
          <cell r="D566" t="str">
            <v>13:собст. железобетонный столб с заглубленным фундаментом</v>
          </cell>
          <cell r="E566" t="str">
            <v>Ростовская Область, Белокалитвинский Район, Белая Калитва Город, Октябрьская Улица, дом 36</v>
          </cell>
          <cell r="F566">
            <v>2.12</v>
          </cell>
          <cell r="G566" t="str">
            <v>Осн.</v>
          </cell>
          <cell r="H566" t="str">
            <v>Каменская</v>
          </cell>
          <cell r="I566">
            <v>56</v>
          </cell>
        </row>
        <row r="567">
          <cell r="C567" t="str">
            <v>RO0744</v>
          </cell>
          <cell r="D567" t="str">
            <v>13:собст. железобетонный столб с заглубленным фундаментом</v>
          </cell>
          <cell r="E567" t="str">
            <v>Ростовская Область, Белокалитвинский Район, Белая Калитва Город, Л.Толстого Улица\дом 95</v>
          </cell>
          <cell r="F567">
            <v>2.2000000000000002</v>
          </cell>
          <cell r="G567" t="str">
            <v>Осн.</v>
          </cell>
          <cell r="H567" t="str">
            <v>Каменская</v>
          </cell>
          <cell r="I567">
            <v>60</v>
          </cell>
        </row>
        <row r="568">
          <cell r="C568" t="str">
            <v>RO0745</v>
          </cell>
          <cell r="D568" t="str">
            <v>13:собст. железобетонный столб с заглубленным фундаментом</v>
          </cell>
          <cell r="E568" t="str">
            <v>Ростовская Область, Тацинский Район, Жирнов Рабочий поселок, Горная Улица\дом 1</v>
          </cell>
          <cell r="F568">
            <v>2.8</v>
          </cell>
          <cell r="G568" t="str">
            <v>Осн.</v>
          </cell>
          <cell r="H568" t="str">
            <v>Каменская</v>
          </cell>
          <cell r="I568">
            <v>90</v>
          </cell>
        </row>
        <row r="569">
          <cell r="C569" t="str">
            <v>RO0746</v>
          </cell>
          <cell r="D569" t="str">
            <v>15:собст. башня с заглубленным фундаментом до 61м</v>
          </cell>
          <cell r="E569" t="str">
            <v>Ростовская Область, Багаевский Район, Верхнеянченков Хутор, Школьная Улица, дом 1</v>
          </cell>
          <cell r="F569">
            <v>2.74</v>
          </cell>
          <cell r="G569" t="str">
            <v>Осн.</v>
          </cell>
          <cell r="H569" t="str">
            <v>Ростовская</v>
          </cell>
          <cell r="I569">
            <v>87</v>
          </cell>
        </row>
        <row r="570">
          <cell r="C570" t="str">
            <v>RO0747</v>
          </cell>
          <cell r="D570" t="str">
            <v>31:трубостойки на чужой АМС на земле/крыше</v>
          </cell>
          <cell r="E570" t="str">
            <v>Ростовская Область, Мартыновский Район, Большая Мартыновка Слобода\дом 110</v>
          </cell>
          <cell r="F570">
            <v>2.3199999999999998</v>
          </cell>
          <cell r="G570" t="str">
            <v>Осн.</v>
          </cell>
          <cell r="H570" t="str">
            <v>Волгодонская</v>
          </cell>
          <cell r="I570">
            <v>66</v>
          </cell>
        </row>
        <row r="571">
          <cell r="C571" t="str">
            <v>RO0748</v>
          </cell>
          <cell r="D571" t="str">
            <v>31:трубостойки на чужой АМС на земле/крыше</v>
          </cell>
          <cell r="E571" t="str">
            <v>Ростовская Область, Мартыновский Район, Большая Орловка Слобода, Дорожная Улица, дом 3</v>
          </cell>
          <cell r="F571">
            <v>2.84</v>
          </cell>
          <cell r="G571" t="str">
            <v>Осн.</v>
          </cell>
          <cell r="H571" t="str">
            <v>Волгодонская</v>
          </cell>
          <cell r="I571">
            <v>92</v>
          </cell>
        </row>
        <row r="572">
          <cell r="C572" t="str">
            <v>RO0749</v>
          </cell>
          <cell r="D572" t="str">
            <v>13:собст. железобетонный столб с заглубленным фундаментом</v>
          </cell>
          <cell r="E572" t="str">
            <v>Ростовская Область, Цимлянский Район, Хорошевская Станица</v>
          </cell>
          <cell r="F572">
            <v>1.74</v>
          </cell>
          <cell r="G572" t="str">
            <v>Осн.</v>
          </cell>
          <cell r="H572" t="str">
            <v>Волгодонская</v>
          </cell>
          <cell r="I572">
            <v>37</v>
          </cell>
        </row>
        <row r="573">
          <cell r="C573" t="str">
            <v>RO0750</v>
          </cell>
          <cell r="D573" t="str">
            <v>31:трубостойки на чужой АМС на земле/крыше</v>
          </cell>
          <cell r="E573" t="str">
            <v>Ростовская Область, Мартыновский Район, Центральный Поселок, Ленина Улица, дом 67</v>
          </cell>
          <cell r="F573">
            <v>1.84</v>
          </cell>
          <cell r="G573" t="str">
            <v>Осн.</v>
          </cell>
          <cell r="H573" t="str">
            <v>Волгодонская</v>
          </cell>
          <cell r="I573">
            <v>42</v>
          </cell>
        </row>
        <row r="574">
          <cell r="C574" t="str">
            <v>RO0751</v>
          </cell>
          <cell r="D574" t="str">
            <v>16:собст. башня с заглубленным фундаментом выше 61м</v>
          </cell>
          <cell r="E574" t="str">
            <v>Ростовская Область, Константиновский Район, Николаевская Станица\район участка КРЭС</v>
          </cell>
          <cell r="F574">
            <v>2.38</v>
          </cell>
          <cell r="G574" t="str">
            <v>Осн.</v>
          </cell>
          <cell r="H574" t="str">
            <v>Волгодонская</v>
          </cell>
          <cell r="I574">
            <v>69</v>
          </cell>
        </row>
        <row r="575">
          <cell r="C575" t="str">
            <v>RO0752</v>
          </cell>
          <cell r="D575" t="str">
            <v>11:собст. мачта на оттяжках с земли выше 61м</v>
          </cell>
          <cell r="E575" t="str">
            <v>Ростовская Область, Каменский Район, Репная Станция</v>
          </cell>
          <cell r="F575">
            <v>1.6</v>
          </cell>
          <cell r="G575" t="str">
            <v>Осн.</v>
          </cell>
          <cell r="H575" t="str">
            <v>Каменская</v>
          </cell>
          <cell r="I575">
            <v>30</v>
          </cell>
        </row>
        <row r="576">
          <cell r="C576" t="str">
            <v>RO0753</v>
          </cell>
          <cell r="D576" t="str">
            <v>31:трубостойки на чужой АМС на земле/крыше</v>
          </cell>
          <cell r="E576" t="str">
            <v>Ростовская Область, Семикаракорский Район, Задоно-Кагальницкая Станица\вышка ОАО "Вымпелком"</v>
          </cell>
          <cell r="F576">
            <v>2.54</v>
          </cell>
          <cell r="G576" t="str">
            <v>Осн.</v>
          </cell>
          <cell r="H576" t="str">
            <v>Волгодонская</v>
          </cell>
          <cell r="I576">
            <v>77</v>
          </cell>
        </row>
        <row r="577">
          <cell r="C577" t="str">
            <v>RO0754</v>
          </cell>
          <cell r="D577" t="str">
            <v>31:трубостойки на чужой АМС на земле/крыше</v>
          </cell>
          <cell r="E577" t="str">
            <v>Ростовская Область, Белокалитвинский Район, Шолоховский Рабочий поселок, Октябрьская Улица, дом 2\А</v>
          </cell>
          <cell r="F577">
            <v>2.6</v>
          </cell>
          <cell r="G577" t="str">
            <v>Осн.</v>
          </cell>
          <cell r="H577" t="str">
            <v>Каменская</v>
          </cell>
          <cell r="I577">
            <v>80</v>
          </cell>
        </row>
        <row r="578">
          <cell r="C578" t="str">
            <v>RO0755</v>
          </cell>
          <cell r="D578" t="str">
            <v>13:собст. железобетонный столб с заглубленным фундаментом</v>
          </cell>
          <cell r="E578" t="str">
            <v>Ростовская Область, Волгодонск Город, Цимлянское Шоссе, дом 22а</v>
          </cell>
          <cell r="F578">
            <v>1.2</v>
          </cell>
          <cell r="G578" t="str">
            <v>Осн.</v>
          </cell>
          <cell r="H578" t="str">
            <v>Волгодонская</v>
          </cell>
          <cell r="I578">
            <v>10</v>
          </cell>
        </row>
        <row r="579">
          <cell r="C579" t="str">
            <v>RO0757</v>
          </cell>
          <cell r="D579" t="str">
            <v>13:собст. железобетонный столб с заглубленным фундаментом</v>
          </cell>
          <cell r="E579" t="str">
            <v>Ростовская Область, Волгодонской Район, Лагутники Хутор, Технический Переулок, дом 5\б</v>
          </cell>
          <cell r="F579">
            <v>1.22</v>
          </cell>
          <cell r="G579" t="str">
            <v>Осн.</v>
          </cell>
          <cell r="H579" t="str">
            <v>Волгодонская</v>
          </cell>
          <cell r="I579">
            <v>11</v>
          </cell>
        </row>
        <row r="580">
          <cell r="C580" t="str">
            <v>RO0758</v>
          </cell>
          <cell r="D580" t="str">
            <v>13:собст. железобетонный столб с заглубленным фундаментом</v>
          </cell>
          <cell r="E580" t="str">
            <v>Ростовская Область, Семикаракорский Район, Семикаракорск Город, Атаманский Проспект\дом 265</v>
          </cell>
          <cell r="F580">
            <v>3.4</v>
          </cell>
          <cell r="G580" t="str">
            <v>Осн.</v>
          </cell>
          <cell r="H580" t="str">
            <v>Волгодонская</v>
          </cell>
          <cell r="I580">
            <v>120</v>
          </cell>
        </row>
        <row r="581">
          <cell r="C581" t="str">
            <v>RO0759</v>
          </cell>
          <cell r="D581" t="str">
            <v>13:собст. железобетонный столб с заглубленным фундаментом</v>
          </cell>
          <cell r="E581" t="str">
            <v>Ростовская Область, Константиновский Район, Константиновск Город, Шахтинская Улица\в районе АЗС</v>
          </cell>
          <cell r="F581">
            <v>3.16</v>
          </cell>
          <cell r="G581" t="str">
            <v>Осн.</v>
          </cell>
          <cell r="H581" t="str">
            <v>Волгодонская</v>
          </cell>
          <cell r="I581">
            <v>108</v>
          </cell>
        </row>
        <row r="582">
          <cell r="C582" t="str">
            <v>RO0760</v>
          </cell>
          <cell r="D582" t="str">
            <v>13:собст. железобетонный столб с заглубленным фундаментом</v>
          </cell>
          <cell r="E582" t="str">
            <v>Ростовская Область, Константиновский Район, Константиновск Город, Радищева Улица\пересечение с улицей Ермака</v>
          </cell>
          <cell r="F582">
            <v>3.08</v>
          </cell>
          <cell r="G582" t="str">
            <v>Осн.</v>
          </cell>
          <cell r="H582" t="str">
            <v>Волгодонская</v>
          </cell>
          <cell r="I582">
            <v>104</v>
          </cell>
        </row>
        <row r="583">
          <cell r="C583" t="str">
            <v>RO0761</v>
          </cell>
          <cell r="D583" t="str">
            <v>31:трубостойки на чужой АМС на земле/крыше</v>
          </cell>
          <cell r="E583" t="str">
            <v>Ростовская Область, Усть-Донецкий Район, Пухляковский Хутор\500 м севернее хутора 500 м севернее хутора</v>
          </cell>
          <cell r="F583">
            <v>3.26</v>
          </cell>
          <cell r="G583" t="str">
            <v>Осн.</v>
          </cell>
          <cell r="H583" t="str">
            <v>Ростовская</v>
          </cell>
          <cell r="I583">
            <v>113</v>
          </cell>
        </row>
        <row r="584">
          <cell r="C584" t="str">
            <v>RO0763</v>
          </cell>
          <cell r="D584" t="str">
            <v>16:собст. башня с заглубленным фундаментом выше 61м</v>
          </cell>
          <cell r="E584" t="str">
            <v>Ростовская Область, Мартыновский Район, Черемухи Поселок, Нефтебаза Улица, дом 2</v>
          </cell>
          <cell r="F584">
            <v>2.8</v>
          </cell>
          <cell r="G584" t="str">
            <v>Осн.</v>
          </cell>
          <cell r="H584" t="str">
            <v>Волгодонская</v>
          </cell>
          <cell r="I584">
            <v>90</v>
          </cell>
        </row>
        <row r="585">
          <cell r="C585" t="str">
            <v>RO0764</v>
          </cell>
          <cell r="D585" t="str">
            <v>15:собст. башня с заглубленным фундаментом до 61м</v>
          </cell>
          <cell r="E585" t="str">
            <v>Ростовская Область, Волгодонской Район, Дубенцовская Станица, Пролетарская Улица, дом 6\А</v>
          </cell>
          <cell r="F585">
            <v>2.16</v>
          </cell>
          <cell r="G585" t="str">
            <v>Осн.</v>
          </cell>
          <cell r="H585" t="str">
            <v>Волгодонская</v>
          </cell>
          <cell r="I585">
            <v>58</v>
          </cell>
        </row>
        <row r="586">
          <cell r="C586" t="str">
            <v>RO0765</v>
          </cell>
          <cell r="D586" t="str">
            <v>15:собст. башня с заглубленным фундаментом до 61м</v>
          </cell>
          <cell r="E586" t="str">
            <v>Ростовская Область, Волгодонской Район, Ясырев Хутор, Победы Улица\дом 21</v>
          </cell>
          <cell r="F586">
            <v>1.66</v>
          </cell>
          <cell r="G586" t="str">
            <v>Осн.</v>
          </cell>
          <cell r="H586" t="str">
            <v>Волгодонская</v>
          </cell>
          <cell r="I586">
            <v>33</v>
          </cell>
        </row>
        <row r="587">
          <cell r="C587" t="str">
            <v>RO0766</v>
          </cell>
          <cell r="D587" t="str">
            <v>15:собст. башня с заглубленным фундаментом до 61м</v>
          </cell>
          <cell r="E587" t="str">
            <v>Ростовская Область, Волгодонской Район, Мичуринский Поселок, Ленина Улица, дом 22</v>
          </cell>
          <cell r="F587">
            <v>2.02</v>
          </cell>
          <cell r="G587" t="str">
            <v>Осн.</v>
          </cell>
          <cell r="H587" t="str">
            <v>Волгодонская</v>
          </cell>
          <cell r="I587">
            <v>51</v>
          </cell>
        </row>
        <row r="588">
          <cell r="C588" t="str">
            <v>RO0767</v>
          </cell>
          <cell r="D588" t="str">
            <v>13:собст. железобетонный столб с заглубленным фундаментом</v>
          </cell>
          <cell r="E588" t="str">
            <v>Ростовская Область, Константиновский Район, Константиновск Город, Карташова Улица\дом 43</v>
          </cell>
          <cell r="F588">
            <v>3.08</v>
          </cell>
          <cell r="G588" t="str">
            <v>Осн.</v>
          </cell>
          <cell r="H588" t="str">
            <v>Волгодонская</v>
          </cell>
          <cell r="I588">
            <v>104</v>
          </cell>
        </row>
        <row r="589">
          <cell r="C589" t="str">
            <v>RO0768</v>
          </cell>
          <cell r="D589" t="str">
            <v>31:трубостойки на чужой АМС на земле/крыше</v>
          </cell>
          <cell r="E589" t="str">
            <v>Ростовская Область, Усть-Донецкий Район, Мелиховская Станица\750 м северо-восточнее  станицы башня ОАО "Вымпелком"</v>
          </cell>
          <cell r="F589">
            <v>3.28</v>
          </cell>
          <cell r="G589" t="str">
            <v>Осн.</v>
          </cell>
          <cell r="H589" t="str">
            <v>Ростовская</v>
          </cell>
          <cell r="I589">
            <v>114</v>
          </cell>
        </row>
        <row r="590">
          <cell r="C590" t="str">
            <v>RO0769</v>
          </cell>
          <cell r="D590" t="str">
            <v>15:собст. башня с заглубленным фундаментом до 61м</v>
          </cell>
          <cell r="E590" t="str">
            <v>Ростовская Область, Цимлянский Район, Паршиков Хутор, Центральная Улица, дом 5\А</v>
          </cell>
          <cell r="F590">
            <v>1.7</v>
          </cell>
          <cell r="G590" t="str">
            <v>Осн.</v>
          </cell>
          <cell r="H590" t="str">
            <v>Волгодонская</v>
          </cell>
          <cell r="I590">
            <v>35</v>
          </cell>
        </row>
        <row r="591">
          <cell r="C591" t="str">
            <v>RO0771</v>
          </cell>
          <cell r="D591" t="str">
            <v>15:собст. башня с заглубленным фундаментом до 61м</v>
          </cell>
          <cell r="E591" t="str">
            <v>Ростовская Область, Цимлянский Район, Цимлянск Город, Победы Улица\дом 116/7</v>
          </cell>
          <cell r="F591">
            <v>1.4</v>
          </cell>
          <cell r="G591" t="str">
            <v>Осн.</v>
          </cell>
          <cell r="H591" t="str">
            <v>Волгодонская</v>
          </cell>
          <cell r="I591">
            <v>20</v>
          </cell>
        </row>
        <row r="592">
          <cell r="C592" t="str">
            <v>RO0772</v>
          </cell>
          <cell r="D592" t="str">
            <v>31:трубостойки на чужой АМС на земле/крыше</v>
          </cell>
          <cell r="E592" t="str">
            <v>Ростовская Область, Тацинский Район, Михайлов Хутор\башня ЗАО "РОСС"</v>
          </cell>
          <cell r="F592">
            <v>2.82</v>
          </cell>
          <cell r="G592" t="str">
            <v>Осн.</v>
          </cell>
          <cell r="H592" t="str">
            <v>Каменская</v>
          </cell>
          <cell r="I592">
            <v>91</v>
          </cell>
        </row>
        <row r="593">
          <cell r="C593" t="str">
            <v>RO0773</v>
          </cell>
          <cell r="D593" t="str">
            <v>15:собст. башня с заглубленным фундаментом до 61м</v>
          </cell>
          <cell r="E593" t="str">
            <v>Ростовская Область, Белокалитвинский Район, Горняцкий Поселок, Берегового Улица\100 м северо-восточнее дома №4</v>
          </cell>
          <cell r="F593">
            <v>2.5</v>
          </cell>
          <cell r="G593" t="str">
            <v>Осн.</v>
          </cell>
          <cell r="H593" t="str">
            <v>Каменская</v>
          </cell>
          <cell r="I593">
            <v>75</v>
          </cell>
        </row>
        <row r="594">
          <cell r="C594" t="str">
            <v>RO0775</v>
          </cell>
          <cell r="D594" t="str">
            <v>13:собст. железобетонный столб с заглубленным фундаментом</v>
          </cell>
          <cell r="E594" t="str">
            <v>Ростовская Область, Тацинский Район, Тацинская Станица, Калинина Площадь\пересечение с переулком Невский</v>
          </cell>
          <cell r="F594">
            <v>3.02</v>
          </cell>
          <cell r="G594" t="str">
            <v>Осн.</v>
          </cell>
          <cell r="H594" t="str">
            <v>Каменская</v>
          </cell>
          <cell r="I594">
            <v>101</v>
          </cell>
        </row>
        <row r="595">
          <cell r="C595" t="str">
            <v>RO0776</v>
          </cell>
          <cell r="D595" t="str">
            <v>31:трубостойки на чужой АМС на земле/крыше</v>
          </cell>
          <cell r="E595" t="str">
            <v>Ростовская Область, Обливский Район, Обливская Станица, Розы Люксембург Улица\Опора АО "ПБК" (Мегафон)</v>
          </cell>
          <cell r="F595">
            <v>4.74</v>
          </cell>
          <cell r="G595" t="str">
            <v>Осн.</v>
          </cell>
          <cell r="H595" t="str">
            <v>Волгодонская</v>
          </cell>
          <cell r="I595">
            <v>187</v>
          </cell>
        </row>
        <row r="596">
          <cell r="C596" t="str">
            <v>RO0777</v>
          </cell>
          <cell r="D596" t="str">
            <v>31:трубостойки на чужой АМС на земле/крыше</v>
          </cell>
          <cell r="E596" t="str">
            <v>Ростовская Область, Волгодонск Город, Курчатова Проспект\дом 30</v>
          </cell>
          <cell r="F596">
            <v>1.1200000000000001</v>
          </cell>
          <cell r="G596" t="str">
            <v>Осн.</v>
          </cell>
          <cell r="H596" t="str">
            <v>Волгодонская</v>
          </cell>
          <cell r="I596">
            <v>6</v>
          </cell>
        </row>
        <row r="597">
          <cell r="C597" t="str">
            <v>RO0778</v>
          </cell>
          <cell r="D597" t="str">
            <v>13:собст. железобетонный столб с заглубленным фундаментом</v>
          </cell>
          <cell r="E597" t="str">
            <v>Ростовская Область, Волгодонск Город, Заводская 7-я Улица\дом 114</v>
          </cell>
          <cell r="F597">
            <v>1.1599999999999999</v>
          </cell>
          <cell r="G597" t="str">
            <v>Осн.</v>
          </cell>
          <cell r="H597" t="str">
            <v>Волгодонская</v>
          </cell>
          <cell r="I597">
            <v>8</v>
          </cell>
        </row>
        <row r="598">
          <cell r="C598" t="str">
            <v>RO0779</v>
          </cell>
          <cell r="D598" t="str">
            <v>13:собст. железобетонный столб с заглубленным фундаментом</v>
          </cell>
          <cell r="E598" t="str">
            <v>Ростовская Область, Волгодонск Город, Мира Проспект, дом 56</v>
          </cell>
          <cell r="F598">
            <v>1.1599999999999999</v>
          </cell>
          <cell r="G598" t="str">
            <v>Осн.</v>
          </cell>
          <cell r="H598" t="str">
            <v>Волгодонская</v>
          </cell>
          <cell r="I598">
            <v>8</v>
          </cell>
        </row>
        <row r="599">
          <cell r="C599" t="str">
            <v>RO0781</v>
          </cell>
          <cell r="D599" t="str">
            <v>22:собст. АМС выше 10 м на крыше</v>
          </cell>
          <cell r="E599" t="str">
            <v>Ростовская Область, Волгодонск Город, Индустриальная Улица\дом 10</v>
          </cell>
          <cell r="F599">
            <v>1.18</v>
          </cell>
          <cell r="G599" t="str">
            <v>Осн.</v>
          </cell>
          <cell r="H599" t="str">
            <v>Волгодонская</v>
          </cell>
          <cell r="I599">
            <v>9</v>
          </cell>
        </row>
        <row r="600">
          <cell r="C600" t="str">
            <v>RO0782</v>
          </cell>
          <cell r="D600" t="str">
            <v>33:трубостойки, АМС инфраструктурного оператора</v>
          </cell>
          <cell r="E600" t="str">
            <v>Ростовская Область, Белокалитвинский Район, Рудаков Хутор</v>
          </cell>
          <cell r="F600">
            <v>2.56</v>
          </cell>
          <cell r="G600" t="str">
            <v>Осн.</v>
          </cell>
          <cell r="H600" t="str">
            <v>Каменская</v>
          </cell>
          <cell r="I600">
            <v>78</v>
          </cell>
        </row>
        <row r="601">
          <cell r="C601" t="str">
            <v>RO0783</v>
          </cell>
          <cell r="D601" t="str">
            <v>13:собст. железобетонный столб с заглубленным фундаментом</v>
          </cell>
          <cell r="E601" t="str">
            <v>Ростовская Область, Багаевский Район, Багаевская Станица, Стадионовский Переулок, дом 43А</v>
          </cell>
          <cell r="F601">
            <v>2.56</v>
          </cell>
          <cell r="G601" t="str">
            <v>Осн.</v>
          </cell>
          <cell r="H601" t="str">
            <v>Ростовская</v>
          </cell>
          <cell r="I601">
            <v>78</v>
          </cell>
        </row>
        <row r="602">
          <cell r="C602" t="str">
            <v>RO0784</v>
          </cell>
          <cell r="D602" t="str">
            <v>31:трубостойки на чужой АМС на земле/крыше</v>
          </cell>
          <cell r="E602" t="str">
            <v>Ростовская Область, Веселовский Район, Верхнесоленый Хутор, Заречная Улица\дом 32 А</v>
          </cell>
          <cell r="F602">
            <v>3.34</v>
          </cell>
          <cell r="G602" t="str">
            <v>Осн.</v>
          </cell>
          <cell r="H602" t="str">
            <v>Ростовская</v>
          </cell>
          <cell r="I602">
            <v>117</v>
          </cell>
        </row>
        <row r="603">
          <cell r="C603" t="str">
            <v>RO0787</v>
          </cell>
          <cell r="D603" t="str">
            <v>31:трубостойки на чужой АМС на земле/крыше</v>
          </cell>
          <cell r="E603" t="str">
            <v>Ростовская Область, Константиновский Район, Базки Хутор\в 1000 м. севернее хутора</v>
          </cell>
          <cell r="F603">
            <v>3.42</v>
          </cell>
          <cell r="G603" t="str">
            <v>Осн.</v>
          </cell>
          <cell r="H603" t="str">
            <v>Волгодонская</v>
          </cell>
          <cell r="I603">
            <v>121</v>
          </cell>
        </row>
        <row r="604">
          <cell r="C604" t="str">
            <v>RO0788</v>
          </cell>
          <cell r="D604" t="str">
            <v>15:собст. башня с заглубленным фундаментом до 61м</v>
          </cell>
          <cell r="E604" t="str">
            <v>Ростовская Область, Белокалитвинский Район, Богураев Хутор, Центральная Улица, дом 75\90 м северо-западнее дома</v>
          </cell>
          <cell r="F604">
            <v>2.02</v>
          </cell>
          <cell r="G604" t="str">
            <v>Осн.</v>
          </cell>
          <cell r="H604" t="str">
            <v>Каменская</v>
          </cell>
          <cell r="I604">
            <v>51</v>
          </cell>
        </row>
        <row r="605">
          <cell r="C605" t="str">
            <v>RO0789</v>
          </cell>
          <cell r="D605" t="str">
            <v>31:трубостойки на чужой АМС на земле/крыше</v>
          </cell>
          <cell r="E605" t="str">
            <v>Ростовская Область, Белокалитвинский Район, Коксовый Поселок, Тургенева Улица\башня ПАО "МТС"</v>
          </cell>
          <cell r="F605">
            <v>1.94</v>
          </cell>
          <cell r="G605" t="str">
            <v>Осн.</v>
          </cell>
          <cell r="H605" t="str">
            <v>Каменская</v>
          </cell>
          <cell r="I605">
            <v>47</v>
          </cell>
        </row>
        <row r="606">
          <cell r="C606" t="str">
            <v>RO0790</v>
          </cell>
          <cell r="D606" t="str">
            <v>31:трубостойки на чужой АМС на земле/крыше</v>
          </cell>
          <cell r="E606" t="str">
            <v>Ростовская Область, Цимлянский Район, Цимлянск Город, Гришина Улица\дом 26</v>
          </cell>
          <cell r="F606">
            <v>1.34</v>
          </cell>
          <cell r="G606" t="str">
            <v>Осн.</v>
          </cell>
          <cell r="H606" t="str">
            <v>Волгодонская</v>
          </cell>
          <cell r="I606">
            <v>17</v>
          </cell>
        </row>
        <row r="607">
          <cell r="C607" t="str">
            <v>RO0791</v>
          </cell>
          <cell r="D607" t="str">
            <v>31:трубостойки на чужой АМС на земле/крыше</v>
          </cell>
          <cell r="E607" t="str">
            <v>Ростовская Область, Семикаракорский Район, Страхов Хутор, Театральный Переулок, дом 2</v>
          </cell>
          <cell r="F607">
            <v>3.84</v>
          </cell>
          <cell r="G607" t="str">
            <v>Осн.</v>
          </cell>
          <cell r="H607" t="str">
            <v>Ростовская</v>
          </cell>
          <cell r="I607">
            <v>142</v>
          </cell>
        </row>
        <row r="608">
          <cell r="C608" t="str">
            <v>RO0792</v>
          </cell>
          <cell r="D608" t="str">
            <v>15:собст. башня с заглубленным фундаментом до 61м</v>
          </cell>
          <cell r="E608" t="str">
            <v>Ростовская Область, Цимлянский Район, Лозной Хутор\на расстоянии 50 м западнее д.31 по пер. Космонавтов</v>
          </cell>
          <cell r="F608">
            <v>1.5</v>
          </cell>
          <cell r="G608" t="str">
            <v>Осн.</v>
          </cell>
          <cell r="H608" t="str">
            <v>Волгодонская</v>
          </cell>
          <cell r="I608">
            <v>25</v>
          </cell>
        </row>
        <row r="609">
          <cell r="C609" t="str">
            <v>RO0793</v>
          </cell>
          <cell r="D609" t="str">
            <v>12:собст. металлический столб с заглубленным фундаментом</v>
          </cell>
          <cell r="E609" t="str">
            <v>Ростовская Область, Каменск-Шахтинский Город, Башкевича Переулок\дом 90</v>
          </cell>
          <cell r="F609">
            <v>1.04</v>
          </cell>
          <cell r="G609" t="str">
            <v>Осн.</v>
          </cell>
          <cell r="H609" t="str">
            <v>Каменская</v>
          </cell>
          <cell r="I609">
            <v>2</v>
          </cell>
        </row>
        <row r="610">
          <cell r="C610" t="str">
            <v>RO0794</v>
          </cell>
          <cell r="D610" t="str">
            <v>31:трубостойки на чужой АМС на земле/крыше</v>
          </cell>
          <cell r="E610" t="str">
            <v>Ростовская Область, Усть-Донецкий Район, Апаринский Хутор\500 м северо-восточнее хутора  башня ОАО "Вымпелком"</v>
          </cell>
          <cell r="F610">
            <v>3.86</v>
          </cell>
          <cell r="G610" t="str">
            <v>Осн.</v>
          </cell>
          <cell r="H610" t="str">
            <v>Ростовская</v>
          </cell>
          <cell r="I610">
            <v>143</v>
          </cell>
        </row>
        <row r="611">
          <cell r="C611" t="str">
            <v>RO0795</v>
          </cell>
          <cell r="D611" t="str">
            <v>13:собст. железобетонный столб с заглубленным фундаментом</v>
          </cell>
          <cell r="E611" t="str">
            <v>Ростовская Область, Каменский Район, Малая Каменка Хутор, Карла Маркса Улица\дом 32</v>
          </cell>
          <cell r="F611">
            <v>1.24</v>
          </cell>
          <cell r="G611" t="str">
            <v>Осн.</v>
          </cell>
          <cell r="H611" t="str">
            <v>Каменская</v>
          </cell>
          <cell r="I611">
            <v>12</v>
          </cell>
        </row>
        <row r="612">
          <cell r="C612" t="str">
            <v>RO0796</v>
          </cell>
          <cell r="D612" t="str">
            <v>31:трубостойки на чужой АМС на земле/крыше</v>
          </cell>
          <cell r="E612" t="str">
            <v>Ростовская Область, Усть-Донецкий Район, Мостовой Хутор\630 м южнее хутора</v>
          </cell>
          <cell r="F612">
            <v>4.18</v>
          </cell>
          <cell r="G612" t="str">
            <v>Осн.</v>
          </cell>
          <cell r="H612" t="str">
            <v>Ростовская</v>
          </cell>
          <cell r="I612">
            <v>159</v>
          </cell>
        </row>
        <row r="613">
          <cell r="C613" t="str">
            <v>RO0798</v>
          </cell>
          <cell r="D613" t="str">
            <v>15:собст. башня с заглубленным фундаментом до 61м</v>
          </cell>
          <cell r="E613" t="str">
            <v>Ростовская Область, Семикаракорский Район\100м севернее станицы Новозолотовская</v>
          </cell>
          <cell r="F613">
            <v>3.38</v>
          </cell>
          <cell r="G613" t="str">
            <v>Осн.</v>
          </cell>
          <cell r="H613" t="str">
            <v>Волгодонская</v>
          </cell>
          <cell r="I613">
            <v>119</v>
          </cell>
        </row>
        <row r="614">
          <cell r="C614" t="str">
            <v>RO0799</v>
          </cell>
          <cell r="D614" t="str">
            <v>13:собст. железобетонный столб с заглубленным фундаментом</v>
          </cell>
          <cell r="E614" t="str">
            <v>Ростовская Область, Семикаракорский Район, Кочетовская Станица, Горького Улица, дом 40\а</v>
          </cell>
          <cell r="F614">
            <v>3.6</v>
          </cell>
          <cell r="G614" t="str">
            <v>Осн.</v>
          </cell>
          <cell r="H614" t="str">
            <v>Волгодонская</v>
          </cell>
          <cell r="I614">
            <v>130</v>
          </cell>
        </row>
        <row r="615">
          <cell r="C615" t="str">
            <v>RO0801</v>
          </cell>
          <cell r="D615" t="str">
            <v>31:трубостойки на чужой АМС на земле/крыше</v>
          </cell>
          <cell r="E615" t="str">
            <v>Ростовская Область, Шолоховский Район, Вешенская Станица, Розы Люксембург Переулок, дом 41\литер А</v>
          </cell>
          <cell r="F615">
            <v>5.5</v>
          </cell>
          <cell r="G615" t="str">
            <v>Осн.</v>
          </cell>
          <cell r="H615" t="str">
            <v>Каменская</v>
          </cell>
          <cell r="I615">
            <v>225</v>
          </cell>
        </row>
        <row r="616">
          <cell r="C616" t="str">
            <v>RO0802</v>
          </cell>
          <cell r="D616" t="str">
            <v>33:трубостойки, АМС инфраструктурного оператора</v>
          </cell>
          <cell r="E616" t="str">
            <v>Ростовская Область, Шолоховский Район, Белогорский Хутор, Асфальтная Улица\150 м. севернее дома №47</v>
          </cell>
          <cell r="F616">
            <v>5.28</v>
          </cell>
          <cell r="G616" t="str">
            <v>Осн.</v>
          </cell>
          <cell r="H616" t="str">
            <v>Каменская</v>
          </cell>
          <cell r="I616">
            <v>214</v>
          </cell>
        </row>
        <row r="617">
          <cell r="C617" t="str">
            <v>RO0803</v>
          </cell>
          <cell r="D617" t="str">
            <v>31:трубостойки на чужой АМС на земле/крыше</v>
          </cell>
          <cell r="E617" t="str">
            <v>Ростовская Область, Шолоховский Район, Калининский Хутор, Степная Улица\дом 2</v>
          </cell>
          <cell r="F617">
            <v>5.6</v>
          </cell>
          <cell r="G617" t="str">
            <v>Осн.</v>
          </cell>
          <cell r="H617" t="str">
            <v>Каменская</v>
          </cell>
          <cell r="I617">
            <v>230</v>
          </cell>
        </row>
        <row r="618">
          <cell r="C618" t="str">
            <v>RO0804</v>
          </cell>
          <cell r="D618" t="str">
            <v>31:трубостойки на чужой АМС на земле/крыше</v>
          </cell>
          <cell r="E618" t="str">
            <v>Ростовская Область, Боковский Район, Земцов Хутор, Луговая Улица, дом 83</v>
          </cell>
          <cell r="F618">
            <v>5.22</v>
          </cell>
          <cell r="G618" t="str">
            <v>Осн.</v>
          </cell>
          <cell r="H618" t="str">
            <v>Каменская</v>
          </cell>
          <cell r="I618">
            <v>211</v>
          </cell>
        </row>
        <row r="619">
          <cell r="C619" t="str">
            <v>RO0805</v>
          </cell>
          <cell r="D619" t="str">
            <v>31:трубостойки на чужой АМС на земле/крыше</v>
          </cell>
          <cell r="E619" t="str">
            <v>Ростовская Область, Боковский Район, Каргинская Станица\1,6 км севернее</v>
          </cell>
          <cell r="F619">
            <v>4.8</v>
          </cell>
          <cell r="G619" t="str">
            <v>Осн.</v>
          </cell>
          <cell r="H619" t="str">
            <v>Каменская</v>
          </cell>
          <cell r="I619">
            <v>190</v>
          </cell>
        </row>
        <row r="620">
          <cell r="C620" t="str">
            <v>RO0806</v>
          </cell>
          <cell r="D620" t="str">
            <v>31:трубостойки на чужой АМС на земле/крыше</v>
          </cell>
          <cell r="E620" t="str">
            <v>Ростовская Область, Верхнедонской Район, Тубянский Хутор\АМС МУП РИЦ "Секрет"</v>
          </cell>
          <cell r="F620">
            <v>5.44</v>
          </cell>
          <cell r="G620" t="str">
            <v>Осн.</v>
          </cell>
          <cell r="H620" t="str">
            <v>Каменская</v>
          </cell>
          <cell r="I620">
            <v>222</v>
          </cell>
        </row>
        <row r="621">
          <cell r="C621" t="str">
            <v>RO0807</v>
          </cell>
          <cell r="D621" t="str">
            <v>31:трубостойки на чужой АМС на земле/крыше</v>
          </cell>
          <cell r="E621" t="str">
            <v>Ростовская Область, Верхнедонской Район, Нижнетиховский Хутор, Ермака Улица\дом 14, литер А</v>
          </cell>
          <cell r="F621">
            <v>5.54</v>
          </cell>
          <cell r="G621" t="str">
            <v>Осн.</v>
          </cell>
          <cell r="H621" t="str">
            <v>Каменская</v>
          </cell>
          <cell r="I621">
            <v>227</v>
          </cell>
        </row>
        <row r="622">
          <cell r="C622" t="str">
            <v>RO0808</v>
          </cell>
          <cell r="D622" t="str">
            <v>21:собст. АМС до 10 м на крыше</v>
          </cell>
          <cell r="E622" t="str">
            <v>Ростовская Область, Ростов-на-Дону Город, Жлобинский Переулок, дом 23</v>
          </cell>
          <cell r="F622">
            <v>1.18</v>
          </cell>
          <cell r="G622" t="str">
            <v>Осн.</v>
          </cell>
          <cell r="H622" t="str">
            <v>Ростовская</v>
          </cell>
          <cell r="I622">
            <v>9</v>
          </cell>
        </row>
        <row r="623">
          <cell r="C623" t="str">
            <v>RO0809</v>
          </cell>
          <cell r="D623" t="str">
            <v>31:трубостойки на чужой АМС на земле/крыше</v>
          </cell>
          <cell r="E623" t="str">
            <v>Ростовская Область, Верхнедонской Район, Мешковская Станица, Сосновая Улица\дом 1, литер А</v>
          </cell>
          <cell r="F623">
            <v>4.82</v>
          </cell>
          <cell r="G623" t="str">
            <v>Осн.</v>
          </cell>
          <cell r="H623" t="str">
            <v>Каменская</v>
          </cell>
          <cell r="I623">
            <v>191</v>
          </cell>
        </row>
        <row r="624">
          <cell r="C624" t="str">
            <v>RO0810</v>
          </cell>
          <cell r="D624" t="str">
            <v>21:собст. АМС до 10 м на крыше</v>
          </cell>
          <cell r="E624" t="str">
            <v>Ростовская Область, Верхнедонской Район, Мигулинская Станица, Элеваторная Улица\дом 22</v>
          </cell>
          <cell r="F624">
            <v>5.52</v>
          </cell>
          <cell r="G624" t="str">
            <v>Осн.</v>
          </cell>
          <cell r="H624" t="str">
            <v>Каменская</v>
          </cell>
          <cell r="I624">
            <v>226</v>
          </cell>
        </row>
        <row r="625">
          <cell r="C625" t="str">
            <v>RO0811</v>
          </cell>
          <cell r="D625" t="str">
            <v>31:трубостойки на чужой АМС на земле/крыше</v>
          </cell>
          <cell r="E625" t="str">
            <v>Ростовская Область, Милютинский Район, Милютинская Станица, Победы Улица\персечение улица Надежды</v>
          </cell>
          <cell r="F625">
            <v>4.46</v>
          </cell>
          <cell r="G625" t="str">
            <v>Осн.</v>
          </cell>
          <cell r="H625" t="str">
            <v>Каменская</v>
          </cell>
          <cell r="I625">
            <v>173</v>
          </cell>
        </row>
        <row r="626">
          <cell r="C626" t="str">
            <v>RO0812</v>
          </cell>
          <cell r="D626" t="str">
            <v>31:трубостойки на чужой АМС на земле/крыше</v>
          </cell>
          <cell r="E626" t="str">
            <v>Ростовская Область, Чертковский Район, Нагибин Хутор</v>
          </cell>
          <cell r="F626">
            <v>4.3</v>
          </cell>
          <cell r="G626" t="str">
            <v>Осн.</v>
          </cell>
          <cell r="H626" t="str">
            <v>Каменская</v>
          </cell>
          <cell r="I626">
            <v>165</v>
          </cell>
        </row>
        <row r="627">
          <cell r="C627" t="str">
            <v>RO0813</v>
          </cell>
          <cell r="D627" t="str">
            <v>31:трубостойки на чужой АМС на земле/крыше</v>
          </cell>
          <cell r="E627" t="str">
            <v>Ростовская Область, Милютинский Район, Селивановская Станица\2,3 км северо-западнее, АМС РТПЦ</v>
          </cell>
          <cell r="F627">
            <v>5.2</v>
          </cell>
          <cell r="G627" t="str">
            <v>Осн.</v>
          </cell>
          <cell r="H627" t="str">
            <v>Каменская</v>
          </cell>
          <cell r="I627">
            <v>210</v>
          </cell>
        </row>
        <row r="628">
          <cell r="C628" t="str">
            <v>RO0814</v>
          </cell>
          <cell r="D628" t="str">
            <v>22:собст. АМС выше 10 м на крыше</v>
          </cell>
          <cell r="E628" t="str">
            <v>Ростовская Область, Советский Район, Советская Станица, Южная Улица\дом 3</v>
          </cell>
          <cell r="F628">
            <v>5.88</v>
          </cell>
          <cell r="G628" t="str">
            <v>Осн.</v>
          </cell>
          <cell r="H628" t="str">
            <v>Каменская</v>
          </cell>
          <cell r="I628">
            <v>244</v>
          </cell>
        </row>
        <row r="629">
          <cell r="C629" t="str">
            <v>RO0815</v>
          </cell>
          <cell r="D629" t="str">
            <v>31:трубостойки на чужой АМС на земле/крыше</v>
          </cell>
          <cell r="E629" t="str">
            <v>Ростовская Область, Аксайский Район, Большой Лог Хутор, Луговая Улица\1</v>
          </cell>
          <cell r="F629">
            <v>1.46</v>
          </cell>
          <cell r="G629" t="str">
            <v>Осн.</v>
          </cell>
          <cell r="H629" t="str">
            <v>Ростовская</v>
          </cell>
          <cell r="I629">
            <v>23</v>
          </cell>
        </row>
        <row r="630">
          <cell r="C630" t="str">
            <v>RO0817</v>
          </cell>
          <cell r="D630" t="str">
            <v>31:трубостойки на чужой АМС на земле/крыше</v>
          </cell>
          <cell r="E630" t="str">
            <v>Ростовская Область, Чертковский Район, Артамошкин Хутор\ПС 35кВ Артамоновская</v>
          </cell>
          <cell r="F630">
            <v>4.24</v>
          </cell>
          <cell r="G630" t="str">
            <v>Осн.</v>
          </cell>
          <cell r="H630" t="str">
            <v>Каменская</v>
          </cell>
          <cell r="I630">
            <v>162</v>
          </cell>
        </row>
        <row r="631">
          <cell r="C631" t="str">
            <v>RO0818</v>
          </cell>
          <cell r="D631" t="str">
            <v>31:трубостойки на чужой АМС на земле/крыше</v>
          </cell>
          <cell r="E631" t="str">
            <v>Ростовская Область, Кашарский Район, Каменка Село, Центральная Улица\дом 15</v>
          </cell>
          <cell r="F631">
            <v>4.26</v>
          </cell>
          <cell r="G631" t="str">
            <v>Осн.</v>
          </cell>
          <cell r="H631" t="str">
            <v>Каменская</v>
          </cell>
          <cell r="I631">
            <v>163</v>
          </cell>
        </row>
        <row r="632">
          <cell r="C632" t="str">
            <v>RO0819</v>
          </cell>
          <cell r="D632" t="str">
            <v>13:собст. железобетонный столб с заглубленным фундаментом</v>
          </cell>
          <cell r="E632" t="str">
            <v>Ростовская Область, Ростов-на-Дону Город\Щепкинское шоссе, СНТ "Луч" 46</v>
          </cell>
          <cell r="F632">
            <v>1.4</v>
          </cell>
          <cell r="G632" t="str">
            <v>Осн.</v>
          </cell>
          <cell r="H632" t="str">
            <v>Ростовская</v>
          </cell>
          <cell r="I632">
            <v>20</v>
          </cell>
        </row>
        <row r="633">
          <cell r="C633" t="str">
            <v>RO0821</v>
          </cell>
          <cell r="D633" t="str">
            <v>31:трубостойки на чужой АМС на земле/крыше</v>
          </cell>
          <cell r="E633" t="str">
            <v>Ростовская Область, Аксайский Район, Нижнетемерницкий Хутор, Сосновая Улица, дом 55</v>
          </cell>
          <cell r="F633">
            <v>1.46</v>
          </cell>
          <cell r="G633" t="str">
            <v>Осн.</v>
          </cell>
          <cell r="H633" t="str">
            <v>Ростовская</v>
          </cell>
          <cell r="I633">
            <v>23</v>
          </cell>
        </row>
        <row r="634">
          <cell r="C634" t="str">
            <v>RO0823</v>
          </cell>
          <cell r="D634" t="str">
            <v>31:трубостойки на чужой АМС на земле/крыше</v>
          </cell>
          <cell r="E634" t="str">
            <v>Ростовская Область, Октябрьский Район\Персиановское сельское поселение, Полигон Кадамовский, войсковая часть № 22179</v>
          </cell>
          <cell r="F634">
            <v>2.5</v>
          </cell>
          <cell r="G634" t="str">
            <v>Осн.</v>
          </cell>
          <cell r="H634" t="str">
            <v>Ростовская</v>
          </cell>
          <cell r="I634">
            <v>75</v>
          </cell>
        </row>
        <row r="635">
          <cell r="C635" t="str">
            <v>RO0824</v>
          </cell>
          <cell r="D635" t="str">
            <v>31:трубостойки на чужой АМС на земле/крыше</v>
          </cell>
          <cell r="E635" t="str">
            <v>Ростовская Область, Белокалитвинский Район\800м северо-западнее хутора Кононов, башня ОАО "Вымпелком"</v>
          </cell>
          <cell r="F635">
            <v>2.96</v>
          </cell>
          <cell r="G635" t="str">
            <v>Осн.</v>
          </cell>
          <cell r="H635" t="str">
            <v>Каменская</v>
          </cell>
          <cell r="I635">
            <v>98</v>
          </cell>
        </row>
        <row r="636">
          <cell r="C636" t="str">
            <v>RO0825</v>
          </cell>
          <cell r="D636" t="str">
            <v>15:собст. башня с заглубленным фундаментом до 61м</v>
          </cell>
          <cell r="E636" t="str">
            <v>Ростовская Область, Цимлянский Район, Камышевская Станица</v>
          </cell>
          <cell r="F636">
            <v>1.8</v>
          </cell>
          <cell r="G636" t="str">
            <v>Осн.</v>
          </cell>
          <cell r="H636" t="str">
            <v>Волгодонская</v>
          </cell>
          <cell r="I636">
            <v>40</v>
          </cell>
        </row>
        <row r="637">
          <cell r="C637" t="str">
            <v>RO0826</v>
          </cell>
          <cell r="D637" t="str">
            <v>33:трубостойки, АМС инфраструктурного оператора</v>
          </cell>
          <cell r="E637" t="str">
            <v>Ростовская Область, Ростов-на-Дону Город, 33-я линия Улица, дом 115</v>
          </cell>
          <cell r="F637">
            <v>1.1599999999999999</v>
          </cell>
          <cell r="G637" t="str">
            <v>Осн.</v>
          </cell>
          <cell r="H637" t="str">
            <v>Ростовская</v>
          </cell>
          <cell r="I637">
            <v>8</v>
          </cell>
        </row>
        <row r="638">
          <cell r="C638" t="str">
            <v>RO0828</v>
          </cell>
          <cell r="D638" t="str">
            <v>15:собст. башня с заглубленным фундаментом до 61м</v>
          </cell>
          <cell r="E638" t="str">
            <v>Ростовская Область, Каменский Район, Калитвенская Станица</v>
          </cell>
          <cell r="F638">
            <v>1.44</v>
          </cell>
          <cell r="G638" t="str">
            <v>Осн.</v>
          </cell>
          <cell r="H638" t="str">
            <v>Каменская</v>
          </cell>
          <cell r="I638">
            <v>22</v>
          </cell>
        </row>
        <row r="639">
          <cell r="C639" t="str">
            <v>RO0831</v>
          </cell>
          <cell r="D639" t="str">
            <v>33:трубостойки, АМС инфраструктурного оператора</v>
          </cell>
          <cell r="E639" t="str">
            <v>Ростовская Область, Чертковский Район, Алексеево-Лозовское Село</v>
          </cell>
          <cell r="F639">
            <v>3.8</v>
          </cell>
          <cell r="G639" t="str">
            <v>Осн.</v>
          </cell>
          <cell r="H639" t="str">
            <v>Каменская</v>
          </cell>
          <cell r="I639">
            <v>140</v>
          </cell>
        </row>
        <row r="640">
          <cell r="C640" t="str">
            <v>RO0833</v>
          </cell>
          <cell r="D640" t="str">
            <v>31:трубостойки на чужой АМС на земле/крыше</v>
          </cell>
          <cell r="E640" t="str">
            <v>Ростовская Область, Волгодонск Город, Романовское Шоссе\дом 1</v>
          </cell>
          <cell r="F640">
            <v>1.08</v>
          </cell>
          <cell r="G640" t="str">
            <v>Осн.</v>
          </cell>
          <cell r="H640" t="str">
            <v>Волгодонская</v>
          </cell>
          <cell r="I640">
            <v>4</v>
          </cell>
        </row>
        <row r="641">
          <cell r="C641" t="str">
            <v>RO0834</v>
          </cell>
          <cell r="D641" t="str">
            <v>31:трубостойки на чужой АМС на земле/крыше</v>
          </cell>
          <cell r="E641" t="str">
            <v>Ростовская Область, Усть-Донецкий Район, Крымский Хутор</v>
          </cell>
          <cell r="F641">
            <v>3.68</v>
          </cell>
          <cell r="G641" t="str">
            <v>Осн.</v>
          </cell>
          <cell r="H641" t="str">
            <v>Ростовская</v>
          </cell>
          <cell r="I641">
            <v>134</v>
          </cell>
        </row>
        <row r="642">
          <cell r="C642" t="str">
            <v>RO0835</v>
          </cell>
          <cell r="D642" t="str">
            <v>31:трубостойки на чужой АМС на земле/крыше</v>
          </cell>
          <cell r="E642" t="str">
            <v>Ростовская Область, Белокалитвинский Район, Чапаев Хутор, Молодежная Улица\дом 1, АМС "Вымпелком"</v>
          </cell>
          <cell r="F642">
            <v>2.2999999999999998</v>
          </cell>
          <cell r="G642" t="str">
            <v>Осн.</v>
          </cell>
          <cell r="H642" t="str">
            <v>Каменская</v>
          </cell>
          <cell r="I642">
            <v>65</v>
          </cell>
        </row>
        <row r="643">
          <cell r="C643" t="str">
            <v>RO0836</v>
          </cell>
          <cell r="D643" t="str">
            <v>31:трубостойки на чужой АМС на земле/крыше</v>
          </cell>
          <cell r="E643" t="str">
            <v>Ростовская Область, Новочеркасск Город, Дзержинского Улица, дом 37Е</v>
          </cell>
          <cell r="F643">
            <v>2</v>
          </cell>
          <cell r="G643" t="str">
            <v>Осн.</v>
          </cell>
          <cell r="H643" t="str">
            <v>Ростовская</v>
          </cell>
          <cell r="I643">
            <v>50</v>
          </cell>
        </row>
        <row r="644">
          <cell r="C644" t="str">
            <v>RO0837</v>
          </cell>
          <cell r="D644" t="str">
            <v>31:трубостойки на чужой АМС на земле/крыше</v>
          </cell>
          <cell r="E644" t="str">
            <v>Ростовская Область, Белокалитвинский Район, Ильинка Хутор</v>
          </cell>
          <cell r="F644">
            <v>3.28</v>
          </cell>
          <cell r="G644" t="str">
            <v>Осн.</v>
          </cell>
          <cell r="H644" t="str">
            <v>Каменская</v>
          </cell>
          <cell r="I644">
            <v>114</v>
          </cell>
        </row>
        <row r="645">
          <cell r="C645" t="str">
            <v>RO0838</v>
          </cell>
          <cell r="D645" t="str">
            <v>31:трубостойки на чужой АМС на земле/крыше</v>
          </cell>
          <cell r="E645" t="str">
            <v>Ростовская Область, Новочеркасск Город, Ветеринарная Улица, дом 18</v>
          </cell>
          <cell r="F645">
            <v>1.84</v>
          </cell>
          <cell r="G645" t="str">
            <v>Осн.</v>
          </cell>
          <cell r="H645" t="str">
            <v>Ростовская</v>
          </cell>
          <cell r="I645">
            <v>42</v>
          </cell>
        </row>
        <row r="646">
          <cell r="C646" t="str">
            <v>RO0839</v>
          </cell>
          <cell r="D646" t="str">
            <v>13:собст. железобетонный столб с заглубленным фундаментом</v>
          </cell>
          <cell r="E646" t="str">
            <v>Ростовская Область, Октябрьский Район, Калинин Хутор, Донская Улица</v>
          </cell>
          <cell r="F646">
            <v>2.7</v>
          </cell>
          <cell r="G646" t="str">
            <v>Осн.</v>
          </cell>
          <cell r="H646" t="str">
            <v>Ростовская</v>
          </cell>
          <cell r="I646">
            <v>85</v>
          </cell>
        </row>
        <row r="647">
          <cell r="C647" t="str">
            <v>RO0840</v>
          </cell>
          <cell r="D647" t="str">
            <v>31:трубостойки на чужой АМС на земле/крыше</v>
          </cell>
          <cell r="E647" t="str">
            <v>Ростовская Область, Батайск Город, Панфилова Улица, дом 21</v>
          </cell>
          <cell r="F647">
            <v>1.32</v>
          </cell>
          <cell r="G647" t="str">
            <v>Осн.</v>
          </cell>
          <cell r="H647" t="str">
            <v>Ростовская</v>
          </cell>
          <cell r="I647">
            <v>16</v>
          </cell>
        </row>
        <row r="648">
          <cell r="C648" t="str">
            <v>RO0845</v>
          </cell>
          <cell r="D648" t="str">
            <v>31:трубостойки на чужой АМС на земле/крыше</v>
          </cell>
          <cell r="E648" t="str">
            <v>Ростовская Область, Тацинский Район, Быстрогорский Поселок, Ленина Улица, дом 1а</v>
          </cell>
          <cell r="F648">
            <v>2.76</v>
          </cell>
          <cell r="G648" t="str">
            <v>Осн.</v>
          </cell>
          <cell r="H648" t="str">
            <v>Каменская</v>
          </cell>
          <cell r="I648">
            <v>88</v>
          </cell>
        </row>
        <row r="649">
          <cell r="C649" t="str">
            <v>RO0848</v>
          </cell>
          <cell r="D649" t="str">
            <v>14:собст. пригруз(мачта, башня, столб) с земли</v>
          </cell>
          <cell r="E649" t="str">
            <v>Ростовская Область, Каменский Район, Астахов Хутор</v>
          </cell>
          <cell r="F649">
            <v>1.42</v>
          </cell>
          <cell r="G649" t="str">
            <v>Осн.</v>
          </cell>
          <cell r="H649" t="str">
            <v>Каменская</v>
          </cell>
          <cell r="I649">
            <v>21</v>
          </cell>
        </row>
        <row r="650">
          <cell r="C650" t="str">
            <v>RO0849</v>
          </cell>
          <cell r="D650" t="str">
            <v>33:трубостойки, АМС инфраструктурного оператора</v>
          </cell>
          <cell r="E650" t="str">
            <v>Ростовская Область, Миллеровский Район, Долотинка Поселок</v>
          </cell>
          <cell r="F650">
            <v>2.86</v>
          </cell>
          <cell r="G650" t="str">
            <v>Осн.</v>
          </cell>
          <cell r="H650" t="str">
            <v>Каменская</v>
          </cell>
          <cell r="I650">
            <v>93</v>
          </cell>
        </row>
        <row r="651">
          <cell r="C651" t="str">
            <v>RO0850</v>
          </cell>
          <cell r="D651" t="str">
            <v>33:трубостойки, АМС инфраструктурного оператора</v>
          </cell>
          <cell r="E651" t="str">
            <v>Ростовская Область, Дубовский Район, Жуковская Станица</v>
          </cell>
          <cell r="F651">
            <v>1.68</v>
          </cell>
          <cell r="G651" t="str">
            <v>Осн.</v>
          </cell>
          <cell r="H651" t="str">
            <v>Волгодонская</v>
          </cell>
          <cell r="I651">
            <v>34</v>
          </cell>
        </row>
        <row r="652">
          <cell r="C652" t="str">
            <v>RO0851</v>
          </cell>
          <cell r="D652" t="str">
            <v>31:трубостойки на чужой АМС на земле/крыше</v>
          </cell>
          <cell r="E652" t="str">
            <v>Ростовская Область, Белокалитвинский Район, Краснодонецкая Станица</v>
          </cell>
          <cell r="F652">
            <v>2.74</v>
          </cell>
          <cell r="G652" t="str">
            <v>Осн.</v>
          </cell>
          <cell r="H652" t="str">
            <v>Каменская</v>
          </cell>
          <cell r="I652">
            <v>87</v>
          </cell>
        </row>
        <row r="653">
          <cell r="C653" t="str">
            <v>RO0854</v>
          </cell>
          <cell r="D653" t="str">
            <v>31:трубостойки на чужой АМС на земле/крыше</v>
          </cell>
          <cell r="E653" t="str">
            <v>Ростовская Область, Белокалитвинский Район, Нижнесеребряковский Хутор\башня ЮТС</v>
          </cell>
          <cell r="F653">
            <v>3.08</v>
          </cell>
          <cell r="G653" t="str">
            <v>Осн.</v>
          </cell>
          <cell r="H653" t="str">
            <v>Каменская</v>
          </cell>
          <cell r="I653">
            <v>104</v>
          </cell>
        </row>
        <row r="654">
          <cell r="C654" t="str">
            <v>RO0856</v>
          </cell>
          <cell r="D654" t="str">
            <v>31:трубостойки на чужой АМС на земле/крыше</v>
          </cell>
          <cell r="E654" t="str">
            <v>Ростовская Область, Красносулинский Район, Владимировская Станица</v>
          </cell>
          <cell r="F654">
            <v>3.26</v>
          </cell>
          <cell r="G654" t="str">
            <v>Осн.</v>
          </cell>
          <cell r="H654" t="str">
            <v>Ростовская</v>
          </cell>
          <cell r="I654">
            <v>113</v>
          </cell>
        </row>
        <row r="655">
          <cell r="C655" t="str">
            <v>RO0857</v>
          </cell>
          <cell r="D655" t="str">
            <v>31:трубостойки на чужой АМС на земле/крыше</v>
          </cell>
          <cell r="E655" t="str">
            <v>Ростовская Область, Красносулинский Район, Тополевый Поселок\в 40 м. на юго-запад от жилого дома №40-а по ул. Степная</v>
          </cell>
          <cell r="F655">
            <v>1.88</v>
          </cell>
          <cell r="G655" t="str">
            <v>Осн.</v>
          </cell>
          <cell r="H655" t="str">
            <v>Каменская</v>
          </cell>
          <cell r="I655">
            <v>44</v>
          </cell>
        </row>
        <row r="656">
          <cell r="C656" t="str">
            <v>RO0858</v>
          </cell>
          <cell r="D656" t="str">
            <v>31:трубостойки на чужой АМС на земле/крыше</v>
          </cell>
          <cell r="E656" t="str">
            <v>Ростовская Область, Красносулинский Район, Садки Хутор, Чехова Улица\дом 16</v>
          </cell>
          <cell r="F656">
            <v>3.6</v>
          </cell>
          <cell r="G656" t="str">
            <v>Осн.</v>
          </cell>
          <cell r="H656" t="str">
            <v>Ростовская</v>
          </cell>
          <cell r="I656">
            <v>130</v>
          </cell>
        </row>
        <row r="657">
          <cell r="C657" t="str">
            <v>RO0859</v>
          </cell>
          <cell r="D657" t="str">
            <v>33:трубостойки, АМС инфраструктурного оператора</v>
          </cell>
          <cell r="E657" t="str">
            <v>Ростовская Область, Красносулинский Район, Большая Федоровка Хутор</v>
          </cell>
          <cell r="F657">
            <v>1.94</v>
          </cell>
          <cell r="G657" t="str">
            <v>Осн.</v>
          </cell>
          <cell r="H657" t="str">
            <v>Каменская</v>
          </cell>
          <cell r="I657">
            <v>47</v>
          </cell>
        </row>
        <row r="658">
          <cell r="C658" t="str">
            <v>RO0860</v>
          </cell>
          <cell r="D658" t="str">
            <v>32:трубостойки/АМС на: трубе, элеваторе, водонап.башне</v>
          </cell>
          <cell r="E658" t="str">
            <v>Ростовская Область, Шахты Город, Мечникова Переулок, дом 3\литер В</v>
          </cell>
          <cell r="F658">
            <v>2.58</v>
          </cell>
          <cell r="G658" t="str">
            <v>Осн.</v>
          </cell>
          <cell r="H658" t="str">
            <v>Ростовская</v>
          </cell>
          <cell r="I658">
            <v>79</v>
          </cell>
        </row>
        <row r="659">
          <cell r="C659" t="str">
            <v>RO0861</v>
          </cell>
          <cell r="D659" t="str">
            <v>13:собст. железобетонный столб с заглубленным фундаментом</v>
          </cell>
          <cell r="E659" t="str">
            <v>Ростовская Область, Новошахтинск Город, Моисеенко Улица\литер Е</v>
          </cell>
          <cell r="F659">
            <v>2.82</v>
          </cell>
          <cell r="G659" t="str">
            <v>Осн.</v>
          </cell>
          <cell r="H659" t="str">
            <v>Ростовская</v>
          </cell>
          <cell r="I659">
            <v>91</v>
          </cell>
        </row>
        <row r="660">
          <cell r="C660" t="str">
            <v>RO0863</v>
          </cell>
          <cell r="D660" t="str">
            <v>13:собст. железобетонный столб с заглубленным фундаментом</v>
          </cell>
          <cell r="E660" t="str">
            <v>Ростовская Область, Новошахтинск Город, Пионерская Улица\дом 86, литер Б</v>
          </cell>
          <cell r="F660">
            <v>2.56</v>
          </cell>
          <cell r="G660" t="str">
            <v>Осн.</v>
          </cell>
          <cell r="H660" t="str">
            <v>Ростовская</v>
          </cell>
          <cell r="I660">
            <v>78</v>
          </cell>
        </row>
        <row r="661">
          <cell r="C661" t="str">
            <v>RO0864</v>
          </cell>
          <cell r="D661" t="str">
            <v>13:собст. железобетонный столб с заглубленным фундаментом</v>
          </cell>
          <cell r="E661" t="str">
            <v>Ростовская Область, Октябрьский Район, Кадамовский Поселок</v>
          </cell>
          <cell r="F661">
            <v>1.98</v>
          </cell>
          <cell r="G661" t="str">
            <v>Осн.</v>
          </cell>
          <cell r="H661" t="str">
            <v>Ростовская</v>
          </cell>
          <cell r="I661">
            <v>49</v>
          </cell>
        </row>
        <row r="662">
          <cell r="C662" t="str">
            <v>RO0868</v>
          </cell>
          <cell r="D662" t="str">
            <v>13:собст. железобетонный столб с заглубленным фундаментом</v>
          </cell>
          <cell r="E662" t="str">
            <v>Ростовская Область, Усть-Донецкий Район, Раздорская Станица, Комсомольский Переулок, дом 24</v>
          </cell>
          <cell r="F662">
            <v>3.38</v>
          </cell>
          <cell r="G662" t="str">
            <v>Осн.</v>
          </cell>
          <cell r="H662" t="str">
            <v>Ростовская</v>
          </cell>
          <cell r="I662">
            <v>119</v>
          </cell>
        </row>
        <row r="663">
          <cell r="C663" t="str">
            <v>RO0870</v>
          </cell>
          <cell r="D663" t="str">
            <v>13:собст. железобетонный столб с заглубленным фундаментом</v>
          </cell>
          <cell r="E663" t="str">
            <v>Ростовская Область, Октябрьский Район, Киреевка Хутор, Буденного Улица, дом 25</v>
          </cell>
          <cell r="F663">
            <v>2.88</v>
          </cell>
          <cell r="G663" t="str">
            <v>Осн.</v>
          </cell>
          <cell r="H663" t="str">
            <v>Ростовская</v>
          </cell>
          <cell r="I663">
            <v>94</v>
          </cell>
        </row>
        <row r="664">
          <cell r="C664" t="str">
            <v>RO0894</v>
          </cell>
          <cell r="D664" t="str">
            <v>31:трубостойки на чужой АМС на земле/крыше</v>
          </cell>
          <cell r="E664" t="str">
            <v>Ростовская Область, Шолоховский Район, Антиповский Хутор</v>
          </cell>
          <cell r="F664">
            <v>5.72</v>
          </cell>
          <cell r="G664" t="str">
            <v>Осн.</v>
          </cell>
          <cell r="H664" t="str">
            <v>Каменская</v>
          </cell>
          <cell r="I664">
            <v>236</v>
          </cell>
        </row>
        <row r="665">
          <cell r="C665" t="str">
            <v>RO0896</v>
          </cell>
          <cell r="D665" t="str">
            <v>33:трубостойки, АМС инфраструктурного оператора</v>
          </cell>
          <cell r="E665" t="str">
            <v>Ростовская Область, Усть-Донецкий Район, Нижнекундрюченская Станица</v>
          </cell>
          <cell r="F665">
            <v>4.04</v>
          </cell>
          <cell r="G665" t="str">
            <v>Осн.</v>
          </cell>
          <cell r="H665" t="str">
            <v>Ростовская</v>
          </cell>
          <cell r="I665">
            <v>152</v>
          </cell>
        </row>
        <row r="666">
          <cell r="C666" t="str">
            <v>RO0899</v>
          </cell>
          <cell r="D666" t="str">
            <v>31:трубостойки на чужой АМС на земле/крыше</v>
          </cell>
          <cell r="E666" t="str">
            <v>Ростовская Область, Аксайский Район, Старочеркасская Станица, Слободская 2-я Улица\25А</v>
          </cell>
          <cell r="F666">
            <v>1.66</v>
          </cell>
          <cell r="G666" t="str">
            <v>Осн.</v>
          </cell>
          <cell r="H666" t="str">
            <v>Ростовская</v>
          </cell>
          <cell r="I666">
            <v>33</v>
          </cell>
        </row>
        <row r="667">
          <cell r="C667" t="str">
            <v>RO0901</v>
          </cell>
          <cell r="D667" t="str">
            <v>52:индорсайт</v>
          </cell>
          <cell r="E667" t="str">
            <v>Ростовская Область, Ростов-на-Дону Город, 40-летия Победы Проспект, дом 340</v>
          </cell>
          <cell r="F667">
            <v>1.2</v>
          </cell>
          <cell r="G667" t="str">
            <v>Осн.</v>
          </cell>
          <cell r="H667" t="str">
            <v>Ростовская</v>
          </cell>
          <cell r="I667">
            <v>10</v>
          </cell>
        </row>
        <row r="668">
          <cell r="C668" t="str">
            <v>RO0902</v>
          </cell>
          <cell r="D668" t="str">
            <v>50:транспортная точка без АМС и без оборудования БС</v>
          </cell>
          <cell r="E668" t="str">
            <v>Ростовская Область, Ростов-на-Дону Город, Пойменная Улица, дом 1</v>
          </cell>
          <cell r="F668">
            <v>1.18</v>
          </cell>
          <cell r="G668" t="str">
            <v>Осн.</v>
          </cell>
          <cell r="H668" t="str">
            <v>Ростовская</v>
          </cell>
          <cell r="I668">
            <v>9</v>
          </cell>
        </row>
        <row r="669">
          <cell r="C669" t="str">
            <v>RO0903</v>
          </cell>
          <cell r="D669" t="str">
            <v>52:индорсайт</v>
          </cell>
          <cell r="E669" t="str">
            <v>Ростовская Область, Волгодонск Город, Весенняя Улица\дом 56</v>
          </cell>
          <cell r="F669">
            <v>1.08</v>
          </cell>
          <cell r="G669" t="str">
            <v>Осн.</v>
          </cell>
          <cell r="H669" t="str">
            <v>Волгодонская</v>
          </cell>
          <cell r="I669">
            <v>4</v>
          </cell>
        </row>
        <row r="670">
          <cell r="C670" t="str">
            <v>RO0904</v>
          </cell>
          <cell r="D670" t="str">
            <v>21:собст. АМС до 10 м на крыше</v>
          </cell>
          <cell r="E670" t="str">
            <v>Ростовская Область, Ростов-на-Дону Город, Космонавтов Проспект, дом 21</v>
          </cell>
          <cell r="F670">
            <v>1.1599999999999999</v>
          </cell>
          <cell r="G670" t="str">
            <v>Осн.</v>
          </cell>
          <cell r="H670" t="str">
            <v>Ростовская</v>
          </cell>
          <cell r="I670">
            <v>8</v>
          </cell>
        </row>
        <row r="671">
          <cell r="C671" t="str">
            <v>RO0907</v>
          </cell>
          <cell r="D671" t="str">
            <v>33:трубостойки, АМС инфраструктурного оператора</v>
          </cell>
          <cell r="E671" t="str">
            <v>Ростовская Область, Ростов-на-Дону Город, Мадояна Улица, дом 44</v>
          </cell>
          <cell r="F671">
            <v>1.1200000000000001</v>
          </cell>
          <cell r="G671" t="str">
            <v>Осн.</v>
          </cell>
          <cell r="H671" t="str">
            <v>Ростовская</v>
          </cell>
          <cell r="I671">
            <v>6</v>
          </cell>
        </row>
        <row r="672">
          <cell r="C672" t="str">
            <v>RO0909</v>
          </cell>
          <cell r="D672" t="str">
            <v>21:собст. АМС до 10 м на крыше</v>
          </cell>
          <cell r="E672" t="str">
            <v>Ростовская Область, Ростов-на-Дону Город, Орская Улица, дом 25</v>
          </cell>
          <cell r="F672">
            <v>1.18</v>
          </cell>
          <cell r="G672" t="str">
            <v>Осн.</v>
          </cell>
          <cell r="H672" t="str">
            <v>Ростовская</v>
          </cell>
          <cell r="I672">
            <v>9</v>
          </cell>
        </row>
        <row r="673">
          <cell r="C673" t="str">
            <v>RO0911</v>
          </cell>
          <cell r="D673" t="str">
            <v>21:собст. АМС до 10 м на крыше</v>
          </cell>
          <cell r="E673" t="str">
            <v>Ростовская Область, Ростов-на-Дону Город, Измайловский Бульвар\25</v>
          </cell>
          <cell r="F673">
            <v>1.3</v>
          </cell>
          <cell r="G673" t="str">
            <v>Осн.</v>
          </cell>
          <cell r="H673" t="str">
            <v>Ростовская</v>
          </cell>
          <cell r="I673">
            <v>15</v>
          </cell>
        </row>
        <row r="674">
          <cell r="C674" t="str">
            <v>RO0912</v>
          </cell>
          <cell r="D674" t="str">
            <v>31:трубостойки на чужой АМС на земле/крыше</v>
          </cell>
          <cell r="E674" t="str">
            <v>Ростовская Область, Ростов-на-Дону Город, Золотистая Улица\118</v>
          </cell>
          <cell r="F674">
            <v>1.32</v>
          </cell>
          <cell r="G674" t="str">
            <v>Осн.</v>
          </cell>
          <cell r="H674" t="str">
            <v>Ростовская</v>
          </cell>
          <cell r="I674">
            <v>16</v>
          </cell>
        </row>
        <row r="675">
          <cell r="C675" t="str">
            <v>RO0914</v>
          </cell>
          <cell r="D675" t="str">
            <v>31:трубостойки на чужой АМС на земле/крыше</v>
          </cell>
          <cell r="E675" t="str">
            <v>Ростовская Область, Азов Город, Черноморский Переулок\77а (рынок)</v>
          </cell>
          <cell r="F675">
            <v>1.8</v>
          </cell>
          <cell r="G675" t="str">
            <v>Осн.</v>
          </cell>
          <cell r="H675" t="str">
            <v>Ростовская</v>
          </cell>
          <cell r="I675">
            <v>40</v>
          </cell>
        </row>
        <row r="676">
          <cell r="C676" t="str">
            <v>RO0930</v>
          </cell>
          <cell r="D676" t="str">
            <v>31:трубостойки на чужой АМС на земле/крыше</v>
          </cell>
          <cell r="E676" t="str">
            <v>Ростовская Область, Веселовский Район, Красное Знамя Хутор</v>
          </cell>
          <cell r="F676">
            <v>2.7</v>
          </cell>
          <cell r="G676" t="str">
            <v>Осн.</v>
          </cell>
          <cell r="H676" t="str">
            <v>Ростовская</v>
          </cell>
          <cell r="I676">
            <v>85</v>
          </cell>
        </row>
        <row r="677">
          <cell r="C677" t="str">
            <v>RO0940</v>
          </cell>
          <cell r="D677" t="str">
            <v>33:трубостойки, АМС инфраструктурного оператора</v>
          </cell>
          <cell r="E677" t="str">
            <v>Ростовская Область, Новочеркасск Город, Энгельса Улица, дом 65\9</v>
          </cell>
          <cell r="F677">
            <v>1.82</v>
          </cell>
          <cell r="G677" t="str">
            <v>Осн.</v>
          </cell>
          <cell r="H677" t="str">
            <v>Ростовская</v>
          </cell>
          <cell r="I677">
            <v>41</v>
          </cell>
        </row>
        <row r="678">
          <cell r="C678" t="str">
            <v>RO0941</v>
          </cell>
          <cell r="D678" t="str">
            <v>31:трубостойки на чужой АМС на земле/крыше</v>
          </cell>
          <cell r="E678" t="str">
            <v>Ростовская Область, Зерноградский Район, Чернышевка Хутор, Ленина Улица, дом 2\А</v>
          </cell>
          <cell r="F678">
            <v>3.42</v>
          </cell>
          <cell r="G678" t="str">
            <v>Осн.</v>
          </cell>
          <cell r="H678" t="str">
            <v>Ростовская</v>
          </cell>
          <cell r="I678">
            <v>121</v>
          </cell>
        </row>
        <row r="679">
          <cell r="C679" t="str">
            <v>RO0945</v>
          </cell>
          <cell r="D679" t="str">
            <v>33:трубостойки, АМС инфраструктурного оператора</v>
          </cell>
          <cell r="E679" t="str">
            <v>Ростовская Область, Семикаракорский Район, Топилин Хутор</v>
          </cell>
          <cell r="F679">
            <v>2.88</v>
          </cell>
          <cell r="G679" t="str">
            <v>Осн.</v>
          </cell>
          <cell r="H679" t="str">
            <v>Волгодонская</v>
          </cell>
          <cell r="I679">
            <v>94</v>
          </cell>
        </row>
        <row r="680">
          <cell r="C680" t="str">
            <v>RO0954</v>
          </cell>
          <cell r="D680" t="str">
            <v>52:индорсайт</v>
          </cell>
          <cell r="E680" t="str">
            <v>Ростовская Область, Ростов-на-Дону Город, Большая Садовая Улица, дом 121</v>
          </cell>
          <cell r="F680">
            <v>1.1000000000000001</v>
          </cell>
          <cell r="G680" t="str">
            <v>Осн.</v>
          </cell>
          <cell r="H680" t="str">
            <v>Ростовская</v>
          </cell>
          <cell r="I680">
            <v>5</v>
          </cell>
        </row>
        <row r="681">
          <cell r="C681" t="str">
            <v>RO0955</v>
          </cell>
          <cell r="D681" t="str">
            <v>14:собст. пригруз(мачта, башня, столб) с земли</v>
          </cell>
          <cell r="E681" t="str">
            <v>Ростовская Область, Волгодонской Район, Прогресс Поселок</v>
          </cell>
          <cell r="F681">
            <v>1.72</v>
          </cell>
          <cell r="G681" t="str">
            <v>Осн.</v>
          </cell>
          <cell r="H681" t="str">
            <v>Волгодонская</v>
          </cell>
          <cell r="I681">
            <v>36</v>
          </cell>
        </row>
        <row r="682">
          <cell r="C682" t="str">
            <v>RO0958</v>
          </cell>
          <cell r="D682" t="str">
            <v>13:собст. железобетонный столб с заглубленным фундаментом</v>
          </cell>
          <cell r="E682" t="str">
            <v>Ростовская Область, Волгодонской Район, Мокросоленый Хутор</v>
          </cell>
          <cell r="F682">
            <v>1.36</v>
          </cell>
          <cell r="G682" t="str">
            <v>Осн.</v>
          </cell>
          <cell r="H682" t="str">
            <v>Волгодонская</v>
          </cell>
          <cell r="I682">
            <v>18</v>
          </cell>
        </row>
        <row r="683">
          <cell r="C683" t="str">
            <v>RO0959</v>
          </cell>
          <cell r="D683" t="str">
            <v>31:трубостойки на чужой АМС на земле/крыше</v>
          </cell>
          <cell r="E683" t="str">
            <v>Ростовская Область, Волгодонской Район, Потапов Хутор, Комсомольская Улица, дом 47а</v>
          </cell>
          <cell r="F683">
            <v>1.46</v>
          </cell>
          <cell r="G683" t="str">
            <v>Осн.</v>
          </cell>
          <cell r="H683" t="str">
            <v>Волгодонская</v>
          </cell>
          <cell r="I683">
            <v>23</v>
          </cell>
        </row>
        <row r="684">
          <cell r="C684" t="str">
            <v>RO0975</v>
          </cell>
          <cell r="D684" t="str">
            <v>31:трубостойки на чужой АМС на земле/крыше</v>
          </cell>
          <cell r="E684" t="str">
            <v>Ростовская Область, Заветинский Район, Савдя Хутор\200 м на север от дома по улице Зеленая</v>
          </cell>
          <cell r="F684">
            <v>4</v>
          </cell>
          <cell r="G684" t="str">
            <v>Осн.</v>
          </cell>
          <cell r="H684" t="str">
            <v>Волгодонская</v>
          </cell>
          <cell r="I684">
            <v>150</v>
          </cell>
        </row>
        <row r="685">
          <cell r="C685" t="str">
            <v>RO0979</v>
          </cell>
          <cell r="D685" t="str">
            <v>31:трубостойки на чужой АМС на земле/крыше</v>
          </cell>
          <cell r="E685" t="str">
            <v>Ростовская Область, Заветинский Район, Киселевка Село, 60 лет СССР Улица\30А, АМС ФГУП "РТРС"</v>
          </cell>
          <cell r="F685">
            <v>4.8</v>
          </cell>
          <cell r="G685" t="str">
            <v>Осн.</v>
          </cell>
          <cell r="H685" t="str">
            <v>Волгодонская</v>
          </cell>
          <cell r="I685">
            <v>190</v>
          </cell>
        </row>
        <row r="686">
          <cell r="C686" t="str">
            <v>RO0991</v>
          </cell>
          <cell r="D686" t="str">
            <v>31:трубостойки на чужой АМС на земле/крыше</v>
          </cell>
          <cell r="E686" t="str">
            <v>Ростовская Область, Тарасовский Район, Зеленовка Хутор, Центральная Улица, дом 22\а, АМС ФГУП "РТРС"</v>
          </cell>
          <cell r="F686">
            <v>3</v>
          </cell>
          <cell r="G686" t="str">
            <v>Осн.</v>
          </cell>
          <cell r="H686" t="str">
            <v>Каменская</v>
          </cell>
          <cell r="I686">
            <v>100</v>
          </cell>
        </row>
        <row r="687">
          <cell r="C687" t="str">
            <v>RO0999</v>
          </cell>
          <cell r="D687" t="str">
            <v>31:трубостойки на чужой АМС на земле/крыше</v>
          </cell>
          <cell r="E687" t="str">
            <v>Ростовская Область, Чертковский Район, Сохрановка Село, Дружба Улица, дом 4</v>
          </cell>
          <cell r="F687">
            <v>4</v>
          </cell>
          <cell r="G687" t="str">
            <v>Осн.</v>
          </cell>
          <cell r="H687" t="str">
            <v>Каменская</v>
          </cell>
          <cell r="I687">
            <v>150</v>
          </cell>
        </row>
        <row r="688">
          <cell r="C688" t="str">
            <v>RO1001</v>
          </cell>
          <cell r="D688" t="str">
            <v>31:трубостойки на чужой АМС на земле/крыше</v>
          </cell>
          <cell r="E688" t="str">
            <v>Ростовская Область, Зимовниковский Район, Грушевка Хутор, Молодежная Улица, дом 8</v>
          </cell>
          <cell r="F688">
            <v>2.3199999999999998</v>
          </cell>
          <cell r="G688" t="str">
            <v>Осн.</v>
          </cell>
          <cell r="H688" t="str">
            <v>Волгодонская</v>
          </cell>
          <cell r="I688">
            <v>66</v>
          </cell>
        </row>
        <row r="689">
          <cell r="C689" t="str">
            <v>RO1003</v>
          </cell>
          <cell r="D689" t="str">
            <v>31:трубостойки на чужой АМС на земле/крыше</v>
          </cell>
          <cell r="E689" t="str">
            <v>Ростовская Область, Зимовниковский Район, Поверенный Хутор\улица Звездная, дом 3</v>
          </cell>
          <cell r="F689">
            <v>3.64</v>
          </cell>
          <cell r="G689" t="str">
            <v>Осн.</v>
          </cell>
          <cell r="H689" t="str">
            <v>Волгодонская</v>
          </cell>
          <cell r="I689">
            <v>132</v>
          </cell>
        </row>
        <row r="690">
          <cell r="C690" t="str">
            <v>RO1005</v>
          </cell>
          <cell r="D690" t="str">
            <v>50:транспортная точка без АМС и без оборудования БС</v>
          </cell>
          <cell r="E690" t="str">
            <v>Ростовская Область, Тарасовский Район, Тарасовский Поселок</v>
          </cell>
          <cell r="F690">
            <v>2.12</v>
          </cell>
          <cell r="G690" t="str">
            <v>Осн.</v>
          </cell>
          <cell r="H690" t="str">
            <v>Каменская</v>
          </cell>
          <cell r="I690">
            <v>56</v>
          </cell>
        </row>
        <row r="691">
          <cell r="C691" t="str">
            <v>RO1008</v>
          </cell>
          <cell r="D691" t="str">
            <v>52:индорсайт</v>
          </cell>
          <cell r="E691" t="str">
            <v>Ростовская Область, Ростов-на-Дону Город, Театральный Проспект\60</v>
          </cell>
          <cell r="F691">
            <v>1.1000000000000001</v>
          </cell>
          <cell r="G691" t="str">
            <v>Осн.</v>
          </cell>
          <cell r="H691" t="str">
            <v>Ростовская</v>
          </cell>
          <cell r="I691">
            <v>5</v>
          </cell>
        </row>
        <row r="692">
          <cell r="C692" t="str">
            <v>RO1010</v>
          </cell>
          <cell r="D692" t="str">
            <v>21:собст. АМС до 10 м на крыше</v>
          </cell>
          <cell r="E692" t="str">
            <v>Ростовская Область, Ростов-на-Дону Город, Социалистическая Улица\дом 112</v>
          </cell>
          <cell r="F692">
            <v>1.08</v>
          </cell>
          <cell r="G692" t="str">
            <v>Осн.</v>
          </cell>
          <cell r="H692" t="str">
            <v>Ростовская</v>
          </cell>
          <cell r="I692">
            <v>4</v>
          </cell>
        </row>
        <row r="693">
          <cell r="C693" t="str">
            <v>RO1011</v>
          </cell>
          <cell r="D693" t="str">
            <v>22:собст. АМС выше 10 м на крыше</v>
          </cell>
          <cell r="E693" t="str">
            <v>Ростовская Область, Ростов-на-Дону Город, Тургеневская Улица\дом 10</v>
          </cell>
          <cell r="F693">
            <v>1.1000000000000001</v>
          </cell>
          <cell r="G693" t="str">
            <v>Осн.</v>
          </cell>
          <cell r="H693" t="str">
            <v>Ростовская</v>
          </cell>
          <cell r="I693">
            <v>5</v>
          </cell>
        </row>
        <row r="694">
          <cell r="C694" t="str">
            <v>RO1012</v>
          </cell>
          <cell r="D694" t="str">
            <v>32:трубостойки/АМС на: трубе, элеваторе, водонап.башне</v>
          </cell>
          <cell r="E694" t="str">
            <v>Ростовская Область, Ростов-на-Дону Город, Ставского Проспект\дом 1/5</v>
          </cell>
          <cell r="F694">
            <v>1.1399999999999999</v>
          </cell>
          <cell r="G694" t="str">
            <v>Осн.</v>
          </cell>
          <cell r="H694" t="str">
            <v>Ростовская</v>
          </cell>
          <cell r="I694">
            <v>7</v>
          </cell>
        </row>
        <row r="695">
          <cell r="C695" t="str">
            <v>RO1013</v>
          </cell>
          <cell r="D695" t="str">
            <v>33:трубостойки, АМС инфраструктурного оператора</v>
          </cell>
          <cell r="E695" t="str">
            <v>Ростовская Область, Ростов-на-Дону Город, Шеболдаева Улица\в районе дома 20</v>
          </cell>
          <cell r="F695">
            <v>1.18</v>
          </cell>
          <cell r="G695" t="str">
            <v>Осн.</v>
          </cell>
          <cell r="H695" t="str">
            <v>Ростовская</v>
          </cell>
          <cell r="I695">
            <v>9</v>
          </cell>
        </row>
        <row r="696">
          <cell r="C696" t="str">
            <v>RO1020</v>
          </cell>
          <cell r="D696" t="str">
            <v>31:трубостойки на чужой АМС на земле/крыше</v>
          </cell>
          <cell r="E696" t="str">
            <v>Ростовская Область, Зерноградский Район, Донской Хутор, Цветной Бульвар Улица, дом 29\В</v>
          </cell>
          <cell r="F696">
            <v>3</v>
          </cell>
          <cell r="G696" t="str">
            <v>Осн.</v>
          </cell>
          <cell r="H696" t="str">
            <v>Ростовская</v>
          </cell>
          <cell r="I696">
            <v>100</v>
          </cell>
        </row>
        <row r="697">
          <cell r="C697" t="str">
            <v>RO1021</v>
          </cell>
          <cell r="D697" t="str">
            <v>31:трубостойки на чужой АМС на земле/крыше</v>
          </cell>
          <cell r="E697" t="str">
            <v>Ростовская Область, Шолоховский Район, Кружилинский Хутор, Школьная Улица, дом 22\д</v>
          </cell>
          <cell r="F697">
            <v>5</v>
          </cell>
          <cell r="G697" t="str">
            <v>Осн.</v>
          </cell>
          <cell r="H697" t="str">
            <v>Каменская</v>
          </cell>
          <cell r="I697">
            <v>200</v>
          </cell>
        </row>
        <row r="698">
          <cell r="C698" t="str">
            <v>RO1022</v>
          </cell>
          <cell r="D698" t="str">
            <v>31:трубостойки на чужой АМС на земле/крыше</v>
          </cell>
          <cell r="E698" t="str">
            <v>Ростовская Область, Мартыновский Район, Новосадковский Хутор, Производственный Переулок, дом 8</v>
          </cell>
          <cell r="F698">
            <v>3.3</v>
          </cell>
          <cell r="G698" t="str">
            <v>Осн.</v>
          </cell>
          <cell r="H698" t="str">
            <v>Волгодонская</v>
          </cell>
          <cell r="I698">
            <v>115</v>
          </cell>
        </row>
        <row r="699">
          <cell r="C699" t="str">
            <v>RO1023</v>
          </cell>
          <cell r="D699" t="str">
            <v>21:собст. АМС до 10 м на крыше</v>
          </cell>
          <cell r="E699" t="str">
            <v>Ростовская Область, Ростов-на-Дону Город, Шолохова Проспект, дом 264</v>
          </cell>
          <cell r="F699">
            <v>1.1200000000000001</v>
          </cell>
          <cell r="G699" t="str">
            <v>Осн.</v>
          </cell>
          <cell r="H699" t="str">
            <v>Ростовская</v>
          </cell>
          <cell r="I699">
            <v>6</v>
          </cell>
        </row>
        <row r="700">
          <cell r="C700" t="str">
            <v>RO1024</v>
          </cell>
          <cell r="D700" t="str">
            <v>21:собст. АМС до 10 м на крыше</v>
          </cell>
          <cell r="E700" t="str">
            <v>Ростовская Область, Ростов-на-Дону Город, 1-я Пролетарская Улица, дом 95/54</v>
          </cell>
          <cell r="F700">
            <v>1.1200000000000001</v>
          </cell>
          <cell r="G700" t="str">
            <v>Осн.</v>
          </cell>
          <cell r="H700" t="str">
            <v>Ростовская</v>
          </cell>
          <cell r="I700">
            <v>6</v>
          </cell>
        </row>
        <row r="701">
          <cell r="C701" t="str">
            <v>RO1025</v>
          </cell>
          <cell r="D701" t="str">
            <v>31:трубостойки на чужой АМС на земле/крыше</v>
          </cell>
          <cell r="E701" t="str">
            <v>Ростовская Область, Ростов-на-Дону Город, Трудовой Переулок, дом 32</v>
          </cell>
          <cell r="F701">
            <v>1.08</v>
          </cell>
          <cell r="G701" t="str">
            <v>Осн.</v>
          </cell>
          <cell r="H701" t="str">
            <v>Ростовская</v>
          </cell>
          <cell r="I701">
            <v>4</v>
          </cell>
        </row>
        <row r="702">
          <cell r="C702" t="str">
            <v>RO1027</v>
          </cell>
          <cell r="D702" t="str">
            <v>31:трубостойки на чужой АМС на земле/крыше</v>
          </cell>
          <cell r="E702" t="str">
            <v>Ростовская Область, Заветинский Район, Фомин Хутор</v>
          </cell>
          <cell r="F702">
            <v>5.4</v>
          </cell>
          <cell r="G702" t="str">
            <v>Осн.</v>
          </cell>
          <cell r="H702" t="str">
            <v>Волгодонская</v>
          </cell>
          <cell r="I702">
            <v>220</v>
          </cell>
        </row>
        <row r="703">
          <cell r="C703" t="str">
            <v>RO1030</v>
          </cell>
          <cell r="D703" t="str">
            <v>13:собст. железобетонный столб с заглубленным фундаментом</v>
          </cell>
          <cell r="E703" t="str">
            <v>Ростовская Область, Ростов-на-Дону Город, Черешневая Улица, дом 38/1</v>
          </cell>
          <cell r="F703">
            <v>1.18</v>
          </cell>
          <cell r="G703" t="str">
            <v>Осн.</v>
          </cell>
          <cell r="H703" t="str">
            <v>Ростовская</v>
          </cell>
          <cell r="I703">
            <v>9</v>
          </cell>
        </row>
        <row r="704">
          <cell r="C704" t="str">
            <v>RO1036</v>
          </cell>
          <cell r="D704" t="str">
            <v>21:собст. АМС до 10 м на крыше</v>
          </cell>
          <cell r="E704" t="str">
            <v>Ростовская Область, Ростов-на-Дону Город, 339 Стрелковой Дивизии Улица\дом 21/1</v>
          </cell>
          <cell r="F704">
            <v>1.22</v>
          </cell>
          <cell r="G704" t="str">
            <v>Осн.</v>
          </cell>
          <cell r="H704" t="str">
            <v>Ростовская</v>
          </cell>
          <cell r="I704">
            <v>11</v>
          </cell>
        </row>
        <row r="705">
          <cell r="C705" t="str">
            <v>RO1040</v>
          </cell>
          <cell r="D705" t="str">
            <v>13:собст. железобетонный столб с заглубленным фундаментом</v>
          </cell>
          <cell r="E705" t="str">
            <v>Ростовская Область, Аксайский Район, Аксай Город, Западная Улица, дом 33</v>
          </cell>
          <cell r="F705">
            <v>1.26</v>
          </cell>
          <cell r="G705" t="str">
            <v>Осн.</v>
          </cell>
          <cell r="H705" t="str">
            <v>Ростовская</v>
          </cell>
          <cell r="I705">
            <v>13</v>
          </cell>
        </row>
        <row r="706">
          <cell r="C706" t="str">
            <v>RO1045</v>
          </cell>
          <cell r="D706" t="str">
            <v>21:собст. АМС до 10 м на крыше</v>
          </cell>
          <cell r="E706" t="str">
            <v>Ростовская Область, Ростов-на-Дону Город, Абрикосовая Улица\дом 70</v>
          </cell>
          <cell r="F706">
            <v>1.2</v>
          </cell>
          <cell r="G706" t="str">
            <v>Осн.</v>
          </cell>
          <cell r="H706" t="str">
            <v>Ростовская</v>
          </cell>
          <cell r="I706">
            <v>10</v>
          </cell>
        </row>
        <row r="707">
          <cell r="C707" t="str">
            <v>RO1046</v>
          </cell>
          <cell r="D707" t="str">
            <v>33:трубостойки, АМС инфраструктурного оператора</v>
          </cell>
          <cell r="E707" t="str">
            <v>Ростовская Область, Ростов-на-Дону Город, Вересаева Улица, дом 103/1</v>
          </cell>
          <cell r="F707">
            <v>1.1599999999999999</v>
          </cell>
          <cell r="G707" t="str">
            <v>Осн.</v>
          </cell>
          <cell r="H707" t="str">
            <v>Ростовская</v>
          </cell>
          <cell r="I707">
            <v>8</v>
          </cell>
        </row>
        <row r="708">
          <cell r="C708" t="str">
            <v>RO1059</v>
          </cell>
          <cell r="D708" t="str">
            <v>31:трубостойки на чужой АМС на земле/крыше</v>
          </cell>
          <cell r="E708" t="str">
            <v>Ростовская Область, Ростов-на-Дону Город, Страны Советов Улица, дом 42г</v>
          </cell>
          <cell r="F708">
            <v>1.1000000000000001</v>
          </cell>
          <cell r="G708" t="str">
            <v>Осн.</v>
          </cell>
          <cell r="H708" t="str">
            <v>Ростовская</v>
          </cell>
          <cell r="I708">
            <v>5</v>
          </cell>
        </row>
        <row r="709">
          <cell r="C709" t="str">
            <v>RO1062</v>
          </cell>
          <cell r="D709" t="str">
            <v>21:собст. АМС до 10 м на крыше</v>
          </cell>
          <cell r="E709" t="str">
            <v>Ростовская Область, Ростов-на-Дону Город\улица Б. Садовая, дом 188</v>
          </cell>
          <cell r="F709">
            <v>1.04</v>
          </cell>
          <cell r="G709" t="str">
            <v>Осн.</v>
          </cell>
          <cell r="H709" t="str">
            <v>Ростовская</v>
          </cell>
          <cell r="I709">
            <v>2</v>
          </cell>
        </row>
        <row r="710">
          <cell r="C710" t="str">
            <v>RO1063</v>
          </cell>
          <cell r="D710" t="str">
            <v>21:собст. АМС до 10 м на крыше</v>
          </cell>
          <cell r="E710" t="str">
            <v>Ростовская Область, Ростов-на-Дону Город, Гагринская Улица, дом 5/1</v>
          </cell>
          <cell r="F710">
            <v>1.2</v>
          </cell>
          <cell r="G710" t="str">
            <v>Осн.</v>
          </cell>
          <cell r="H710" t="str">
            <v>Ростовская</v>
          </cell>
          <cell r="I710">
            <v>10</v>
          </cell>
        </row>
        <row r="711">
          <cell r="C711" t="str">
            <v>RO1065</v>
          </cell>
          <cell r="D711" t="str">
            <v>31:трубостойки на чужой АМС на земле/крыше</v>
          </cell>
          <cell r="E711" t="str">
            <v>Ростовская Область, Ростов-на-Дону Город, Портовая Улица, дом 199</v>
          </cell>
          <cell r="F711">
            <v>1.1599999999999999</v>
          </cell>
          <cell r="G711" t="str">
            <v>Осн.</v>
          </cell>
          <cell r="H711" t="str">
            <v>Ростовская</v>
          </cell>
          <cell r="I711">
            <v>8</v>
          </cell>
        </row>
        <row r="712">
          <cell r="C712" t="str">
            <v>RO1069</v>
          </cell>
          <cell r="D712" t="str">
            <v>13:собст. железобетонный столб с заглубленным фундаментом</v>
          </cell>
          <cell r="E712" t="str">
            <v>Ростовская Область, Ростов-на-Дону Город, Горсоветская Улица, дом 49</v>
          </cell>
          <cell r="F712">
            <v>1.08</v>
          </cell>
          <cell r="G712" t="str">
            <v>Осн.</v>
          </cell>
          <cell r="H712" t="str">
            <v>Ростовская</v>
          </cell>
          <cell r="I712">
            <v>4</v>
          </cell>
        </row>
        <row r="713">
          <cell r="C713" t="str">
            <v>RO1074</v>
          </cell>
          <cell r="D713" t="str">
            <v>31:трубостойки на чужой АМС на земле/крыше</v>
          </cell>
          <cell r="E713" t="str">
            <v>Ростовская Область, Ростов-на-Дону Город, Сальский Переулок, дом 26/1</v>
          </cell>
          <cell r="F713">
            <v>1.1599999999999999</v>
          </cell>
          <cell r="G713" t="str">
            <v>Осн.</v>
          </cell>
          <cell r="H713" t="str">
            <v>Ростовская</v>
          </cell>
          <cell r="I713">
            <v>8</v>
          </cell>
        </row>
        <row r="714">
          <cell r="C714" t="str">
            <v>RO1076</v>
          </cell>
          <cell r="D714" t="str">
            <v>13:собст. железобетонный столб с заглубленным фундаментом</v>
          </cell>
          <cell r="E714" t="str">
            <v>Ростовская Область, Аксайский Район, Янтарный Поселок, Малое Зеленое Кольцо Улица</v>
          </cell>
          <cell r="F714">
            <v>1.2</v>
          </cell>
          <cell r="G714" t="str">
            <v>Осн.</v>
          </cell>
          <cell r="H714" t="str">
            <v>Ростовская</v>
          </cell>
          <cell r="I714">
            <v>10</v>
          </cell>
        </row>
        <row r="715">
          <cell r="C715" t="str">
            <v>RO1083</v>
          </cell>
          <cell r="D715" t="str">
            <v>31:трубостойки на чужой АМС на земле/крыше</v>
          </cell>
          <cell r="E715" t="str">
            <v>Ростовская Область, Шолоховский Район, Калининский Хутор\в границах кадастрового квартала 61:43:0050101</v>
          </cell>
          <cell r="F715">
            <v>5.7</v>
          </cell>
          <cell r="G715" t="str">
            <v>Осн.</v>
          </cell>
          <cell r="H715" t="str">
            <v>Каменская</v>
          </cell>
          <cell r="I715">
            <v>235</v>
          </cell>
        </row>
        <row r="716">
          <cell r="C716" t="str">
            <v>RO1088</v>
          </cell>
          <cell r="D716" t="str">
            <v>33:трубостойки, АМС инфраструктурного оператора</v>
          </cell>
          <cell r="E716" t="str">
            <v>Ростовская Область, Батайск Город, Красноярская Улица\6а</v>
          </cell>
          <cell r="F716">
            <v>1.32</v>
          </cell>
          <cell r="G716" t="str">
            <v>Осн.</v>
          </cell>
          <cell r="H716" t="str">
            <v>Ростовская</v>
          </cell>
          <cell r="I716">
            <v>16</v>
          </cell>
        </row>
        <row r="717">
          <cell r="C717" t="str">
            <v>RO1089</v>
          </cell>
          <cell r="D717" t="str">
            <v>31:трубостойки на чужой АМС на земле/крыше</v>
          </cell>
          <cell r="E717" t="str">
            <v>Ростовская Область, Ростов-на-Дону Город, Тружеников Улица\2а</v>
          </cell>
          <cell r="F717">
            <v>1.18</v>
          </cell>
          <cell r="G717" t="str">
            <v>Осн.</v>
          </cell>
          <cell r="H717" t="str">
            <v>Ростовская</v>
          </cell>
          <cell r="I717">
            <v>9</v>
          </cell>
        </row>
        <row r="718">
          <cell r="C718" t="str">
            <v>RO1091</v>
          </cell>
          <cell r="D718" t="str">
            <v>13:собст. железобетонный столб с заглубленным фундаментом</v>
          </cell>
          <cell r="E718" t="str">
            <v>Ростовская Область, Ростов-на-Дону Город, Машиностроительный Переулок, дом 3</v>
          </cell>
          <cell r="F718">
            <v>1.28</v>
          </cell>
          <cell r="G718" t="str">
            <v>Осн.</v>
          </cell>
          <cell r="H718" t="str">
            <v>Ростовская</v>
          </cell>
          <cell r="I718">
            <v>14</v>
          </cell>
        </row>
        <row r="719">
          <cell r="C719" t="str">
            <v>RO1097</v>
          </cell>
          <cell r="D719" t="str">
            <v>21:собст. АМС до 10 м на крыше</v>
          </cell>
          <cell r="E719" t="str">
            <v>Ростовская Область, Ростов-на-Дону Город\улица 2-я Краснодарская, дом 129/2</v>
          </cell>
          <cell r="F719">
            <v>1.22</v>
          </cell>
          <cell r="G719" t="str">
            <v>Осн.</v>
          </cell>
          <cell r="H719" t="str">
            <v>Ростовская</v>
          </cell>
          <cell r="I719">
            <v>11</v>
          </cell>
        </row>
        <row r="720">
          <cell r="C720" t="str">
            <v>RO1098</v>
          </cell>
          <cell r="D720" t="str">
            <v>13:собст. железобетонный столб с заглубленным фундаментом</v>
          </cell>
          <cell r="E720" t="str">
            <v>Ростовская Область, Семикаракорский Район, Чебачий Хутор, Механизаторов Улица, дом 6</v>
          </cell>
          <cell r="F720">
            <v>3.5</v>
          </cell>
          <cell r="G720" t="str">
            <v>Осн.</v>
          </cell>
          <cell r="H720" t="str">
            <v>Волгодонская</v>
          </cell>
          <cell r="I720">
            <v>125</v>
          </cell>
        </row>
        <row r="721">
          <cell r="C721" t="str">
            <v>RO1103</v>
          </cell>
          <cell r="D721" t="str">
            <v>22:собст. АМС выше 10 м на крыше</v>
          </cell>
          <cell r="E721" t="str">
            <v>Ростовская Область, Ростов-на-Дону Город, Максима Горького Улица\дом 245/26</v>
          </cell>
          <cell r="F721">
            <v>1.04</v>
          </cell>
          <cell r="G721" t="str">
            <v>Осн.</v>
          </cell>
          <cell r="H721" t="str">
            <v>Ростовская</v>
          </cell>
          <cell r="I721">
            <v>2</v>
          </cell>
        </row>
        <row r="722">
          <cell r="C722" t="str">
            <v>RO1104</v>
          </cell>
          <cell r="D722" t="str">
            <v>31:трубостойки на чужой АМС на земле/крыше</v>
          </cell>
          <cell r="E722" t="str">
            <v>Ростовская Область, Батайск Город, Минская Улица\71</v>
          </cell>
          <cell r="F722">
            <v>1.52</v>
          </cell>
          <cell r="G722" t="str">
            <v>Осн.</v>
          </cell>
          <cell r="H722" t="str">
            <v>Ростовская</v>
          </cell>
          <cell r="I722">
            <v>26</v>
          </cell>
        </row>
        <row r="723">
          <cell r="C723" t="str">
            <v>RO1106</v>
          </cell>
          <cell r="D723" t="str">
            <v>21:собст. АМС до 10 м на крыше</v>
          </cell>
          <cell r="E723" t="str">
            <v>Ростовская Область, Батайск Город, Авиагородок Микрорайон\дом 19, литер А</v>
          </cell>
          <cell r="F723">
            <v>1.4</v>
          </cell>
          <cell r="G723" t="str">
            <v>Осн.</v>
          </cell>
          <cell r="H723" t="str">
            <v>Ростовская</v>
          </cell>
          <cell r="I723">
            <v>20</v>
          </cell>
        </row>
        <row r="724">
          <cell r="C724" t="str">
            <v>RO1110</v>
          </cell>
          <cell r="D724" t="str">
            <v>31:трубостойки на чужой АМС на земле/крыше</v>
          </cell>
          <cell r="E724" t="str">
            <v>Ростовская Область, Красносулинский Район, Божковка Хутор, Октябрьская Улица</v>
          </cell>
          <cell r="F724">
            <v>1.98</v>
          </cell>
          <cell r="G724" t="str">
            <v>Осн.</v>
          </cell>
          <cell r="H724" t="str">
            <v>Каменская</v>
          </cell>
          <cell r="I724">
            <v>49</v>
          </cell>
        </row>
        <row r="725">
          <cell r="C725" t="str">
            <v>RO1117</v>
          </cell>
          <cell r="D725" t="str">
            <v>31:трубостойки на чужой АМС на земле/крыше</v>
          </cell>
          <cell r="E725" t="str">
            <v>Ростовская Область, Азовский Район, Красный Сад Поселок, Заводская Улица\дом 15</v>
          </cell>
          <cell r="F725">
            <v>1.54</v>
          </cell>
          <cell r="G725" t="str">
            <v>Осн.</v>
          </cell>
          <cell r="H725" t="str">
            <v>Ростовская</v>
          </cell>
          <cell r="I725">
            <v>27</v>
          </cell>
        </row>
        <row r="726">
          <cell r="C726" t="str">
            <v>RO1131</v>
          </cell>
          <cell r="D726" t="str">
            <v>32:трубостойки/АМС на: трубе, элеваторе, водонап.башне</v>
          </cell>
          <cell r="E726" t="str">
            <v>Ростовская Область, Батайск Город, Воровского Улица, дом 49\литер А</v>
          </cell>
          <cell r="F726">
            <v>1.36</v>
          </cell>
          <cell r="G726" t="str">
            <v>Осн.</v>
          </cell>
          <cell r="H726" t="str">
            <v>Ростовская</v>
          </cell>
          <cell r="I726">
            <v>18</v>
          </cell>
        </row>
        <row r="727">
          <cell r="C727" t="str">
            <v>RO1132</v>
          </cell>
          <cell r="D727" t="str">
            <v>13:собст. железобетонный столб с заглубленным фундаментом</v>
          </cell>
          <cell r="E727" t="str">
            <v>Ростовская Область, Тарасовский Район, Митякинская Станица\57 м на юго-запад от здания № 9 по ул. Луначарского</v>
          </cell>
          <cell r="F727">
            <v>3.3</v>
          </cell>
          <cell r="G727" t="str">
            <v>Осн.</v>
          </cell>
          <cell r="H727" t="str">
            <v>Каменская</v>
          </cell>
          <cell r="I727">
            <v>115</v>
          </cell>
        </row>
        <row r="728">
          <cell r="C728" t="str">
            <v>RO1133</v>
          </cell>
          <cell r="D728" t="str">
            <v>21:собст. АМС до 10 м на крыше</v>
          </cell>
          <cell r="E728" t="str">
            <v>Ростовская Область, Ростов-на-Дону Город, Шолохова Проспект, дом 11\литер Б</v>
          </cell>
          <cell r="F728">
            <v>1.04</v>
          </cell>
          <cell r="G728" t="str">
            <v>Осн.</v>
          </cell>
          <cell r="H728" t="str">
            <v>Ростовская</v>
          </cell>
          <cell r="I728">
            <v>2</v>
          </cell>
        </row>
        <row r="729">
          <cell r="C729" t="str">
            <v>RO1136</v>
          </cell>
          <cell r="D729" t="str">
            <v>31:трубостойки на чужой АМС на земле/крыше</v>
          </cell>
          <cell r="E729" t="str">
            <v>Ростовская Область, Тарасовский Район, Дубы Хутор</v>
          </cell>
          <cell r="F729">
            <v>3.2</v>
          </cell>
          <cell r="G729" t="str">
            <v>Осн.</v>
          </cell>
          <cell r="H729" t="str">
            <v>Каменская</v>
          </cell>
          <cell r="I729">
            <v>110</v>
          </cell>
        </row>
        <row r="730">
          <cell r="C730" t="str">
            <v>RO1141</v>
          </cell>
          <cell r="D730" t="str">
            <v>31:трубостойки на чужой АМС на земле/крыше</v>
          </cell>
          <cell r="E730" t="str">
            <v>Ростовская Область, Ростов-на-Дону Город, Солидарности Улица, дом 2\а</v>
          </cell>
          <cell r="F730">
            <v>1.2</v>
          </cell>
          <cell r="G730" t="str">
            <v>Осн.</v>
          </cell>
          <cell r="H730" t="str">
            <v>Ростовская</v>
          </cell>
          <cell r="I730">
            <v>10</v>
          </cell>
        </row>
        <row r="731">
          <cell r="C731" t="str">
            <v>RO1143</v>
          </cell>
          <cell r="D731" t="str">
            <v>31:трубостойки на чужой АМС на земле/крыше</v>
          </cell>
          <cell r="E731" t="str">
            <v>Ростовская Область, Ростов-на-Дону Город, Менжинского Улица, дом 4</v>
          </cell>
          <cell r="F731">
            <v>1.18</v>
          </cell>
          <cell r="G731" t="str">
            <v>Осн.</v>
          </cell>
          <cell r="H731" t="str">
            <v>Ростовская</v>
          </cell>
          <cell r="I731">
            <v>9</v>
          </cell>
        </row>
        <row r="732">
          <cell r="C732" t="str">
            <v>RO1144</v>
          </cell>
          <cell r="D732" t="str">
            <v>13:собст. железобетонный столб с заглубленным фундаментом</v>
          </cell>
          <cell r="E732" t="str">
            <v>Ростовская Область, Ростов-на-Дону Город\СТ Урожай, 2-1</v>
          </cell>
          <cell r="F732">
            <v>1.28</v>
          </cell>
          <cell r="G732" t="str">
            <v>Осн.</v>
          </cell>
          <cell r="H732" t="str">
            <v>Ростовская</v>
          </cell>
          <cell r="I732">
            <v>14</v>
          </cell>
        </row>
        <row r="733">
          <cell r="C733" t="str">
            <v>RO1148</v>
          </cell>
          <cell r="D733" t="str">
            <v>21:собст. АМС до 10 м на крыше</v>
          </cell>
          <cell r="E733" t="str">
            <v>Ростовская Область, Ростов-на-Дону Город, Таганрогская Улица, дом 116/5</v>
          </cell>
          <cell r="F733">
            <v>1.26</v>
          </cell>
          <cell r="G733" t="str">
            <v>Осн.</v>
          </cell>
          <cell r="H733" t="str">
            <v>Ростовская</v>
          </cell>
          <cell r="I733">
            <v>13</v>
          </cell>
        </row>
        <row r="734">
          <cell r="C734" t="str">
            <v>RO1149</v>
          </cell>
          <cell r="D734" t="str">
            <v>33:трубостойки, АМС инфраструктурного оператора</v>
          </cell>
          <cell r="E734" t="str">
            <v>Ростовская Область, Ростов-на-Дону Город, Араратский Переулок, дом 4\пересечение ул. Белостокская</v>
          </cell>
          <cell r="F734">
            <v>1.1399999999999999</v>
          </cell>
          <cell r="G734" t="str">
            <v>Осн.</v>
          </cell>
          <cell r="H734" t="str">
            <v>Ростовская</v>
          </cell>
          <cell r="I734">
            <v>7</v>
          </cell>
        </row>
        <row r="735">
          <cell r="C735" t="str">
            <v>RO1151</v>
          </cell>
          <cell r="D735" t="str">
            <v>31:трубостойки на чужой АМС на земле/крыше</v>
          </cell>
          <cell r="E735" t="str">
            <v>Ростовская Область, Ростов-на-Дону Город, Войкова Улица, дом 136</v>
          </cell>
          <cell r="F735">
            <v>1.1200000000000001</v>
          </cell>
          <cell r="G735" t="str">
            <v>Осн.</v>
          </cell>
          <cell r="H735" t="str">
            <v>Ростовская</v>
          </cell>
          <cell r="I735">
            <v>6</v>
          </cell>
        </row>
        <row r="736">
          <cell r="C736" t="str">
            <v>RO1152</v>
          </cell>
          <cell r="D736" t="str">
            <v>21:собст. АМС до 10 м на крыше</v>
          </cell>
          <cell r="E736" t="str">
            <v>Ростовская Область, Ростов-на-Дону Город, Свердловская Улица, дом 81/44</v>
          </cell>
          <cell r="F736">
            <v>1.1200000000000001</v>
          </cell>
          <cell r="G736" t="str">
            <v>Осн.</v>
          </cell>
          <cell r="H736" t="str">
            <v>Ростовская</v>
          </cell>
          <cell r="I736">
            <v>6</v>
          </cell>
        </row>
        <row r="737">
          <cell r="C737" t="str">
            <v>RO1153</v>
          </cell>
          <cell r="D737" t="str">
            <v>33:трубостойки, АМС инфраструктурного оператора</v>
          </cell>
          <cell r="E737" t="str">
            <v>Ростовская Область, Ростов-на-Дону Город, Деревянко Переулок\напротив д.27</v>
          </cell>
          <cell r="F737">
            <v>1.08</v>
          </cell>
          <cell r="G737" t="str">
            <v>Осн.</v>
          </cell>
          <cell r="H737" t="str">
            <v>Ростовская</v>
          </cell>
          <cell r="I737">
            <v>4</v>
          </cell>
        </row>
        <row r="738">
          <cell r="C738" t="str">
            <v>RO1154</v>
          </cell>
          <cell r="D738" t="str">
            <v>21:собст. АМС до 10 м на крыше</v>
          </cell>
          <cell r="E738" t="str">
            <v>Ростовская Область, Ростов-на-Дону Город\пр-т Королева, д 22 г</v>
          </cell>
          <cell r="F738">
            <v>1.2</v>
          </cell>
          <cell r="G738" t="str">
            <v>Осн.</v>
          </cell>
          <cell r="H738" t="str">
            <v>Ростовская</v>
          </cell>
          <cell r="I738">
            <v>10</v>
          </cell>
        </row>
        <row r="739">
          <cell r="C739" t="str">
            <v>RO1155</v>
          </cell>
          <cell r="D739" t="str">
            <v>13:собст. железобетонный столб с заглубленным фундаментом</v>
          </cell>
          <cell r="E739" t="str">
            <v>Ростовская Область, Аксайский Район, Камышеваха Хутор, Таймырская Улица\32</v>
          </cell>
          <cell r="F739">
            <v>1.32</v>
          </cell>
          <cell r="G739" t="str">
            <v>Осн.</v>
          </cell>
          <cell r="H739" t="str">
            <v>Ростовская</v>
          </cell>
          <cell r="I739">
            <v>16</v>
          </cell>
        </row>
        <row r="740">
          <cell r="C740" t="str">
            <v>RO1159</v>
          </cell>
          <cell r="D740" t="str">
            <v>22:собст. АМС выше 10 м на крыше</v>
          </cell>
          <cell r="E740" t="str">
            <v>Ростовская Область, Ростов-на-Дону Город, Михаила Нагибина Проспект, дом 14а</v>
          </cell>
          <cell r="F740">
            <v>1.06</v>
          </cell>
          <cell r="G740" t="str">
            <v>Осн.</v>
          </cell>
          <cell r="H740" t="str">
            <v>Ростовская</v>
          </cell>
          <cell r="I740">
            <v>3</v>
          </cell>
        </row>
        <row r="741">
          <cell r="C741" t="str">
            <v>RO1162</v>
          </cell>
          <cell r="D741" t="str">
            <v>21:собст. АМС до 10 м на крыше</v>
          </cell>
          <cell r="E741" t="str">
            <v>Ростовская Область, Ростов-на-Дону Город, Днепровский Переулок, дом 124и</v>
          </cell>
          <cell r="F741">
            <v>1.26</v>
          </cell>
          <cell r="G741" t="str">
            <v>Осн.</v>
          </cell>
          <cell r="H741" t="str">
            <v>Ростовская</v>
          </cell>
          <cell r="I741">
            <v>13</v>
          </cell>
        </row>
        <row r="742">
          <cell r="C742" t="str">
            <v>RO1164</v>
          </cell>
          <cell r="D742" t="str">
            <v>21:собст. АМС до 10 м на крыше</v>
          </cell>
          <cell r="E742" t="str">
            <v>Ростовская Область, Ростов-на-Дону Город, Еременко Улица, дом 96/1</v>
          </cell>
          <cell r="F742">
            <v>1.22</v>
          </cell>
          <cell r="G742" t="str">
            <v>Осн.</v>
          </cell>
          <cell r="H742" t="str">
            <v>Ростовская</v>
          </cell>
          <cell r="I742">
            <v>11</v>
          </cell>
        </row>
        <row r="743">
          <cell r="C743" t="str">
            <v>RO1165</v>
          </cell>
          <cell r="D743" t="str">
            <v>31:трубостойки на чужой АМС на земле/крыше</v>
          </cell>
          <cell r="E743" t="str">
            <v>Ростовская Область, Мясниковский Район\СНТ Факел, участок 405</v>
          </cell>
          <cell r="F743">
            <v>1.26</v>
          </cell>
          <cell r="G743" t="str">
            <v>Осн.</v>
          </cell>
          <cell r="H743" t="str">
            <v>Ростовская</v>
          </cell>
          <cell r="I743">
            <v>13</v>
          </cell>
        </row>
        <row r="744">
          <cell r="C744" t="str">
            <v>RO1166</v>
          </cell>
          <cell r="D744" t="str">
            <v>13:собст. железобетонный столб с заглубленным фундаментом</v>
          </cell>
          <cell r="E744" t="str">
            <v>Ростовская Область, Ростов-на-Дону Город, Жданова Улица\18</v>
          </cell>
          <cell r="F744">
            <v>1.2</v>
          </cell>
          <cell r="G744" t="str">
            <v>Осн.</v>
          </cell>
          <cell r="H744" t="str">
            <v>Ростовская</v>
          </cell>
          <cell r="I744">
            <v>10</v>
          </cell>
        </row>
        <row r="745">
          <cell r="C745" t="str">
            <v>RO1168</v>
          </cell>
          <cell r="D745" t="str">
            <v>21:собст. АМС до 10 м на крыше</v>
          </cell>
          <cell r="E745" t="str">
            <v>Ростовская Область, Ростов-на-Дону Город, Семашко Переулок, дом 117</v>
          </cell>
          <cell r="F745">
            <v>1.06</v>
          </cell>
          <cell r="G745" t="str">
            <v>Осн.</v>
          </cell>
          <cell r="H745" t="str">
            <v>Ростовская</v>
          </cell>
          <cell r="I745">
            <v>3</v>
          </cell>
        </row>
        <row r="746">
          <cell r="C746" t="str">
            <v>RO1176</v>
          </cell>
          <cell r="D746" t="str">
            <v>13:собст. железобетонный столб с заглубленным фундаментом</v>
          </cell>
          <cell r="E746" t="str">
            <v>Ростовская Область, Ростов-на-Дону Город, 26-го Июня Улица, дом 69/1</v>
          </cell>
          <cell r="F746">
            <v>1.24</v>
          </cell>
          <cell r="G746" t="str">
            <v>Осн.</v>
          </cell>
          <cell r="H746" t="str">
            <v>Ростовская</v>
          </cell>
          <cell r="I746">
            <v>12</v>
          </cell>
        </row>
        <row r="747">
          <cell r="C747" t="str">
            <v>RO1177</v>
          </cell>
          <cell r="D747" t="str">
            <v>13:собст. железобетонный столб с заглубленным фундаментом</v>
          </cell>
          <cell r="E747" t="str">
            <v>Ростовская Область, Ростов-на-Дону Город, Страны Советов Площадь\5</v>
          </cell>
          <cell r="F747">
            <v>1.1599999999999999</v>
          </cell>
          <cell r="G747" t="str">
            <v>Осн.</v>
          </cell>
          <cell r="H747" t="str">
            <v>Ростовская</v>
          </cell>
          <cell r="I747">
            <v>8</v>
          </cell>
        </row>
        <row r="748">
          <cell r="C748" t="str">
            <v>RO1178</v>
          </cell>
          <cell r="D748" t="str">
            <v>31:трубостойки на чужой АМС на земле/крыше</v>
          </cell>
          <cell r="E748" t="str">
            <v>Ростовская Область, Ростов-на-Дону Город, Петрожицкого Улица, дом 8</v>
          </cell>
          <cell r="F748">
            <v>1.34</v>
          </cell>
          <cell r="G748" t="str">
            <v>Осн.</v>
          </cell>
          <cell r="H748" t="str">
            <v>Ростовская</v>
          </cell>
          <cell r="I748">
            <v>17</v>
          </cell>
        </row>
        <row r="749">
          <cell r="C749" t="str">
            <v>RO1179</v>
          </cell>
          <cell r="D749" t="str">
            <v>31:трубостойки на чужой АМС на земле/крыше</v>
          </cell>
          <cell r="E749" t="str">
            <v>Ростовская Область, Аксайский Район, Аксай Город, Речников Улица, дом 25</v>
          </cell>
          <cell r="F749">
            <v>1.4</v>
          </cell>
          <cell r="G749" t="str">
            <v>Осн.</v>
          </cell>
          <cell r="H749" t="str">
            <v>Ростовская</v>
          </cell>
          <cell r="I749">
            <v>20</v>
          </cell>
        </row>
        <row r="750">
          <cell r="C750" t="str">
            <v>RO1183</v>
          </cell>
          <cell r="D750" t="str">
            <v>33:трубостойки, АМС инфраструктурного оператора</v>
          </cell>
          <cell r="E750" t="str">
            <v>Ростовская Область, Новочеркасск Город, Фрунзе Улица, дом 143\16</v>
          </cell>
          <cell r="F750">
            <v>1.84</v>
          </cell>
          <cell r="G750" t="str">
            <v>Осн.</v>
          </cell>
          <cell r="H750" t="str">
            <v>Ростовская</v>
          </cell>
          <cell r="I750">
            <v>42</v>
          </cell>
        </row>
        <row r="751">
          <cell r="C751" t="str">
            <v>RO1184</v>
          </cell>
          <cell r="D751" t="str">
            <v>21:собст. АМС до 10 м на крыше</v>
          </cell>
          <cell r="E751" t="str">
            <v>Ростовская Область, Ростов-на-Дону Город, 12-я линия Улица, дом 16/33</v>
          </cell>
          <cell r="F751">
            <v>1.1200000000000001</v>
          </cell>
          <cell r="G751" t="str">
            <v>Осн.</v>
          </cell>
          <cell r="H751" t="str">
            <v>Ростовская</v>
          </cell>
          <cell r="I751">
            <v>6</v>
          </cell>
        </row>
        <row r="752">
          <cell r="C752" t="str">
            <v>RO1185</v>
          </cell>
          <cell r="D752" t="str">
            <v>69:тип 69 RANsharing</v>
          </cell>
          <cell r="E752" t="str">
            <v>Ростовская Область, Азовский Район, Городище Хутор, Придорожная Улица\50 м южнее дома №51</v>
          </cell>
          <cell r="F752">
            <v>1.44</v>
          </cell>
          <cell r="G752" t="str">
            <v>Осн.</v>
          </cell>
          <cell r="H752" t="str">
            <v>Ростовская</v>
          </cell>
          <cell r="I752">
            <v>22</v>
          </cell>
        </row>
        <row r="753">
          <cell r="C753" t="str">
            <v>RO1189</v>
          </cell>
          <cell r="D753" t="str">
            <v>31:трубостойки на чужой АМС на земле/крыше</v>
          </cell>
          <cell r="E753" t="str">
            <v>Ростовская Область, Шахты Город\ул. Володарского, 47-а, АМС ФГУП РТРС</v>
          </cell>
          <cell r="F753">
            <v>2.6</v>
          </cell>
          <cell r="G753" t="str">
            <v>Осн.</v>
          </cell>
          <cell r="H753" t="str">
            <v>Ростовская</v>
          </cell>
          <cell r="I753">
            <v>80</v>
          </cell>
        </row>
        <row r="754">
          <cell r="C754" t="str">
            <v>RO1190</v>
          </cell>
          <cell r="D754" t="str">
            <v>13:собст. железобетонный столб с заглубленным фундаментом</v>
          </cell>
          <cell r="E754" t="str">
            <v>Ростовская Область, Шахты Город, Индустриальная Улица\Индустриальная Улица</v>
          </cell>
          <cell r="F754">
            <v>2.66</v>
          </cell>
          <cell r="G754" t="str">
            <v>Осн.</v>
          </cell>
          <cell r="H754" t="str">
            <v>Ростовская</v>
          </cell>
          <cell r="I754">
            <v>83</v>
          </cell>
        </row>
        <row r="755">
          <cell r="C755" t="str">
            <v>RO1192</v>
          </cell>
          <cell r="D755" t="str">
            <v>21:собст. АМС до 10 м на крыше</v>
          </cell>
          <cell r="E755" t="str">
            <v>Ростовская Область, Ростов-на-Дону Город, Таганрогская Улица, дом 33</v>
          </cell>
          <cell r="F755">
            <v>1.1599999999999999</v>
          </cell>
          <cell r="G755" t="str">
            <v>Осн.</v>
          </cell>
          <cell r="H755" t="str">
            <v>Ростовская</v>
          </cell>
          <cell r="I755">
            <v>8</v>
          </cell>
        </row>
        <row r="756">
          <cell r="C756" t="str">
            <v>RO1193</v>
          </cell>
          <cell r="D756" t="str">
            <v>33:трубостойки, АМС инфраструктурного оператора</v>
          </cell>
          <cell r="E756" t="str">
            <v>Ростовская Область, Ростов-на-Дону Город, Гранитная Улица\64</v>
          </cell>
          <cell r="F756">
            <v>1.18</v>
          </cell>
          <cell r="G756" t="str">
            <v>Осн.</v>
          </cell>
          <cell r="H756" t="str">
            <v>Ростовская</v>
          </cell>
          <cell r="I756">
            <v>9</v>
          </cell>
        </row>
        <row r="757">
          <cell r="C757" t="str">
            <v>RO1199</v>
          </cell>
          <cell r="D757" t="str">
            <v>33:трубостойки, АМС инфраструктурного оператора</v>
          </cell>
          <cell r="E757" t="str">
            <v>Ростовская Область, Батайск Город, Заводская Улица, дом 262\8 м. южнее участка</v>
          </cell>
          <cell r="F757">
            <v>1.26</v>
          </cell>
          <cell r="G757" t="str">
            <v>Осн.</v>
          </cell>
          <cell r="H757" t="str">
            <v>Ростовская</v>
          </cell>
          <cell r="I757">
            <v>13</v>
          </cell>
        </row>
        <row r="758">
          <cell r="C758" t="str">
            <v>RO1201</v>
          </cell>
          <cell r="D758" t="str">
            <v>31:трубостойки на чужой АМС на земле/крыше</v>
          </cell>
          <cell r="E758" t="str">
            <v>Ростовская Область, Ростов-на-Дону Город, Ростсельмашевец Сад\11-28</v>
          </cell>
          <cell r="F758">
            <v>1.36</v>
          </cell>
          <cell r="G758" t="str">
            <v>Осн.</v>
          </cell>
          <cell r="H758" t="str">
            <v>Ростовская</v>
          </cell>
          <cell r="I758">
            <v>18</v>
          </cell>
        </row>
        <row r="759">
          <cell r="C759" t="str">
            <v>RO1205</v>
          </cell>
          <cell r="D759" t="str">
            <v>13:собст. железобетонный столб с заглубленным фундаментом</v>
          </cell>
          <cell r="E759" t="str">
            <v>Ростовская Область, Азовский Район, Кулешовка Село, Кулагина Переулок\дом 9, литер А</v>
          </cell>
          <cell r="F759">
            <v>1.66</v>
          </cell>
          <cell r="G759" t="str">
            <v>Осн.</v>
          </cell>
          <cell r="H759" t="str">
            <v>Ростовская</v>
          </cell>
          <cell r="I759">
            <v>33</v>
          </cell>
        </row>
        <row r="760">
          <cell r="C760" t="str">
            <v>RO1214</v>
          </cell>
          <cell r="D760" t="str">
            <v>13:собст. железобетонный столб с заглубленным фундаментом</v>
          </cell>
          <cell r="E760" t="str">
            <v>Ростовская Область, Азовский Район, Самарское Село, Мира Улица\дом 1</v>
          </cell>
          <cell r="F760">
            <v>1.88</v>
          </cell>
          <cell r="G760" t="str">
            <v>Осн.</v>
          </cell>
          <cell r="H760" t="str">
            <v>Ростовская</v>
          </cell>
          <cell r="I760">
            <v>44</v>
          </cell>
        </row>
        <row r="761">
          <cell r="C761" t="str">
            <v>RO1216</v>
          </cell>
          <cell r="D761" t="str">
            <v>21:собст. АМС до 10 м на крыше</v>
          </cell>
          <cell r="E761" t="str">
            <v>Ростовская Область, Ростов-на-Дону Город, 40-летия Победы Проспект, дом 85</v>
          </cell>
          <cell r="F761">
            <v>1.24</v>
          </cell>
          <cell r="G761" t="str">
            <v>Осн.</v>
          </cell>
          <cell r="H761" t="str">
            <v>Ростовская</v>
          </cell>
          <cell r="I761">
            <v>12</v>
          </cell>
        </row>
        <row r="762">
          <cell r="C762" t="str">
            <v>RO1224</v>
          </cell>
          <cell r="D762" t="str">
            <v>31:трубостойки на чужой АМС на земле/крыше</v>
          </cell>
          <cell r="E762" t="str">
            <v>Ростовская Область, Ростов-на-Дону Город, Автомобильный Переулок, дом 25\Б</v>
          </cell>
          <cell r="F762">
            <v>1.1200000000000001</v>
          </cell>
          <cell r="G762" t="str">
            <v>Осн.</v>
          </cell>
          <cell r="H762" t="str">
            <v>Ростовская</v>
          </cell>
          <cell r="I762">
            <v>6</v>
          </cell>
        </row>
        <row r="763">
          <cell r="C763" t="str">
            <v>RO1225</v>
          </cell>
          <cell r="D763" t="str">
            <v>21:собст. АМС до 10 м на крыше</v>
          </cell>
          <cell r="E763" t="str">
            <v>Ростовская Область, Ростов-на-Дону Город, Ворошиловский Проспект, дом 60</v>
          </cell>
          <cell r="F763">
            <v>1.04</v>
          </cell>
          <cell r="G763" t="str">
            <v>Осн.</v>
          </cell>
          <cell r="H763" t="str">
            <v>Ростовская</v>
          </cell>
          <cell r="I763">
            <v>2</v>
          </cell>
        </row>
        <row r="764">
          <cell r="C764" t="str">
            <v>RO1226</v>
          </cell>
          <cell r="D764" t="str">
            <v>33:трубостойки, АМС инфраструктурного оператора</v>
          </cell>
          <cell r="E764" t="str">
            <v>Ростовская Область, Ростов-на-Дону Город, Лермонтовская Улица, дом 154</v>
          </cell>
          <cell r="F764">
            <v>1.08</v>
          </cell>
          <cell r="G764" t="str">
            <v>Осн.</v>
          </cell>
          <cell r="H764" t="str">
            <v>Ростовская</v>
          </cell>
          <cell r="I764">
            <v>4</v>
          </cell>
        </row>
        <row r="765">
          <cell r="C765" t="str">
            <v>RO1227</v>
          </cell>
          <cell r="D765" t="str">
            <v>14:собст. пригруз(мачта, башня, столб) с земли</v>
          </cell>
          <cell r="E765" t="str">
            <v>Ростовская Область, Азовский Район, Самарское Село, Колодезный Переулок\47.</v>
          </cell>
          <cell r="F765">
            <v>1.78</v>
          </cell>
          <cell r="G765" t="str">
            <v>Осн.</v>
          </cell>
          <cell r="H765" t="str">
            <v>Ростовская</v>
          </cell>
          <cell r="I765">
            <v>39</v>
          </cell>
        </row>
        <row r="766">
          <cell r="C766" t="str">
            <v>RO1228</v>
          </cell>
          <cell r="D766" t="str">
            <v>21:собст. АМС до 10 м на крыше</v>
          </cell>
          <cell r="E766" t="str">
            <v>Ростовская Область, Батайск Город, Северный массив Микрорайон\10</v>
          </cell>
          <cell r="F766">
            <v>1.24</v>
          </cell>
          <cell r="G766" t="str">
            <v>Осн.</v>
          </cell>
          <cell r="H766" t="str">
            <v>Ростовская</v>
          </cell>
          <cell r="I766">
            <v>12</v>
          </cell>
        </row>
        <row r="767">
          <cell r="C767" t="str">
            <v>RO1229</v>
          </cell>
          <cell r="D767" t="str">
            <v>33:трубостойки, АМС инфраструктурного оператора</v>
          </cell>
          <cell r="E767" t="str">
            <v>Ростовская Область, Батайск Город, Артемовская Улица, дом 168/9-и</v>
          </cell>
          <cell r="F767">
            <v>1.34</v>
          </cell>
          <cell r="G767" t="str">
            <v>Осн.</v>
          </cell>
          <cell r="H767" t="str">
            <v>Ростовская</v>
          </cell>
          <cell r="I767">
            <v>17</v>
          </cell>
        </row>
        <row r="768">
          <cell r="C768" t="str">
            <v>RO1230</v>
          </cell>
          <cell r="D768" t="str">
            <v>33:трубостойки, АМС инфраструктурного оператора</v>
          </cell>
          <cell r="E768" t="str">
            <v>Ростовская Область, Ростов-на-Дону Город, 2-я Краснодарская Улица, дом 92\рядом с жилым домом</v>
          </cell>
          <cell r="F768">
            <v>1.24</v>
          </cell>
          <cell r="G768" t="str">
            <v>Осн.</v>
          </cell>
          <cell r="H768" t="str">
            <v>Ростовская</v>
          </cell>
          <cell r="I768">
            <v>12</v>
          </cell>
        </row>
        <row r="769">
          <cell r="C769" t="str">
            <v>RO1237</v>
          </cell>
          <cell r="D769" t="str">
            <v>52:индорсайт</v>
          </cell>
          <cell r="E769" t="str">
            <v>Ростовская Область, Ростов-на-Дону Город, Пойменная Улица, дом 1</v>
          </cell>
          <cell r="F769">
            <v>1.1200000000000001</v>
          </cell>
          <cell r="G769" t="str">
            <v>Осн.</v>
          </cell>
          <cell r="H769" t="str">
            <v>Ростовская</v>
          </cell>
          <cell r="I769">
            <v>6</v>
          </cell>
        </row>
        <row r="770">
          <cell r="C770" t="str">
            <v>RO1246</v>
          </cell>
          <cell r="D770" t="str">
            <v>13:собст. железобетонный столб с заглубленным фундаментом</v>
          </cell>
          <cell r="E770" t="str">
            <v>Ростовская Область, Каменск-Шахтинский Город, Володарского Переулок\в южном направлении от д.72</v>
          </cell>
          <cell r="F770">
            <v>1.1000000000000001</v>
          </cell>
          <cell r="G770" t="str">
            <v>Осн.</v>
          </cell>
          <cell r="H770" t="str">
            <v>Каменская</v>
          </cell>
          <cell r="I770">
            <v>5</v>
          </cell>
        </row>
        <row r="771">
          <cell r="C771" t="str">
            <v>RO1247</v>
          </cell>
          <cell r="D771" t="str">
            <v>33:трубостойки, АМС инфраструктурного оператора</v>
          </cell>
          <cell r="E771" t="str">
            <v>Ростовская Область, Каменск-Шахтинский Город, Нижне-Профильная Улица, дом 2\в 55 метрах на северо-восток</v>
          </cell>
          <cell r="F771">
            <v>1.1200000000000001</v>
          </cell>
          <cell r="G771" t="str">
            <v>Осн.</v>
          </cell>
          <cell r="H771" t="str">
            <v>Каменская</v>
          </cell>
          <cell r="I771">
            <v>6</v>
          </cell>
        </row>
        <row r="772">
          <cell r="C772" t="str">
            <v>RO1255</v>
          </cell>
          <cell r="D772" t="str">
            <v>33:трубостойки, АМС инфраструктурного оператора</v>
          </cell>
          <cell r="E772" t="str">
            <v>Ростовская Область, Ростов-на-Дону Город, Межевая Улица, дом 49/13</v>
          </cell>
          <cell r="F772">
            <v>1.06</v>
          </cell>
          <cell r="G772" t="str">
            <v>Осн.</v>
          </cell>
          <cell r="H772" t="str">
            <v>Ростовская</v>
          </cell>
          <cell r="I772">
            <v>3</v>
          </cell>
        </row>
        <row r="773">
          <cell r="C773" t="str">
            <v>RO1256</v>
          </cell>
          <cell r="D773" t="str">
            <v>33:трубостойки, АМС инфраструктурного оператора</v>
          </cell>
          <cell r="E773" t="str">
            <v>Ростовская Область, Ростов-на-Дону Город, Днепростроевская Улица\23/пер. Гастелло</v>
          </cell>
          <cell r="F773">
            <v>1.08</v>
          </cell>
          <cell r="G773" t="str">
            <v>Осн.</v>
          </cell>
          <cell r="H773" t="str">
            <v>Ростовская</v>
          </cell>
          <cell r="I773">
            <v>4</v>
          </cell>
        </row>
        <row r="774">
          <cell r="C774" t="str">
            <v>RO1293</v>
          </cell>
          <cell r="D774" t="str">
            <v>21:собст. АМС до 10 м на крыше</v>
          </cell>
          <cell r="E774" t="str">
            <v>Ростовская Область, Ростов-на-Дону Город, Думенко Улица\дом 3/3</v>
          </cell>
          <cell r="F774">
            <v>1.2</v>
          </cell>
          <cell r="G774" t="str">
            <v>Осн.</v>
          </cell>
          <cell r="H774" t="str">
            <v>Ростовская</v>
          </cell>
          <cell r="I774">
            <v>10</v>
          </cell>
        </row>
        <row r="775">
          <cell r="C775" t="str">
            <v>RO1303</v>
          </cell>
          <cell r="D775" t="str">
            <v>33:трубостойки, АМС инфраструктурного оператора</v>
          </cell>
          <cell r="E775" t="str">
            <v>Ростовская Область, Белокалитвинский Район, Шолоховский Рабочий поселок, М.Горького Улица, дом 17А</v>
          </cell>
          <cell r="F775">
            <v>2.46</v>
          </cell>
          <cell r="G775" t="str">
            <v>Осн.</v>
          </cell>
          <cell r="H775" t="str">
            <v>Каменская</v>
          </cell>
          <cell r="I775">
            <v>73</v>
          </cell>
        </row>
        <row r="776">
          <cell r="C776" t="str">
            <v>RO1305</v>
          </cell>
          <cell r="D776" t="str">
            <v>69:тип 69 RANsharing</v>
          </cell>
          <cell r="E776" t="str">
            <v>Ростовская Область, Белокалитвинский Район, Насонтов Хутор, Центральная Улица, дом 49\56 метров на юго-запад от ДК (клуб)</v>
          </cell>
          <cell r="F776">
            <v>2.92</v>
          </cell>
          <cell r="G776" t="str">
            <v>Осн.</v>
          </cell>
          <cell r="H776" t="str">
            <v>Каменская</v>
          </cell>
          <cell r="I776">
            <v>96</v>
          </cell>
        </row>
        <row r="777">
          <cell r="C777" t="str">
            <v>RO1328</v>
          </cell>
          <cell r="D777" t="str">
            <v>31:трубостойки на чужой АМС на земле/крыше</v>
          </cell>
          <cell r="E777" t="str">
            <v>Ростовская Область, Миллеровский Район, Дегтево Слобода, Российская Улица</v>
          </cell>
          <cell r="F777">
            <v>3.4</v>
          </cell>
          <cell r="G777" t="str">
            <v>Осн.</v>
          </cell>
          <cell r="H777" t="str">
            <v>Каменская</v>
          </cell>
          <cell r="I777">
            <v>120</v>
          </cell>
        </row>
        <row r="778">
          <cell r="C778" t="str">
            <v>RO1333</v>
          </cell>
          <cell r="D778" t="str">
            <v>31:трубостойки на чужой АМС на земле/крыше</v>
          </cell>
          <cell r="E778" t="str">
            <v>Ростовская Область, Донецк Город, Карла Маркса Улица\75м восточнее от участка по адресу ул. Карла Маркса 100</v>
          </cell>
          <cell r="F778">
            <v>1.72</v>
          </cell>
          <cell r="G778" t="str">
            <v>Осн.</v>
          </cell>
          <cell r="H778" t="str">
            <v>Каменская</v>
          </cell>
          <cell r="I778">
            <v>36</v>
          </cell>
        </row>
        <row r="779">
          <cell r="C779" t="str">
            <v>RO1338</v>
          </cell>
          <cell r="D779" t="str">
            <v>13:собст. железобетонный столб с заглубленным фундаментом</v>
          </cell>
          <cell r="E779" t="str">
            <v>Ростовская Область, Семикаракорский Район, Новозолотовская Станица, Октябрьская Улица, дом 5</v>
          </cell>
          <cell r="F779">
            <v>3.62</v>
          </cell>
          <cell r="G779" t="str">
            <v>Осн.</v>
          </cell>
          <cell r="H779" t="str">
            <v>Волгодонская</v>
          </cell>
          <cell r="I779">
            <v>131</v>
          </cell>
        </row>
        <row r="780">
          <cell r="C780" t="str">
            <v>RO1339</v>
          </cell>
          <cell r="D780" t="str">
            <v>33:трубостойки, АМС инфраструктурного оператора</v>
          </cell>
          <cell r="E780" t="str">
            <v>Ростовская Область, Новочеркасск Город, С.В.Мацоты Улица, дом 11</v>
          </cell>
          <cell r="F780">
            <v>2.02</v>
          </cell>
          <cell r="G780" t="str">
            <v>Осн.</v>
          </cell>
          <cell r="H780" t="str">
            <v>Ростовская</v>
          </cell>
          <cell r="I780">
            <v>51</v>
          </cell>
        </row>
        <row r="781">
          <cell r="C781" t="str">
            <v>RO1340</v>
          </cell>
          <cell r="D781" t="str">
            <v>31:трубостойки на чужой АМС на земле/крыше</v>
          </cell>
          <cell r="E781" t="str">
            <v>Ростовская Область, Заветинский Район, Потапенко Хутор\Центральная улица</v>
          </cell>
          <cell r="F781">
            <v>4.82</v>
          </cell>
          <cell r="G781" t="str">
            <v>Осн.</v>
          </cell>
          <cell r="H781" t="str">
            <v>Волгодонская</v>
          </cell>
          <cell r="I781">
            <v>191</v>
          </cell>
        </row>
        <row r="782">
          <cell r="C782" t="str">
            <v>RO1342</v>
          </cell>
          <cell r="D782" t="str">
            <v>31:трубостойки на чужой АМС на земле/крыше</v>
          </cell>
          <cell r="E782" t="str">
            <v>Ростовская Область, Кашарский Район, Первомайское Село\АМС ФГУП "РТРС"</v>
          </cell>
          <cell r="F782">
            <v>4.7</v>
          </cell>
          <cell r="G782" t="str">
            <v>Осн.</v>
          </cell>
          <cell r="H782" t="str">
            <v>Каменская</v>
          </cell>
          <cell r="I782">
            <v>185</v>
          </cell>
        </row>
        <row r="783">
          <cell r="C783" t="str">
            <v>RO1345</v>
          </cell>
          <cell r="D783" t="str">
            <v>33:трубостойки, АМС инфраструктурного оператора</v>
          </cell>
          <cell r="E783" t="str">
            <v>Ростовская Область, Ростов-на-Дону Город, 40-летия Победы Проспект, дом 69/3</v>
          </cell>
          <cell r="F783">
            <v>1.22</v>
          </cell>
          <cell r="G783" t="str">
            <v>Осн.</v>
          </cell>
          <cell r="H783" t="str">
            <v>Ростовская</v>
          </cell>
          <cell r="I783">
            <v>11</v>
          </cell>
        </row>
        <row r="784">
          <cell r="C784" t="str">
            <v>RO1347</v>
          </cell>
          <cell r="D784" t="str">
            <v>31:трубостойки на чужой АМС на земле/крыше</v>
          </cell>
          <cell r="E784" t="str">
            <v>Ростовская Область, Семикаракорский Район, Лиманский Хутор\массив земель объединившихся крестьянских хозяйств "Промэкс", "Карп", "Амур"</v>
          </cell>
          <cell r="F784">
            <v>3.72</v>
          </cell>
          <cell r="G784" t="str">
            <v>Осн.</v>
          </cell>
          <cell r="H784" t="str">
            <v>Волгодонская</v>
          </cell>
          <cell r="I784">
            <v>136</v>
          </cell>
        </row>
        <row r="785">
          <cell r="C785" t="str">
            <v>RO1355</v>
          </cell>
          <cell r="D785" t="str">
            <v>21:собст. АМС до 10 м на крыше</v>
          </cell>
          <cell r="E785" t="str">
            <v>Ростовская Область, Батайск Город\мк-р Северный массив, д.2\8</v>
          </cell>
          <cell r="F785">
            <v>1.26</v>
          </cell>
          <cell r="G785" t="str">
            <v>Осн.</v>
          </cell>
          <cell r="H785" t="str">
            <v>Ростовская</v>
          </cell>
          <cell r="I785">
            <v>13</v>
          </cell>
        </row>
        <row r="786">
          <cell r="C786" t="str">
            <v>RO1360</v>
          </cell>
          <cell r="D786" t="str">
            <v>52:индорсайт</v>
          </cell>
          <cell r="E786" t="str">
            <v>Ростовская Область, Ростов-на-Дону Город, Михаила Нагибина Проспект, дом 32/2\корпус 3</v>
          </cell>
          <cell r="F786">
            <v>1.1399999999999999</v>
          </cell>
          <cell r="G786" t="str">
            <v>Осн.</v>
          </cell>
          <cell r="H786" t="str">
            <v>Ростовская</v>
          </cell>
          <cell r="I786">
            <v>7</v>
          </cell>
        </row>
        <row r="787">
          <cell r="C787" t="str">
            <v>RO1368</v>
          </cell>
          <cell r="D787" t="str">
            <v>13:собст. железобетонный столб с заглубленным фундаментом</v>
          </cell>
          <cell r="E787" t="str">
            <v>Ростовская Область, Морозовский Район, Морозовск Город, Пионерская Улица, дом 79</v>
          </cell>
          <cell r="F787">
            <v>3.12</v>
          </cell>
          <cell r="G787" t="str">
            <v>Осн.</v>
          </cell>
          <cell r="H787" t="str">
            <v>Волгодонская</v>
          </cell>
          <cell r="I787">
            <v>106</v>
          </cell>
        </row>
        <row r="788">
          <cell r="C788" t="str">
            <v>RO1369</v>
          </cell>
          <cell r="D788" t="str">
            <v>13:собст. железобетонный столб с заглубленным фундаментом</v>
          </cell>
          <cell r="E788" t="str">
            <v>Ростовская Область, Тарасовский Район, Тарасовский Поселок, Донская Улица</v>
          </cell>
          <cell r="F788">
            <v>2.16</v>
          </cell>
          <cell r="G788" t="str">
            <v>Осн.</v>
          </cell>
          <cell r="H788" t="str">
            <v>Каменская</v>
          </cell>
          <cell r="I788">
            <v>58</v>
          </cell>
        </row>
        <row r="789">
          <cell r="C789" t="str">
            <v>RO1373</v>
          </cell>
          <cell r="D789" t="str">
            <v>13:собст. железобетонный столб с заглубленным фундаментом</v>
          </cell>
          <cell r="E789" t="str">
            <v>Ростовская Область, Семикаракорский Район, Чебачий Хутор, Горького Улица\д.59-а</v>
          </cell>
          <cell r="F789">
            <v>3.56</v>
          </cell>
          <cell r="G789" t="str">
            <v>Осн.</v>
          </cell>
          <cell r="H789" t="str">
            <v>Волгодонская</v>
          </cell>
          <cell r="I789">
            <v>128</v>
          </cell>
        </row>
        <row r="790">
          <cell r="C790" t="str">
            <v>RO1386</v>
          </cell>
          <cell r="D790" t="str">
            <v>13:собст. железобетонный столб с заглубленным фундаментом</v>
          </cell>
          <cell r="E790" t="str">
            <v>Ростовская Область, Семикаракорский Район, Титов Хутор, Вишневый Переулок\2Б</v>
          </cell>
          <cell r="F790">
            <v>2.36</v>
          </cell>
          <cell r="G790" t="str">
            <v>Осн.</v>
          </cell>
          <cell r="H790" t="str">
            <v>Волгодонская</v>
          </cell>
          <cell r="I790">
            <v>68</v>
          </cell>
        </row>
        <row r="791">
          <cell r="C791" t="str">
            <v>RO1389</v>
          </cell>
          <cell r="D791" t="str">
            <v>13:собст. железобетонный столб с заглубленным фундаментом</v>
          </cell>
          <cell r="E791" t="str">
            <v>Ростовская Область, Каменск-Шахтинский Город, Сапрыгина Улица, дом 13\б, в 60 м. на запад от строения</v>
          </cell>
          <cell r="F791">
            <v>1.1200000000000001</v>
          </cell>
          <cell r="G791" t="str">
            <v>Осн.</v>
          </cell>
          <cell r="H791" t="str">
            <v>Каменская</v>
          </cell>
          <cell r="I791">
            <v>6</v>
          </cell>
        </row>
        <row r="792">
          <cell r="C792" t="str">
            <v>RO1396</v>
          </cell>
          <cell r="D792" t="str">
            <v>13:собст. железобетонный столб с заглубленным фундаментом</v>
          </cell>
          <cell r="E792" t="str">
            <v>Ростовская Область, Азовский Район, Койсуг Поселок, Малый Переулок\3</v>
          </cell>
          <cell r="F792">
            <v>1.4</v>
          </cell>
          <cell r="G792" t="str">
            <v>Осн.</v>
          </cell>
          <cell r="H792" t="str">
            <v>Ростовская</v>
          </cell>
          <cell r="I792">
            <v>20</v>
          </cell>
        </row>
        <row r="793">
          <cell r="C793" t="str">
            <v>RO1440</v>
          </cell>
          <cell r="D793" t="str">
            <v>32:трубостойки/АМС на: трубе, элеваторе, водонап.башне</v>
          </cell>
          <cell r="E793" t="str">
            <v>Ростовская Область, Аксайский Район, Аксай Город, Вартанова Улица, дом 15\а</v>
          </cell>
          <cell r="F793">
            <v>1.28</v>
          </cell>
          <cell r="G793" t="str">
            <v>Осн.</v>
          </cell>
          <cell r="H793" t="str">
            <v>Ростовская</v>
          </cell>
          <cell r="I793">
            <v>14</v>
          </cell>
        </row>
        <row r="794">
          <cell r="C794" t="str">
            <v>RO1443</v>
          </cell>
          <cell r="D794" t="str">
            <v>33:трубостойки, АМС инфраструктурного оператора</v>
          </cell>
          <cell r="E794" t="str">
            <v>Ростовская Область, Ростов-на-Дону Город\пер. Нахичеванский, 40/229</v>
          </cell>
          <cell r="F794">
            <v>1.08</v>
          </cell>
          <cell r="G794" t="str">
            <v>Осн.</v>
          </cell>
          <cell r="H794" t="str">
            <v>Ростовская</v>
          </cell>
          <cell r="I794">
            <v>4</v>
          </cell>
        </row>
        <row r="795">
          <cell r="C795" t="str">
            <v>RO1476</v>
          </cell>
          <cell r="D795" t="str">
            <v>21:собст. АМС до 10 м на крыше</v>
          </cell>
          <cell r="E795" t="str">
            <v>Ростовская Область, Ростов-на-Дону Город, Зорге Улица, дом 60/2</v>
          </cell>
          <cell r="F795">
            <v>1.1599999999999999</v>
          </cell>
          <cell r="G795" t="str">
            <v>Осн.</v>
          </cell>
          <cell r="H795" t="str">
            <v>Ростовская</v>
          </cell>
          <cell r="I795">
            <v>8</v>
          </cell>
        </row>
        <row r="796">
          <cell r="C796" t="str">
            <v>RO1503</v>
          </cell>
          <cell r="D796" t="str">
            <v>32:трубостойки/АМС на: трубе, элеваторе, водонап.башне</v>
          </cell>
          <cell r="E796" t="str">
            <v>Ростовская Область, Новочеркасск Город, Шоссе Нового гаража Улица\дом 20</v>
          </cell>
          <cell r="F796">
            <v>1.94</v>
          </cell>
          <cell r="G796" t="str">
            <v>Осн.</v>
          </cell>
          <cell r="H796" t="str">
            <v>Ростовская</v>
          </cell>
          <cell r="I796">
            <v>47</v>
          </cell>
        </row>
        <row r="797">
          <cell r="C797" t="str">
            <v>RO1505</v>
          </cell>
          <cell r="D797" t="str">
            <v>31:трубостойки на чужой АМС на земле/крыше</v>
          </cell>
          <cell r="E797" t="str">
            <v>Ростовская Область, Новочеркасск Город, Ленгника Улица\дом 44, литер А</v>
          </cell>
          <cell r="F797">
            <v>1.78</v>
          </cell>
          <cell r="G797" t="str">
            <v>Осн.</v>
          </cell>
          <cell r="H797" t="str">
            <v>Ростовская</v>
          </cell>
          <cell r="I797">
            <v>39</v>
          </cell>
        </row>
        <row r="798">
          <cell r="C798" t="str">
            <v>RO1508</v>
          </cell>
          <cell r="D798" t="str">
            <v>13:собст. железобетонный столб с заглубленным фундаментом</v>
          </cell>
          <cell r="E798" t="str">
            <v>Ростовская Область, Новочеркасск Город, Трамвайная Улица, дом 61\литер А</v>
          </cell>
          <cell r="F798">
            <v>1.86</v>
          </cell>
          <cell r="G798" t="str">
            <v>Осн.</v>
          </cell>
          <cell r="H798" t="str">
            <v>Ростовская</v>
          </cell>
          <cell r="I798">
            <v>43</v>
          </cell>
        </row>
        <row r="799">
          <cell r="C799" t="str">
            <v>RO1510</v>
          </cell>
          <cell r="D799" t="str">
            <v>13:собст. железобетонный столб с заглубленным фундаментом</v>
          </cell>
          <cell r="E799" t="str">
            <v>Ростовская Область, Новочеркасск Город, Грушевская Улица, дом 25</v>
          </cell>
          <cell r="F799">
            <v>1.9</v>
          </cell>
          <cell r="G799" t="str">
            <v>Осн.</v>
          </cell>
          <cell r="H799" t="str">
            <v>Ростовская</v>
          </cell>
          <cell r="I799">
            <v>45</v>
          </cell>
        </row>
        <row r="800">
          <cell r="C800" t="str">
            <v>RO1514</v>
          </cell>
          <cell r="D800" t="str">
            <v>21:собст. АМС до 10 м на крыше</v>
          </cell>
          <cell r="E800" t="str">
            <v>Ростовская Область, Новочеркасск Город, Александровская Улица\дом 109</v>
          </cell>
          <cell r="F800">
            <v>1.82</v>
          </cell>
          <cell r="G800" t="str">
            <v>Осн.</v>
          </cell>
          <cell r="H800" t="str">
            <v>Ростовская</v>
          </cell>
          <cell r="I800">
            <v>41</v>
          </cell>
        </row>
        <row r="801">
          <cell r="C801" t="str">
            <v>RO1515</v>
          </cell>
          <cell r="D801" t="str">
            <v>31:трубостойки на чужой АМС на земле/крыше</v>
          </cell>
          <cell r="E801" t="str">
            <v>Ростовская Область, Новочеркасск Город, Новая Улица\дом 31</v>
          </cell>
          <cell r="F801">
            <v>1.76</v>
          </cell>
          <cell r="G801" t="str">
            <v>Осн.</v>
          </cell>
          <cell r="H801" t="str">
            <v>Ростовская</v>
          </cell>
          <cell r="I801">
            <v>38</v>
          </cell>
        </row>
        <row r="802">
          <cell r="C802" t="str">
            <v>RO1516</v>
          </cell>
          <cell r="D802" t="str">
            <v>32:трубостойки/АМС на: трубе, элеваторе, водонап.башне</v>
          </cell>
          <cell r="E802" t="str">
            <v>Ростовская Область, Новочеркасск Город, Московская Улица\дом 24, литер Б</v>
          </cell>
          <cell r="F802">
            <v>1.78</v>
          </cell>
          <cell r="G802" t="str">
            <v>Осн.</v>
          </cell>
          <cell r="H802" t="str">
            <v>Ростовская</v>
          </cell>
          <cell r="I802">
            <v>39</v>
          </cell>
        </row>
        <row r="803">
          <cell r="C803" t="str">
            <v>RO1538</v>
          </cell>
          <cell r="D803" t="str">
            <v>31:трубостойки на чужой АМС на земле/крыше</v>
          </cell>
          <cell r="E803" t="str">
            <v>Ростовская Область, Боковский Район, Каргинская Станица, Совхозная Улица\15 м севернее от строения под №7</v>
          </cell>
          <cell r="F803">
            <v>4.8600000000000003</v>
          </cell>
          <cell r="G803" t="str">
            <v>Осн.</v>
          </cell>
          <cell r="H803" t="str">
            <v>Каменская</v>
          </cell>
          <cell r="I803">
            <v>193</v>
          </cell>
        </row>
        <row r="804">
          <cell r="C804" t="str">
            <v>RO1599</v>
          </cell>
          <cell r="D804" t="str">
            <v>31:трубостойки на чужой АМС на земле/крыше</v>
          </cell>
          <cell r="E804" t="str">
            <v>Ростовская Область, Шахты Город, Ильюшина Улица\дом 9</v>
          </cell>
          <cell r="F804">
            <v>2.66</v>
          </cell>
          <cell r="G804" t="str">
            <v>Осн.</v>
          </cell>
          <cell r="H804" t="str">
            <v>Ростовская</v>
          </cell>
          <cell r="I804">
            <v>83</v>
          </cell>
        </row>
        <row r="805">
          <cell r="C805" t="str">
            <v>RO1609</v>
          </cell>
          <cell r="D805" t="str">
            <v>13:собст. железобетонный столб с заглубленным фундаментом</v>
          </cell>
          <cell r="E805" t="str">
            <v>Ростовская Область, Гуково Город, Советская Улица, дом 62</v>
          </cell>
          <cell r="F805">
            <v>2</v>
          </cell>
          <cell r="G805" t="str">
            <v>Осн.</v>
          </cell>
          <cell r="H805" t="str">
            <v>Каменская</v>
          </cell>
          <cell r="I805">
            <v>50</v>
          </cell>
        </row>
        <row r="806">
          <cell r="C806" t="str">
            <v>RO1618</v>
          </cell>
          <cell r="D806" t="str">
            <v>13:собст. железобетонный столб с заглубленным фундаментом</v>
          </cell>
          <cell r="E806" t="str">
            <v>Ростовская Область, Цимлянский Район, Лозной Хутор, Советская Улица\д.14-б</v>
          </cell>
          <cell r="F806">
            <v>1.6</v>
          </cell>
          <cell r="G806" t="str">
            <v>Осн.</v>
          </cell>
          <cell r="H806" t="str">
            <v>Волгодонская</v>
          </cell>
          <cell r="I806">
            <v>30</v>
          </cell>
        </row>
        <row r="807">
          <cell r="C807" t="str">
            <v>RO1621</v>
          </cell>
          <cell r="D807" t="str">
            <v>13:собст. железобетонный столб с заглубленным фундаментом</v>
          </cell>
          <cell r="E807" t="str">
            <v>Ростовская Область, Шахты Город, Искра Улица, дом 57\57-г</v>
          </cell>
          <cell r="F807">
            <v>2.72</v>
          </cell>
          <cell r="G807" t="str">
            <v>Осн.</v>
          </cell>
          <cell r="H807" t="str">
            <v>Ростовская</v>
          </cell>
          <cell r="I807">
            <v>86</v>
          </cell>
        </row>
        <row r="808">
          <cell r="C808" t="str">
            <v>RO1622</v>
          </cell>
          <cell r="D808" t="str">
            <v>33:трубостойки, АМС инфраструктурного оператора</v>
          </cell>
          <cell r="E808" t="str">
            <v>Ростовская Область, Батайск Город, Б.Хмельницкого Улица, дом 34</v>
          </cell>
          <cell r="F808">
            <v>1.32</v>
          </cell>
          <cell r="G808" t="str">
            <v>Осн.</v>
          </cell>
          <cell r="H808" t="str">
            <v>Ростовская</v>
          </cell>
          <cell r="I808">
            <v>16</v>
          </cell>
        </row>
        <row r="809">
          <cell r="C809" t="str">
            <v>RO1625</v>
          </cell>
          <cell r="D809" t="str">
            <v>13:собст. железобетонный столб с заглубленным фундаментом</v>
          </cell>
          <cell r="E809" t="str">
            <v>Ростовская Область, Каменск-Шахтинский Город, Заводской Микрорайон, Парковая Улица\22а</v>
          </cell>
          <cell r="F809">
            <v>1.32</v>
          </cell>
          <cell r="G809" t="str">
            <v>Осн.</v>
          </cell>
          <cell r="H809" t="str">
            <v>Каменская</v>
          </cell>
          <cell r="I809">
            <v>16</v>
          </cell>
        </row>
        <row r="810">
          <cell r="C810" t="str">
            <v>RO1626</v>
          </cell>
          <cell r="D810" t="str">
            <v>31:трубостойки на чужой АМС на земле/крыше</v>
          </cell>
          <cell r="E810" t="str">
            <v>Ростовская Область, Миллеровский Район, Миллерово Город, Седова Улица, дом 22</v>
          </cell>
          <cell r="F810">
            <v>2.64</v>
          </cell>
          <cell r="G810" t="str">
            <v>Осн.</v>
          </cell>
          <cell r="H810" t="str">
            <v>Каменская</v>
          </cell>
          <cell r="I810">
            <v>82</v>
          </cell>
        </row>
        <row r="811">
          <cell r="C811" t="str">
            <v>RO1627</v>
          </cell>
          <cell r="D811" t="str">
            <v>31:трубостойки на чужой АМС на земле/крыше</v>
          </cell>
          <cell r="E811" t="str">
            <v>Ростовская Область, Миллеровский Район, Миллерово Город, Сурикова Улица, дом 30</v>
          </cell>
          <cell r="F811">
            <v>2.68</v>
          </cell>
          <cell r="G811" t="str">
            <v>Осн.</v>
          </cell>
          <cell r="H811" t="str">
            <v>Каменская</v>
          </cell>
          <cell r="I811">
            <v>84</v>
          </cell>
        </row>
        <row r="812">
          <cell r="C812" t="str">
            <v>RO1628</v>
          </cell>
          <cell r="D812" t="str">
            <v>31:трубостойки на чужой АМС на земле/крыше</v>
          </cell>
          <cell r="E812" t="str">
            <v>Ростовская Область, Шахты Город, Тамбовский Переулок, дом 26А</v>
          </cell>
          <cell r="F812">
            <v>2.72</v>
          </cell>
          <cell r="G812" t="str">
            <v>Осн.</v>
          </cell>
          <cell r="H812" t="str">
            <v>Ростовская</v>
          </cell>
          <cell r="I812">
            <v>86</v>
          </cell>
        </row>
        <row r="813">
          <cell r="C813" t="str">
            <v>RO1630</v>
          </cell>
          <cell r="D813" t="str">
            <v>33:трубостойки, АМС инфраструктурного оператора</v>
          </cell>
          <cell r="E813" t="str">
            <v>Ростовская Область, Семикаракорский Район, Семикаракорск Город, Чехова Улица\50/ пер. Мелиаративный</v>
          </cell>
          <cell r="F813">
            <v>3.34</v>
          </cell>
          <cell r="G813" t="str">
            <v>Осн.</v>
          </cell>
          <cell r="H813" t="str">
            <v>Волгодонская</v>
          </cell>
          <cell r="I813">
            <v>117</v>
          </cell>
        </row>
        <row r="814">
          <cell r="C814" t="str">
            <v>RO1633</v>
          </cell>
          <cell r="D814" t="str">
            <v>43:железобетонный столб - проект УЦН</v>
          </cell>
          <cell r="E814" t="str">
            <v>Ростовская Область, Азовский Район, Харьковский Хутор, Центральная Улица\20 (АТС)</v>
          </cell>
          <cell r="F814">
            <v>2.58</v>
          </cell>
          <cell r="G814" t="str">
            <v>Осн.</v>
          </cell>
          <cell r="H814" t="str">
            <v>Ростовская</v>
          </cell>
          <cell r="I814">
            <v>79</v>
          </cell>
        </row>
        <row r="815">
          <cell r="C815" t="str">
            <v>RO1637</v>
          </cell>
          <cell r="D815" t="str">
            <v>69:тип 69 RANsharing</v>
          </cell>
          <cell r="E815" t="str">
            <v>Ростовская Область, Белокалитвинский Район, Марьевка Хутор, Ленина Переулок, дом 4\34 метрf на северо-восток от ДК (клуб)</v>
          </cell>
          <cell r="F815">
            <v>3.56</v>
          </cell>
          <cell r="G815" t="str">
            <v>Осн.</v>
          </cell>
          <cell r="H815" t="str">
            <v>Каменская</v>
          </cell>
          <cell r="I815">
            <v>128</v>
          </cell>
        </row>
        <row r="816">
          <cell r="C816" t="str">
            <v>RO1638</v>
          </cell>
          <cell r="D816" t="str">
            <v>69:тип 69 RANsharing</v>
          </cell>
          <cell r="E816" t="str">
            <v>Ростовская Область, Белокалитвинский Район, Семимаячный Хутор, Хрящевка Улица</v>
          </cell>
          <cell r="F816">
            <v>3.1</v>
          </cell>
          <cell r="G816" t="str">
            <v>Осн.</v>
          </cell>
          <cell r="H816" t="str">
            <v>Каменская</v>
          </cell>
          <cell r="I816">
            <v>105</v>
          </cell>
        </row>
        <row r="817">
          <cell r="C817" t="str">
            <v>RO1639</v>
          </cell>
          <cell r="D817" t="str">
            <v>69:тип 69 RANsharing</v>
          </cell>
          <cell r="E817" t="str">
            <v>Ростовская Область, Белокалитвинский Район, Чернышев Хутор, Центральная Улица, дом 41\83 метра на восток от ДК(клуб)</v>
          </cell>
          <cell r="F817">
            <v>3.2</v>
          </cell>
          <cell r="G817" t="str">
            <v>Осн.</v>
          </cell>
          <cell r="H817" t="str">
            <v>Каменская</v>
          </cell>
          <cell r="I817">
            <v>110</v>
          </cell>
        </row>
        <row r="818">
          <cell r="C818" t="str">
            <v>RO1640</v>
          </cell>
          <cell r="D818" t="str">
            <v>69:тип 69 RANsharing</v>
          </cell>
          <cell r="E818" t="str">
            <v>Ростовская Область, Белокалитвинский Район, Головка Хутор, Центральная Улица, дом 25\182 метров на северо-запад от магазина</v>
          </cell>
          <cell r="F818">
            <v>3.16</v>
          </cell>
          <cell r="G818" t="str">
            <v>Осн.</v>
          </cell>
          <cell r="H818" t="str">
            <v>Каменская</v>
          </cell>
          <cell r="I818">
            <v>108</v>
          </cell>
        </row>
        <row r="819">
          <cell r="C819" t="str">
            <v>RO1641</v>
          </cell>
          <cell r="D819" t="str">
            <v>69:тип 69 RANsharing</v>
          </cell>
          <cell r="E819" t="str">
            <v>Ростовская Область, Боковский Район, Верхнечирский Хутор\90 м севернее от Мемориала ВОВ</v>
          </cell>
          <cell r="F819">
            <v>5.24</v>
          </cell>
          <cell r="G819" t="str">
            <v>Осн.</v>
          </cell>
          <cell r="H819" t="str">
            <v>Каменская</v>
          </cell>
          <cell r="I819">
            <v>212</v>
          </cell>
        </row>
        <row r="820">
          <cell r="C820" t="str">
            <v>RO1642</v>
          </cell>
          <cell r="D820" t="str">
            <v>31:трубостойки на чужой АМС на земле/крыше</v>
          </cell>
          <cell r="E820" t="str">
            <v>Ростовская Область, Шахты Город, Шишкина Переулок, дом 184</v>
          </cell>
          <cell r="F820">
            <v>2.6</v>
          </cell>
          <cell r="G820" t="str">
            <v>Осн.</v>
          </cell>
          <cell r="H820" t="str">
            <v>Ростовская</v>
          </cell>
          <cell r="I820">
            <v>80</v>
          </cell>
        </row>
        <row r="821">
          <cell r="C821" t="str">
            <v>RO1643</v>
          </cell>
          <cell r="D821" t="str">
            <v>69:тип 69 RANsharing</v>
          </cell>
          <cell r="E821" t="str">
            <v>Ростовская Область, Боковский Район, Пономаревка Село\ул. Школьная 34, 35 метров по направлению на север</v>
          </cell>
          <cell r="F821">
            <v>5.44</v>
          </cell>
          <cell r="G821" t="str">
            <v>Осн.</v>
          </cell>
          <cell r="H821" t="str">
            <v>Каменская</v>
          </cell>
          <cell r="I821">
            <v>222</v>
          </cell>
        </row>
        <row r="822">
          <cell r="C822" t="str">
            <v>RO1644</v>
          </cell>
          <cell r="D822" t="str">
            <v>69:тип 69 RANsharing</v>
          </cell>
          <cell r="E822" t="str">
            <v>Ростовская Область, Боковский Район, Попов Хутор, Заречная Улица, дом 5\180 метров по направлению на восток</v>
          </cell>
          <cell r="F822">
            <v>5.14</v>
          </cell>
          <cell r="G822" t="str">
            <v>Осн.</v>
          </cell>
          <cell r="H822" t="str">
            <v>Каменская</v>
          </cell>
          <cell r="I822">
            <v>207</v>
          </cell>
        </row>
        <row r="823">
          <cell r="C823" t="str">
            <v>RO1645</v>
          </cell>
          <cell r="D823" t="str">
            <v>69:тип 69 RANsharing</v>
          </cell>
          <cell r="E823" t="str">
            <v>Ростовская Область, Верхнедонской Район, Алексеевский Хутор, Центральная Улица, дом 11\110 м юго западнее от Дома Культуры</v>
          </cell>
          <cell r="F823">
            <v>5.4</v>
          </cell>
          <cell r="G823" t="str">
            <v>Осн.</v>
          </cell>
          <cell r="H823" t="str">
            <v>Каменская</v>
          </cell>
          <cell r="I823">
            <v>220</v>
          </cell>
        </row>
        <row r="824">
          <cell r="C824" t="str">
            <v>RO1646</v>
          </cell>
          <cell r="D824" t="str">
            <v>69:тип 69 RANsharing</v>
          </cell>
          <cell r="E824" t="str">
            <v>Ростовская Область, Верхнедонской Район, Быковский Хутор, Быковская Улица\45 м южнее Мемориала Воинам, павшим в годы Великой Отечественной войны</v>
          </cell>
          <cell r="F824">
            <v>6.28</v>
          </cell>
          <cell r="G824" t="str">
            <v>Осн.</v>
          </cell>
          <cell r="H824" t="str">
            <v>Каменская</v>
          </cell>
          <cell r="I824">
            <v>264</v>
          </cell>
        </row>
        <row r="825">
          <cell r="C825" t="str">
            <v>RO1647</v>
          </cell>
          <cell r="D825" t="str">
            <v>69:тип 69 RANsharing</v>
          </cell>
          <cell r="E825" t="str">
            <v>Ростовская Область, Верхнедонской Район, Казанская Лопатина Хутор, Лопатинская Улица, дом 66</v>
          </cell>
          <cell r="F825">
            <v>7</v>
          </cell>
          <cell r="G825" t="str">
            <v>Осн.</v>
          </cell>
          <cell r="H825" t="str">
            <v>Каменская</v>
          </cell>
          <cell r="I825">
            <v>300</v>
          </cell>
        </row>
        <row r="826">
          <cell r="C826" t="str">
            <v>RO1649</v>
          </cell>
          <cell r="D826" t="str">
            <v>31:трубостойки на чужой АМС на земле/крыше</v>
          </cell>
          <cell r="E826" t="str">
            <v>Ростовская Область, Каменский Район, Лесной Хутор, Янтарная Улица\дом 3</v>
          </cell>
          <cell r="F826">
            <v>1.18</v>
          </cell>
          <cell r="G826" t="str">
            <v>Осн.</v>
          </cell>
          <cell r="H826" t="str">
            <v>Каменская</v>
          </cell>
          <cell r="I826">
            <v>9</v>
          </cell>
        </row>
        <row r="827">
          <cell r="C827" t="str">
            <v>RO1650</v>
          </cell>
          <cell r="D827" t="str">
            <v>69:тип 69 RANsharing</v>
          </cell>
          <cell r="E827" t="str">
            <v>Ростовская Область, Верхнедонской Район, Солонцовский Хутор\100 м восточнее от Мемориала павшим воинам</v>
          </cell>
          <cell r="F827">
            <v>6.16</v>
          </cell>
          <cell r="G827" t="str">
            <v>Осн.</v>
          </cell>
          <cell r="H827" t="str">
            <v>Каменская</v>
          </cell>
          <cell r="I827">
            <v>258</v>
          </cell>
        </row>
        <row r="828">
          <cell r="C828" t="str">
            <v>RO1651</v>
          </cell>
          <cell r="D828" t="str">
            <v>69:тип 69 RANsharing</v>
          </cell>
          <cell r="E828" t="str">
            <v>Ростовская Область, Кагальницкий Район, Родники Хутор\100 м от ДК (ул.Школьная 27) на Северо-Восток</v>
          </cell>
          <cell r="F828">
            <v>2.38</v>
          </cell>
          <cell r="G828" t="str">
            <v>Осн.</v>
          </cell>
          <cell r="H828" t="str">
            <v>Ростовская</v>
          </cell>
          <cell r="I828">
            <v>69</v>
          </cell>
        </row>
        <row r="829">
          <cell r="C829" t="str">
            <v>RO1652</v>
          </cell>
          <cell r="D829" t="str">
            <v>69:тип 69 RANsharing</v>
          </cell>
          <cell r="E829" t="str">
            <v>Ростовская Область, Веселовский Район, Каракашев Хутор, Новая Улица, дом 48\200м на север от частного дома вдоль проселочной дороги</v>
          </cell>
          <cell r="F829">
            <v>3.24</v>
          </cell>
          <cell r="G829" t="str">
            <v>Осн.</v>
          </cell>
          <cell r="H829" t="str">
            <v>Ростовская</v>
          </cell>
          <cell r="I829">
            <v>112</v>
          </cell>
        </row>
        <row r="830">
          <cell r="C830" t="str">
            <v>RO1654</v>
          </cell>
          <cell r="D830" t="str">
            <v>69:тип 69 RANsharing</v>
          </cell>
          <cell r="E830" t="str">
            <v>Ростовская Область, Каменский Район, Груцинов Хутор, Школьная Улица, дом 22\80 м на север</v>
          </cell>
          <cell r="F830">
            <v>2</v>
          </cell>
          <cell r="G830" t="str">
            <v>Осн.</v>
          </cell>
          <cell r="H830" t="str">
            <v>Каменская</v>
          </cell>
          <cell r="I830">
            <v>50</v>
          </cell>
        </row>
        <row r="831">
          <cell r="C831" t="str">
            <v>RO1656</v>
          </cell>
          <cell r="D831" t="str">
            <v>69:тип 69 RANsharing</v>
          </cell>
          <cell r="E831" t="str">
            <v>Ростовская Область, Зерноградский Район, Голубовка Хутор, Центральная Улица</v>
          </cell>
          <cell r="F831">
            <v>3.56</v>
          </cell>
          <cell r="G831" t="str">
            <v>Осн.</v>
          </cell>
          <cell r="H831" t="str">
            <v>Ростовская</v>
          </cell>
          <cell r="I831">
            <v>128</v>
          </cell>
        </row>
        <row r="832">
          <cell r="C832" t="str">
            <v>RO1657</v>
          </cell>
          <cell r="D832" t="str">
            <v>69:тип 69 RANsharing</v>
          </cell>
          <cell r="E832" t="str">
            <v>Ростовская Область, Зерноградский Район, Краснюков Хутор, Молодежная Улица</v>
          </cell>
          <cell r="F832">
            <v>3.74</v>
          </cell>
          <cell r="G832" t="str">
            <v>Осн.</v>
          </cell>
          <cell r="H832" t="str">
            <v>Ростовская</v>
          </cell>
          <cell r="I832">
            <v>137</v>
          </cell>
        </row>
        <row r="833">
          <cell r="C833" t="str">
            <v>RO1658</v>
          </cell>
          <cell r="D833" t="str">
            <v>69:тип 69 RANsharing</v>
          </cell>
          <cell r="E833" t="str">
            <v>Ростовская Область, Зерноградский Район, Пишванов Хутор, Молодежная Улица</v>
          </cell>
          <cell r="F833">
            <v>3.08</v>
          </cell>
          <cell r="G833" t="str">
            <v>Осн.</v>
          </cell>
          <cell r="H833" t="str">
            <v>Ростовская</v>
          </cell>
          <cell r="I833">
            <v>104</v>
          </cell>
        </row>
        <row r="834">
          <cell r="C834" t="str">
            <v>RO1659</v>
          </cell>
          <cell r="D834" t="str">
            <v>69:тип 69 RANsharing</v>
          </cell>
          <cell r="E834" t="str">
            <v>Ростовская Область, Зерноградский Район, Попов Хутор\пересечение ул. Тимошенко и ул. 40 лет Победы</v>
          </cell>
          <cell r="F834">
            <v>3.36</v>
          </cell>
          <cell r="G834" t="str">
            <v>Осн.</v>
          </cell>
          <cell r="H834" t="str">
            <v>Ростовская</v>
          </cell>
          <cell r="I834">
            <v>118</v>
          </cell>
        </row>
        <row r="835">
          <cell r="C835" t="str">
            <v>RO1660</v>
          </cell>
          <cell r="D835" t="str">
            <v>69:тип 69 RANsharing</v>
          </cell>
          <cell r="E835" t="str">
            <v>Ростовская Область, Боковский Район, Белавин Хутор\ул. Степная 33,  130 метров по направлению на северо-восток</v>
          </cell>
          <cell r="F835">
            <v>5.58</v>
          </cell>
          <cell r="G835" t="str">
            <v>Осн.</v>
          </cell>
          <cell r="H835" t="str">
            <v>Каменская</v>
          </cell>
          <cell r="I835">
            <v>229</v>
          </cell>
        </row>
        <row r="836">
          <cell r="C836" t="str">
            <v>RO1661</v>
          </cell>
          <cell r="D836" t="str">
            <v>13:собст. железобетонный столб с заглубленным фундаментом</v>
          </cell>
          <cell r="E836" t="str">
            <v>Ростовская Область, Каменский Район, Васильевский Поселок, Майская Улица, дом 12</v>
          </cell>
          <cell r="F836">
            <v>1.9</v>
          </cell>
          <cell r="G836" t="str">
            <v>Осн.</v>
          </cell>
          <cell r="H836" t="str">
            <v>Каменская</v>
          </cell>
          <cell r="I836">
            <v>45</v>
          </cell>
        </row>
        <row r="837">
          <cell r="C837" t="str">
            <v>RO1662</v>
          </cell>
          <cell r="D837" t="str">
            <v>69:тип 69 RANsharing</v>
          </cell>
          <cell r="E837" t="str">
            <v>Ростовская Область, Зерноградский Район, Средние Хороли Хутор, Лесная Улица</v>
          </cell>
          <cell r="F837">
            <v>2.96</v>
          </cell>
          <cell r="G837" t="str">
            <v>Осн.</v>
          </cell>
          <cell r="H837" t="str">
            <v>Ростовская</v>
          </cell>
          <cell r="I837">
            <v>98</v>
          </cell>
        </row>
        <row r="838">
          <cell r="C838" t="str">
            <v>RO1666</v>
          </cell>
          <cell r="D838" t="str">
            <v>69:тип 69 RANsharing</v>
          </cell>
          <cell r="E838" t="str">
            <v>Ростовская Область, Зерноградский Район, Прудовой Поселок</v>
          </cell>
          <cell r="F838">
            <v>2.58</v>
          </cell>
          <cell r="G838" t="str">
            <v>Осн.</v>
          </cell>
          <cell r="H838" t="str">
            <v>Ростовская</v>
          </cell>
          <cell r="I838">
            <v>79</v>
          </cell>
        </row>
        <row r="839">
          <cell r="C839" t="str">
            <v>RO1667</v>
          </cell>
          <cell r="D839" t="str">
            <v>69:тип 69 RANsharing</v>
          </cell>
          <cell r="E839" t="str">
            <v>Ростовская Область, Каменский Район, Данилов Хутор, Театральная Улица</v>
          </cell>
          <cell r="F839">
            <v>2.16</v>
          </cell>
          <cell r="G839" t="str">
            <v>Осн.</v>
          </cell>
          <cell r="H839" t="str">
            <v>Каменская</v>
          </cell>
          <cell r="I839">
            <v>58</v>
          </cell>
        </row>
        <row r="840">
          <cell r="C840" t="str">
            <v>RO1668</v>
          </cell>
          <cell r="D840" t="str">
            <v>69:тип 69 RANsharing</v>
          </cell>
          <cell r="E840" t="str">
            <v>Ростовская Область, Красносулинский Район, Васецкий Хутор</v>
          </cell>
          <cell r="F840">
            <v>2.2599999999999998</v>
          </cell>
          <cell r="G840" t="str">
            <v>Осн.</v>
          </cell>
          <cell r="H840" t="str">
            <v>Каменская</v>
          </cell>
          <cell r="I840">
            <v>63</v>
          </cell>
        </row>
        <row r="841">
          <cell r="C841" t="str">
            <v>RO1669</v>
          </cell>
          <cell r="D841" t="str">
            <v>31:трубостойки на чужой АМС на земле/крыше</v>
          </cell>
          <cell r="E841" t="str">
            <v>Ростовская Область, Донецк Город, 16-й Квартал\участок №31а, строение 1</v>
          </cell>
          <cell r="F841">
            <v>1.72</v>
          </cell>
          <cell r="G841" t="str">
            <v>Осн.</v>
          </cell>
          <cell r="H841" t="str">
            <v>Каменская</v>
          </cell>
          <cell r="I841">
            <v>36</v>
          </cell>
        </row>
        <row r="842">
          <cell r="C842" t="str">
            <v>RO1679</v>
          </cell>
          <cell r="D842" t="str">
            <v>31:трубостойки на чужой АМС на земле/крыше</v>
          </cell>
          <cell r="E842" t="str">
            <v>Ростовская Область, Мартыновский Район, Большая Мартыновка Слобода, Кабардино-Балкарская Улица, дом 96\АМС ФГУП "РТРС"</v>
          </cell>
          <cell r="F842">
            <v>2.2999999999999998</v>
          </cell>
          <cell r="G842" t="str">
            <v>Осн.</v>
          </cell>
          <cell r="H842" t="str">
            <v>Волгодонская</v>
          </cell>
          <cell r="I842">
            <v>65</v>
          </cell>
        </row>
        <row r="843">
          <cell r="C843" t="str">
            <v>RO1685</v>
          </cell>
          <cell r="D843" t="str">
            <v>31:трубостойки на чужой АМС на земле/крыше</v>
          </cell>
          <cell r="E843" t="str">
            <v>Ростовская Область, Каменский Район, Богданов Хутор\в 30 м по направлению на юг от ориентира ГРП по ул. Молодежная</v>
          </cell>
          <cell r="F843">
            <v>1.34</v>
          </cell>
          <cell r="G843" t="str">
            <v>Осн.</v>
          </cell>
          <cell r="H843" t="str">
            <v>Каменская</v>
          </cell>
          <cell r="I843">
            <v>17</v>
          </cell>
        </row>
        <row r="844">
          <cell r="C844" t="str">
            <v>RO1687</v>
          </cell>
          <cell r="D844" t="str">
            <v>31:трубостойки на чужой АМС на земле/крыше</v>
          </cell>
          <cell r="E844" t="str">
            <v>Ростовская Область, Родионово-Несветайский Район, Барило-Крепинская Слобода, Просвещения Улица, дом 15\АМС ФГУП РТРС</v>
          </cell>
          <cell r="F844">
            <v>2.44</v>
          </cell>
          <cell r="G844" t="str">
            <v>Осн.</v>
          </cell>
          <cell r="H844" t="str">
            <v>Ростовская</v>
          </cell>
          <cell r="I844">
            <v>72</v>
          </cell>
        </row>
        <row r="845">
          <cell r="C845" t="str">
            <v>RO1690</v>
          </cell>
          <cell r="D845" t="str">
            <v>33:трубостойки, АМС инфраструктурного оператора</v>
          </cell>
          <cell r="E845" t="str">
            <v>Ростовская Область, Красносулинский Район, Киселево Село</v>
          </cell>
          <cell r="F845">
            <v>2.46</v>
          </cell>
          <cell r="G845" t="str">
            <v>Осн.</v>
          </cell>
          <cell r="H845" t="str">
            <v>Каменская</v>
          </cell>
          <cell r="I845">
            <v>73</v>
          </cell>
        </row>
        <row r="846">
          <cell r="C846" t="str">
            <v>RO1700</v>
          </cell>
          <cell r="D846" t="str">
            <v>55:мобильная БС</v>
          </cell>
          <cell r="E846" t="str">
            <v>Ростовская Область, Ростов-на-Дону Город, Театральный Проспект\60</v>
          </cell>
          <cell r="F846">
            <v>1.1000000000000001</v>
          </cell>
          <cell r="G846" t="str">
            <v>Осн.</v>
          </cell>
          <cell r="H846" t="str">
            <v>Ростовская</v>
          </cell>
          <cell r="I846">
            <v>5</v>
          </cell>
        </row>
        <row r="847">
          <cell r="C847" t="str">
            <v>RO1703</v>
          </cell>
          <cell r="D847" t="str">
            <v>13:собст. железобетонный столб с заглубленным фундаментом</v>
          </cell>
          <cell r="E847" t="str">
            <v>Ростовская Область, Багаевский Район, Багаевская Станица, Мичурина Улица\дом 7</v>
          </cell>
          <cell r="F847">
            <v>2.48</v>
          </cell>
          <cell r="G847" t="str">
            <v>Осн.</v>
          </cell>
          <cell r="H847" t="str">
            <v>Ростовская</v>
          </cell>
          <cell r="I847">
            <v>74</v>
          </cell>
        </row>
        <row r="848">
          <cell r="C848" t="str">
            <v>RO1704</v>
          </cell>
          <cell r="D848" t="str">
            <v>69:тип 69 RANsharing</v>
          </cell>
          <cell r="E848" t="str">
            <v>Ростовская Область, Константиновский Район, Верхнепотапов Хутор\пустырь, 125 м на восток от ул. Степная, д.3</v>
          </cell>
          <cell r="F848">
            <v>3.58</v>
          </cell>
          <cell r="G848" t="str">
            <v>Осн.</v>
          </cell>
          <cell r="H848" t="str">
            <v>Волгодонская</v>
          </cell>
          <cell r="I848">
            <v>129</v>
          </cell>
        </row>
        <row r="849">
          <cell r="C849" t="str">
            <v>RO1707</v>
          </cell>
          <cell r="D849" t="str">
            <v>69:тип 69 RANsharing</v>
          </cell>
          <cell r="E849" t="str">
            <v>Ростовская Область, Каменский Район, Нижнеерохин Хутор\200 метров на северо-запад от УЦН ул. Молодежная</v>
          </cell>
          <cell r="F849">
            <v>1.56</v>
          </cell>
          <cell r="G849" t="str">
            <v>Осн.</v>
          </cell>
          <cell r="H849" t="str">
            <v>Каменская</v>
          </cell>
          <cell r="I849">
            <v>28</v>
          </cell>
        </row>
        <row r="850">
          <cell r="C850" t="str">
            <v>RO1708</v>
          </cell>
          <cell r="D850" t="str">
            <v>31:трубостойки на чужой АМС на земле/крыше</v>
          </cell>
          <cell r="E850" t="str">
            <v>Ростовская Область, Волгодонск Город, Ленина Улица\дом 88</v>
          </cell>
          <cell r="F850">
            <v>1.02</v>
          </cell>
          <cell r="G850" t="str">
            <v>Осн.</v>
          </cell>
          <cell r="H850" t="str">
            <v>Волгодонская</v>
          </cell>
          <cell r="I850">
            <v>1</v>
          </cell>
        </row>
        <row r="851">
          <cell r="C851" t="str">
            <v>RO1710</v>
          </cell>
          <cell r="D851" t="str">
            <v>33:трубостойки, АМС инфраструктурного оператора</v>
          </cell>
          <cell r="E851" t="str">
            <v>Ростовская Область, Шахты Город, Шевченко Улица, дом 124</v>
          </cell>
          <cell r="F851">
            <v>2.58</v>
          </cell>
          <cell r="G851" t="str">
            <v>Осн.</v>
          </cell>
          <cell r="H851" t="str">
            <v>Ростовская</v>
          </cell>
          <cell r="I851">
            <v>79</v>
          </cell>
        </row>
        <row r="852">
          <cell r="C852" t="str">
            <v>RO1723</v>
          </cell>
          <cell r="D852" t="str">
            <v>13:собст. железобетонный столб с заглубленным фундаментом</v>
          </cell>
          <cell r="E852" t="str">
            <v>Ростовская Область, Новочеркасск Город, Высоковольтная Улица, дом 22Б\33</v>
          </cell>
          <cell r="F852">
            <v>2</v>
          </cell>
          <cell r="G852" t="str">
            <v>Осн.</v>
          </cell>
          <cell r="H852" t="str">
            <v>Ростовская</v>
          </cell>
          <cell r="I852">
            <v>50</v>
          </cell>
        </row>
        <row r="853">
          <cell r="C853" t="str">
            <v>RO1732</v>
          </cell>
          <cell r="D853" t="str">
            <v>69:тип 69 RANsharing</v>
          </cell>
          <cell r="E853" t="str">
            <v>Ростовская Область, Обливский Район, Сосновый Поселок\50 м на северо-запад от дома по ул. Дачная, 1</v>
          </cell>
          <cell r="F853">
            <v>5.22</v>
          </cell>
          <cell r="G853" t="str">
            <v>Осн.</v>
          </cell>
          <cell r="H853" t="str">
            <v>Волгодонская</v>
          </cell>
          <cell r="I853">
            <v>211</v>
          </cell>
        </row>
        <row r="854">
          <cell r="C854" t="str">
            <v>RO1738</v>
          </cell>
          <cell r="D854" t="str">
            <v>69:тип 69 RANsharing</v>
          </cell>
          <cell r="E854" t="str">
            <v>Ростовская Область, Красносулинский Район, Малая Гнилуша Хутор, Новая Улица</v>
          </cell>
          <cell r="F854">
            <v>2.52</v>
          </cell>
          <cell r="G854" t="str">
            <v>Осн.</v>
          </cell>
          <cell r="H854" t="str">
            <v>Каменская</v>
          </cell>
          <cell r="I854">
            <v>76</v>
          </cell>
        </row>
        <row r="855">
          <cell r="C855" t="str">
            <v>RO1739</v>
          </cell>
          <cell r="D855" t="str">
            <v>69:тип 69 RANsharing</v>
          </cell>
          <cell r="E855" t="str">
            <v>Ростовская Область, Красносулинский Район, Павловка Село, Саломатина Улица, дом 16\14 метров от угла частного дома</v>
          </cell>
          <cell r="F855">
            <v>2.48</v>
          </cell>
          <cell r="G855" t="str">
            <v>Осн.</v>
          </cell>
          <cell r="H855" t="str">
            <v>Каменская</v>
          </cell>
          <cell r="I855">
            <v>74</v>
          </cell>
        </row>
        <row r="856">
          <cell r="C856" t="str">
            <v>RO1741</v>
          </cell>
          <cell r="D856" t="str">
            <v>69:тип 69 RANsharing</v>
          </cell>
          <cell r="E856" t="str">
            <v>Ростовская Область, Миллеровский Район, Зеленая Роща Хутор\ул. Школьная 25 (50 м на юго запад от ДК)</v>
          </cell>
          <cell r="F856">
            <v>3.16</v>
          </cell>
          <cell r="G856" t="str">
            <v>Осн.</v>
          </cell>
          <cell r="H856" t="str">
            <v>Каменская</v>
          </cell>
          <cell r="I856">
            <v>108</v>
          </cell>
        </row>
        <row r="857">
          <cell r="C857" t="str">
            <v>RO1742</v>
          </cell>
          <cell r="D857" t="str">
            <v>69:тип 69 RANsharing</v>
          </cell>
          <cell r="E857" t="str">
            <v>Ростовская Область, Мартыновский Район, Степной Маяк Поселок, Сельская Улица</v>
          </cell>
          <cell r="F857">
            <v>2.62</v>
          </cell>
          <cell r="G857" t="str">
            <v>Осн.</v>
          </cell>
          <cell r="H857" t="str">
            <v>Волгодонская</v>
          </cell>
          <cell r="I857">
            <v>81</v>
          </cell>
        </row>
        <row r="858">
          <cell r="C858" t="str">
            <v>RO1744</v>
          </cell>
          <cell r="D858" t="str">
            <v>69:тип 69 RANsharing</v>
          </cell>
          <cell r="E858" t="str">
            <v>Ростовская Область, Мартыновский Район, Веселый Хутор, Урожайная Улица</v>
          </cell>
          <cell r="F858">
            <v>1.98</v>
          </cell>
          <cell r="G858" t="str">
            <v>Осн.</v>
          </cell>
          <cell r="H858" t="str">
            <v>Волгодонская</v>
          </cell>
          <cell r="I858">
            <v>49</v>
          </cell>
        </row>
        <row r="859">
          <cell r="C859" t="str">
            <v>RO1746</v>
          </cell>
          <cell r="D859" t="str">
            <v>69:тип 69 RANsharing</v>
          </cell>
          <cell r="E859" t="str">
            <v>Ростовская Область, Миллеровский Район, Ярский Поселок, Молодежная Улица\юго восточнее на 25 м от Обелиска</v>
          </cell>
          <cell r="F859">
            <v>2.96</v>
          </cell>
          <cell r="G859" t="str">
            <v>Осн.</v>
          </cell>
          <cell r="H859" t="str">
            <v>Каменская</v>
          </cell>
          <cell r="I859">
            <v>98</v>
          </cell>
        </row>
        <row r="860">
          <cell r="C860" t="str">
            <v>RO1748</v>
          </cell>
          <cell r="D860" t="str">
            <v>13:собст. железобетонный столб с заглубленным фундаментом</v>
          </cell>
          <cell r="E860" t="str">
            <v>Ростовская Область, Мартыновский Район, Комаров Хутор</v>
          </cell>
          <cell r="F860">
            <v>2.96</v>
          </cell>
          <cell r="G860" t="str">
            <v>Осн.</v>
          </cell>
          <cell r="H860" t="str">
            <v>Волгодонская</v>
          </cell>
          <cell r="I860">
            <v>98</v>
          </cell>
        </row>
        <row r="861">
          <cell r="C861" t="str">
            <v>RO1750</v>
          </cell>
          <cell r="D861" t="str">
            <v>13:собст. железобетонный столб с заглубленным фундаментом</v>
          </cell>
          <cell r="E861" t="str">
            <v>Ростовская Область, Мартыновский Район, Ильинов Хутор</v>
          </cell>
          <cell r="F861">
            <v>2.06</v>
          </cell>
          <cell r="G861" t="str">
            <v>Осн.</v>
          </cell>
          <cell r="H861" t="str">
            <v>Волгодонская</v>
          </cell>
          <cell r="I861">
            <v>53</v>
          </cell>
        </row>
        <row r="862">
          <cell r="C862" t="str">
            <v>RO1752</v>
          </cell>
          <cell r="D862" t="str">
            <v>69:тип 69 RANsharing</v>
          </cell>
          <cell r="E862" t="str">
            <v>Ростовская Область, Миллеровский Район, Нижнекамышинка Слобода\пересечение ул. Центральная и ул. Речная</v>
          </cell>
          <cell r="F862">
            <v>3.64</v>
          </cell>
          <cell r="G862" t="str">
            <v>Осн.</v>
          </cell>
          <cell r="H862" t="str">
            <v>Каменская</v>
          </cell>
          <cell r="I862">
            <v>132</v>
          </cell>
        </row>
        <row r="863">
          <cell r="C863" t="str">
            <v>RO1753</v>
          </cell>
          <cell r="D863" t="str">
            <v>69:тип 69 RANsharing</v>
          </cell>
          <cell r="E863" t="str">
            <v>Ростовская Область, Морозовский Район, Владимиров Хутор, Дружбы Улица\21 м на север от края дороги по адресу ул. Дружбы, 45</v>
          </cell>
          <cell r="F863">
            <v>2.72</v>
          </cell>
          <cell r="G863" t="str">
            <v>Осн.</v>
          </cell>
          <cell r="H863" t="str">
            <v>Волгодонская</v>
          </cell>
          <cell r="I863">
            <v>86</v>
          </cell>
        </row>
        <row r="864">
          <cell r="C864" t="str">
            <v>RO1761</v>
          </cell>
          <cell r="D864" t="str">
            <v>69:тип 69 RANsharing</v>
          </cell>
          <cell r="E864" t="str">
            <v>Ростовская Область, Морозовский Район, Широко-Атамановский Хутор\35 м на юг от здания почты по адресу ул. Мира, 31</v>
          </cell>
          <cell r="F864">
            <v>2.98</v>
          </cell>
          <cell r="G864" t="str">
            <v>Осн.</v>
          </cell>
          <cell r="H864" t="str">
            <v>Волгодонская</v>
          </cell>
          <cell r="I864">
            <v>99</v>
          </cell>
        </row>
        <row r="865">
          <cell r="C865" t="str">
            <v>RO1762</v>
          </cell>
          <cell r="D865" t="str">
            <v>33:трубостойки, АМС инфраструктурного оператора</v>
          </cell>
          <cell r="E865" t="str">
            <v>Ростовская Область, Константиновский Район, Богоявленская Станица</v>
          </cell>
          <cell r="F865">
            <v>2.56</v>
          </cell>
          <cell r="G865" t="str">
            <v>Осн.</v>
          </cell>
          <cell r="H865" t="str">
            <v>Волгодонская</v>
          </cell>
          <cell r="I865">
            <v>78</v>
          </cell>
        </row>
        <row r="866">
          <cell r="C866" t="str">
            <v>RO1763</v>
          </cell>
          <cell r="D866" t="str">
            <v>43:железобетонный столб - проект УЦН</v>
          </cell>
          <cell r="E866" t="str">
            <v>Ростовская Область, Морозовский Район, Общий Хутор\80 м на северо восток от Мемориала Воину-освободителю</v>
          </cell>
          <cell r="F866">
            <v>3.48</v>
          </cell>
          <cell r="G866" t="str">
            <v>Осн.</v>
          </cell>
          <cell r="H866" t="str">
            <v>Волгодонская</v>
          </cell>
          <cell r="I866">
            <v>124</v>
          </cell>
        </row>
        <row r="867">
          <cell r="C867" t="str">
            <v>RO1764</v>
          </cell>
          <cell r="D867" t="str">
            <v>69:тип 69 RANsharing</v>
          </cell>
          <cell r="E867" t="str">
            <v>Ростовская Область, Морозовский Район, Вишневка Хутор\100 м южнее от строения по ул. Дружбы, дом 2323</v>
          </cell>
          <cell r="F867">
            <v>3.24</v>
          </cell>
          <cell r="G867" t="str">
            <v>Осн.</v>
          </cell>
          <cell r="H867" t="str">
            <v>Волгодонская</v>
          </cell>
          <cell r="I867">
            <v>112</v>
          </cell>
        </row>
        <row r="868">
          <cell r="C868" t="str">
            <v>RO1771</v>
          </cell>
          <cell r="D868" t="str">
            <v>31:трубостойки на чужой АМС на земле/крыше</v>
          </cell>
          <cell r="E868" t="str">
            <v>Ростовская Область, Миллеровский Район\в пределах кадастрового квартала 61:22:0600003</v>
          </cell>
          <cell r="F868">
            <v>3.28</v>
          </cell>
          <cell r="G868" t="str">
            <v>Осн.</v>
          </cell>
          <cell r="H868" t="str">
            <v>Каменская</v>
          </cell>
          <cell r="I868">
            <v>114</v>
          </cell>
        </row>
        <row r="869">
          <cell r="C869" t="str">
            <v>RO1773</v>
          </cell>
          <cell r="D869" t="str">
            <v>31:трубостойки на чужой АМС на земле/крыше</v>
          </cell>
          <cell r="E869" t="str">
            <v>Ростовская Область, Белокалитвинский Район, Горняцкий Поселок, Строительная Улица</v>
          </cell>
          <cell r="F869">
            <v>2.5</v>
          </cell>
          <cell r="G869" t="str">
            <v>Осн.</v>
          </cell>
          <cell r="H869" t="str">
            <v>Каменская</v>
          </cell>
          <cell r="I869">
            <v>75</v>
          </cell>
        </row>
        <row r="870">
          <cell r="C870" t="str">
            <v>RO1775</v>
          </cell>
          <cell r="D870" t="str">
            <v>33:трубостойки, АМС инфраструктурного оператора</v>
          </cell>
          <cell r="E870" t="str">
            <v>Ростовская Область, Тацинский Район, Тацинская Станица, Октябрьская Улица\74 Б примерно в 30 м. на запад</v>
          </cell>
          <cell r="F870">
            <v>3.02</v>
          </cell>
          <cell r="G870" t="str">
            <v>Осн.</v>
          </cell>
          <cell r="H870" t="str">
            <v>Каменская</v>
          </cell>
          <cell r="I870">
            <v>101</v>
          </cell>
        </row>
        <row r="871">
          <cell r="C871" t="str">
            <v>RO1778</v>
          </cell>
          <cell r="D871" t="str">
            <v>31:трубостойки на чужой АМС на земле/крыше</v>
          </cell>
          <cell r="E871" t="str">
            <v>Ростовская Область, Родионово-Несветайский Район, Большекрепинская Слобода, Ленина Улица, дом 14</v>
          </cell>
          <cell r="F871">
            <v>2.2799999999999998</v>
          </cell>
          <cell r="G871" t="str">
            <v>Осн.</v>
          </cell>
          <cell r="H871" t="str">
            <v>Ростовская</v>
          </cell>
          <cell r="I871">
            <v>64</v>
          </cell>
        </row>
        <row r="872">
          <cell r="C872" t="str">
            <v>RO1783</v>
          </cell>
          <cell r="D872" t="str">
            <v>31:трубостойки на чужой АМС на земле/крыше</v>
          </cell>
          <cell r="E872" t="str">
            <v>Ростовская Область, Багаевский Район, Багаевская Станица, Мельничная Улица\106-б</v>
          </cell>
          <cell r="F872">
            <v>2.6</v>
          </cell>
          <cell r="G872" t="str">
            <v>Осн.</v>
          </cell>
          <cell r="H872" t="str">
            <v>Ростовская</v>
          </cell>
          <cell r="I872">
            <v>80</v>
          </cell>
        </row>
        <row r="873">
          <cell r="C873" t="str">
            <v>RO1785</v>
          </cell>
          <cell r="D873" t="str">
            <v>69:тип 69 RANsharing</v>
          </cell>
          <cell r="E873" t="str">
            <v>Ростовская Область, Октябрьский Район, Ягодинка Хутор</v>
          </cell>
          <cell r="F873">
            <v>2.82</v>
          </cell>
          <cell r="G873" t="str">
            <v>Осн.</v>
          </cell>
          <cell r="H873" t="str">
            <v>Ростовская</v>
          </cell>
          <cell r="I873">
            <v>91</v>
          </cell>
        </row>
        <row r="874">
          <cell r="C874" t="str">
            <v>RO1787</v>
          </cell>
          <cell r="D874" t="str">
            <v>31:трубостойки на чужой АМС на земле/крыше</v>
          </cell>
          <cell r="E874" t="str">
            <v>Ростовская Область, Константиновский Район, Нижнекалинов Хутор, Ключевая Улица, дом 11\а АМС ФГУП РТРС</v>
          </cell>
          <cell r="F874">
            <v>3.88</v>
          </cell>
          <cell r="G874" t="str">
            <v>Осн.</v>
          </cell>
          <cell r="H874" t="str">
            <v>Волгодонская</v>
          </cell>
          <cell r="I874">
            <v>144</v>
          </cell>
        </row>
        <row r="875">
          <cell r="C875" t="str">
            <v>RO1788</v>
          </cell>
          <cell r="D875" t="str">
            <v>69:тип 69 RANsharing</v>
          </cell>
          <cell r="E875" t="str">
            <v>Ростовская Область, Октябрьский Район, Шевченко Хутор, Суворова Улица\385 м на северо восток от Дома культуры</v>
          </cell>
          <cell r="F875">
            <v>2.96</v>
          </cell>
          <cell r="G875" t="str">
            <v>Осн.</v>
          </cell>
          <cell r="H875" t="str">
            <v>Ростовская</v>
          </cell>
          <cell r="I875">
            <v>98</v>
          </cell>
        </row>
        <row r="876">
          <cell r="C876" t="str">
            <v>RO1789</v>
          </cell>
          <cell r="D876" t="str">
            <v>21:собст. АМС до 10 м на крыше</v>
          </cell>
          <cell r="E876" t="str">
            <v>Ростовская Область, Новочеркасск Город, Машиностроителей Улица, дом 7А\ЦЕХ№44</v>
          </cell>
          <cell r="F876">
            <v>1.98</v>
          </cell>
          <cell r="G876" t="str">
            <v>Осн.</v>
          </cell>
          <cell r="H876" t="str">
            <v>Ростовская</v>
          </cell>
          <cell r="I876">
            <v>49</v>
          </cell>
        </row>
        <row r="877">
          <cell r="C877" t="str">
            <v>RO1790</v>
          </cell>
          <cell r="D877" t="str">
            <v>13:собст. железобетонный столб с заглубленным фундаментом</v>
          </cell>
          <cell r="E877" t="str">
            <v>Ростовская Область, Ростов-на-Дону Город, Всесоюзная Улица, дом 71</v>
          </cell>
          <cell r="F877">
            <v>1.18</v>
          </cell>
          <cell r="G877" t="str">
            <v>Осн.</v>
          </cell>
          <cell r="H877" t="str">
            <v>Ростовская</v>
          </cell>
          <cell r="I877">
            <v>9</v>
          </cell>
        </row>
        <row r="878">
          <cell r="C878" t="str">
            <v>RO1791</v>
          </cell>
          <cell r="D878" t="str">
            <v>31:трубостойки на чужой АМС на земле/крыше</v>
          </cell>
          <cell r="E878" t="str">
            <v>Ростовская Область, Каменский Район, Старая Станица Хутор, Буденного Улица, дом 112</v>
          </cell>
          <cell r="F878">
            <v>1.1599999999999999</v>
          </cell>
          <cell r="G878" t="str">
            <v>Осн.</v>
          </cell>
          <cell r="H878" t="str">
            <v>Каменская</v>
          </cell>
          <cell r="I878">
            <v>8</v>
          </cell>
        </row>
        <row r="879">
          <cell r="C879" t="str">
            <v>RO1798</v>
          </cell>
          <cell r="D879" t="str">
            <v>69:тип 69 RANsharing</v>
          </cell>
          <cell r="E879" t="str">
            <v>Ростовская Область, Родионово-Несветайский Район, Большой Должик Хутор\80 м восточнее от Мемориала Захоронения воинов Великой Отечественной войны</v>
          </cell>
          <cell r="F879">
            <v>2.2200000000000002</v>
          </cell>
          <cell r="G879" t="str">
            <v>Осн.</v>
          </cell>
          <cell r="H879" t="str">
            <v>Ростовская</v>
          </cell>
          <cell r="I879">
            <v>61</v>
          </cell>
        </row>
        <row r="880">
          <cell r="C880" t="str">
            <v>RO1801</v>
          </cell>
          <cell r="D880" t="str">
            <v>52:индорсайт</v>
          </cell>
          <cell r="E880" t="str">
            <v>Ростовская Область, Ростов-на-Дону Город, Левобережная Улица, дом 2б</v>
          </cell>
          <cell r="F880">
            <v>1.1399999999999999</v>
          </cell>
          <cell r="G880" t="str">
            <v>Осн.</v>
          </cell>
          <cell r="H880" t="str">
            <v>Ростовская</v>
          </cell>
          <cell r="I880">
            <v>7</v>
          </cell>
        </row>
        <row r="881">
          <cell r="C881" t="str">
            <v>RO1821</v>
          </cell>
          <cell r="D881" t="str">
            <v>69:тип 69 RANsharing</v>
          </cell>
          <cell r="E881" t="str">
            <v>Ростовская Область, Семикаракорский Район, Новоромановский Хутор, Фрунзе Улица\между 2-й переулок и 3-й переулок</v>
          </cell>
          <cell r="F881">
            <v>3.32</v>
          </cell>
          <cell r="G881" t="str">
            <v>Осн.</v>
          </cell>
          <cell r="H881" t="str">
            <v>Ростовская</v>
          </cell>
          <cell r="I881">
            <v>116</v>
          </cell>
        </row>
        <row r="882">
          <cell r="C882" t="str">
            <v>RO1825</v>
          </cell>
          <cell r="D882" t="str">
            <v>69:тип 69 RANsharing</v>
          </cell>
          <cell r="E882" t="str">
            <v>Ростовская Область, Тарасовский Район, Егоро-Калитвенский Хутор, Ленина Улица</v>
          </cell>
          <cell r="F882">
            <v>2.2400000000000002</v>
          </cell>
          <cell r="G882" t="str">
            <v>Осн.</v>
          </cell>
          <cell r="H882" t="str">
            <v>Каменская</v>
          </cell>
          <cell r="I882">
            <v>62</v>
          </cell>
        </row>
        <row r="883">
          <cell r="C883" t="str">
            <v>RO1826</v>
          </cell>
          <cell r="D883" t="str">
            <v>69:тип 69 RANsharing</v>
          </cell>
          <cell r="E883" t="str">
            <v>Ростовская Область, Тарасовский Район, Малое Полесье Поселок, Центральная Улица, дом 5\60 м южнее</v>
          </cell>
          <cell r="F883">
            <v>2.1800000000000002</v>
          </cell>
          <cell r="G883" t="str">
            <v>Осн.</v>
          </cell>
          <cell r="H883" t="str">
            <v>Каменская</v>
          </cell>
          <cell r="I883">
            <v>59</v>
          </cell>
        </row>
        <row r="884">
          <cell r="C884" t="str">
            <v>RO1827</v>
          </cell>
          <cell r="D884" t="str">
            <v>69:тип 69 RANsharing</v>
          </cell>
          <cell r="E884" t="str">
            <v>Ростовская Область, Тацинский Район, Луговой Хутор, Мира Улица, дом 36\55 м на север от магазина</v>
          </cell>
          <cell r="F884">
            <v>3.36</v>
          </cell>
          <cell r="G884" t="str">
            <v>Осн.</v>
          </cell>
          <cell r="H884" t="str">
            <v>Каменская</v>
          </cell>
          <cell r="I884">
            <v>118</v>
          </cell>
        </row>
        <row r="885">
          <cell r="C885" t="str">
            <v>RO1828</v>
          </cell>
          <cell r="D885" t="str">
            <v>69:тип 69 RANsharing</v>
          </cell>
          <cell r="E885" t="str">
            <v>Ростовская Область, Тацинский Район, Качалин Хутор, Харченко Улица, дом 29</v>
          </cell>
          <cell r="F885">
            <v>3.86</v>
          </cell>
          <cell r="G885" t="str">
            <v>Осн.</v>
          </cell>
          <cell r="H885" t="str">
            <v>Каменская</v>
          </cell>
          <cell r="I885">
            <v>143</v>
          </cell>
        </row>
        <row r="886">
          <cell r="C886" t="str">
            <v>RO1833</v>
          </cell>
          <cell r="D886" t="str">
            <v>69:тип 69 RANsharing</v>
          </cell>
          <cell r="E886" t="str">
            <v>Ростовская Область, Советский Район, Усть-Грязновский Хутор\200 м на сервер от ФАПа по ул. Западная, 7</v>
          </cell>
          <cell r="F886">
            <v>6.48</v>
          </cell>
          <cell r="G886" t="str">
            <v>Осн.</v>
          </cell>
          <cell r="H886" t="str">
            <v>Каменская</v>
          </cell>
          <cell r="I886">
            <v>274</v>
          </cell>
        </row>
        <row r="887">
          <cell r="C887" t="str">
            <v>RO1838</v>
          </cell>
          <cell r="D887" t="str">
            <v>69:тип 69 RANsharing</v>
          </cell>
          <cell r="E887" t="str">
            <v>Ростовская Область, Морозовский Район, Чекалов Хутор, Центральная Улица\40 м на север от овощехранилища по адресу ул. Центральная, 9б</v>
          </cell>
          <cell r="F887">
            <v>3.4</v>
          </cell>
          <cell r="G887" t="str">
            <v>Осн.</v>
          </cell>
          <cell r="H887" t="str">
            <v>Волгодонская</v>
          </cell>
          <cell r="I887">
            <v>120</v>
          </cell>
        </row>
        <row r="888">
          <cell r="C888" t="str">
            <v>RO1840</v>
          </cell>
          <cell r="D888" t="str">
            <v>69:тип 69 RANsharing</v>
          </cell>
          <cell r="E888" t="str">
            <v>Ростовская Область, Тарасовский Район, Александровка Слобода, Молодежная Улица, дом 1\80 м юго восточнее</v>
          </cell>
          <cell r="F888">
            <v>3.26</v>
          </cell>
          <cell r="G888" t="str">
            <v>Осн.</v>
          </cell>
          <cell r="H888" t="str">
            <v>Каменская</v>
          </cell>
          <cell r="I888">
            <v>113</v>
          </cell>
        </row>
        <row r="889">
          <cell r="C889" t="str">
            <v>RO1841</v>
          </cell>
          <cell r="D889" t="str">
            <v>69:тип 69 RANsharing</v>
          </cell>
          <cell r="E889" t="str">
            <v>Ростовская Область, Тарасовский Район, Прогной Хутор, Энтузиастов Улица, дом 15\юго-восточнее 150 м</v>
          </cell>
          <cell r="F889">
            <v>3.34</v>
          </cell>
          <cell r="G889" t="str">
            <v>Осн.</v>
          </cell>
          <cell r="H889" t="str">
            <v>Каменская</v>
          </cell>
          <cell r="I889">
            <v>117</v>
          </cell>
        </row>
        <row r="890">
          <cell r="C890" t="str">
            <v>RO1843</v>
          </cell>
          <cell r="D890" t="str">
            <v>69:тип 69 RANsharing</v>
          </cell>
          <cell r="E890" t="str">
            <v>Ростовская Область, Кагальницкий Район, Березовая Роща Поселок\возвышенность между ул. Бирюкова и ул. Цветочная</v>
          </cell>
          <cell r="F890">
            <v>1.84</v>
          </cell>
          <cell r="G890" t="str">
            <v>Осн.</v>
          </cell>
          <cell r="H890" t="str">
            <v>Ростовская</v>
          </cell>
          <cell r="I890">
            <v>42</v>
          </cell>
        </row>
        <row r="891">
          <cell r="C891" t="str">
            <v>RO1844</v>
          </cell>
          <cell r="D891" t="str">
            <v>69:тип 69 RANsharing</v>
          </cell>
          <cell r="E891" t="str">
            <v>Ростовская Область, Веселовский Район, Верхний Хомутец Хутор\ул. Центральная, 22, 70м на восток от частного дома вдоль улицы</v>
          </cell>
          <cell r="F891">
            <v>3.42</v>
          </cell>
          <cell r="G891" t="str">
            <v>Осн.</v>
          </cell>
          <cell r="H891" t="str">
            <v>Ростовская</v>
          </cell>
          <cell r="I891">
            <v>121</v>
          </cell>
        </row>
        <row r="892">
          <cell r="C892" t="str">
            <v>RO1845</v>
          </cell>
          <cell r="D892" t="str">
            <v>69:тип 69 RANsharing</v>
          </cell>
          <cell r="E892" t="str">
            <v>Ростовская Область, Тарасовский Район, Изумрудный Поселок, Ленина Улица, дом 40\100 м на северо восток</v>
          </cell>
          <cell r="F892">
            <v>2.86</v>
          </cell>
          <cell r="G892" t="str">
            <v>Осн.</v>
          </cell>
          <cell r="H892" t="str">
            <v>Каменская</v>
          </cell>
          <cell r="I892">
            <v>93</v>
          </cell>
        </row>
        <row r="893">
          <cell r="C893" t="str">
            <v>RO1846</v>
          </cell>
          <cell r="D893" t="str">
            <v>69:тип 69 RANsharing</v>
          </cell>
          <cell r="E893" t="str">
            <v>Ростовская Область, Тарасовский Район, Красновка Хутор, Клубный Переулок, дом 1\восточнее 150 м</v>
          </cell>
          <cell r="F893">
            <v>2.86</v>
          </cell>
          <cell r="G893" t="str">
            <v>Осн.</v>
          </cell>
          <cell r="H893" t="str">
            <v>Каменская</v>
          </cell>
          <cell r="I893">
            <v>93</v>
          </cell>
        </row>
        <row r="894">
          <cell r="C894" t="str">
            <v>RO1847</v>
          </cell>
          <cell r="D894" t="str">
            <v>69:тип 69 RANsharing</v>
          </cell>
          <cell r="E894" t="str">
            <v>Ростовская Область, Усть-Донецкий Район, Ольховский Хутор, Садовая Улица</v>
          </cell>
          <cell r="F894">
            <v>3.82</v>
          </cell>
          <cell r="G894" t="str">
            <v>Осн.</v>
          </cell>
          <cell r="H894" t="str">
            <v>Ростовская</v>
          </cell>
          <cell r="I894">
            <v>141</v>
          </cell>
        </row>
        <row r="895">
          <cell r="C895" t="str">
            <v>RO1849</v>
          </cell>
          <cell r="D895" t="str">
            <v>69:тип 69 RANsharing</v>
          </cell>
          <cell r="E895" t="str">
            <v>Ростовская Область, Октябрьский Район, Марьевка Хутор, Парковая Улица</v>
          </cell>
          <cell r="F895">
            <v>2.54</v>
          </cell>
          <cell r="G895" t="str">
            <v>Осн.</v>
          </cell>
          <cell r="H895" t="str">
            <v>Ростовская</v>
          </cell>
          <cell r="I895">
            <v>77</v>
          </cell>
        </row>
        <row r="896">
          <cell r="C896" t="str">
            <v>RO1850</v>
          </cell>
          <cell r="D896" t="str">
            <v>69:тип 69 RANsharing</v>
          </cell>
          <cell r="E896" t="str">
            <v>Ростовская Область, Усть-Донецкий Район, Коныгин Хутор, Соборный Переулок</v>
          </cell>
          <cell r="F896">
            <v>3.64</v>
          </cell>
          <cell r="G896" t="str">
            <v>Осн.</v>
          </cell>
          <cell r="H896" t="str">
            <v>Ростовская</v>
          </cell>
          <cell r="I896">
            <v>132</v>
          </cell>
        </row>
        <row r="897">
          <cell r="C897" t="str">
            <v>RO1856</v>
          </cell>
          <cell r="D897" t="str">
            <v>69:тип 69 RANsharing</v>
          </cell>
          <cell r="E897" t="str">
            <v>Ростовская Область, Азовский Район, Южный Поселок\125 метров на юг от ул. Гагарина по ул. Мичурина</v>
          </cell>
          <cell r="F897">
            <v>3.08</v>
          </cell>
          <cell r="G897" t="str">
            <v>Осн.</v>
          </cell>
          <cell r="H897" t="str">
            <v>Ростовская</v>
          </cell>
          <cell r="I897">
            <v>104</v>
          </cell>
        </row>
        <row r="898">
          <cell r="C898" t="str">
            <v>RO1857</v>
          </cell>
          <cell r="D898" t="str">
            <v>69:тип 69 RANsharing</v>
          </cell>
          <cell r="E898" t="str">
            <v>Ростовская Область, Тарасовский Район, Войково Поселок, Интернациональная Улица, дом 2</v>
          </cell>
          <cell r="F898">
            <v>3.22</v>
          </cell>
          <cell r="G898" t="str">
            <v>Осн.</v>
          </cell>
          <cell r="H898" t="str">
            <v>Каменская</v>
          </cell>
          <cell r="I898">
            <v>111</v>
          </cell>
        </row>
        <row r="899">
          <cell r="C899" t="str">
            <v>RO1858</v>
          </cell>
          <cell r="D899" t="str">
            <v>69:тип 69 RANsharing</v>
          </cell>
          <cell r="E899" t="str">
            <v>Ростовская Область, Константиновский Район, Белянский Хутор\100м на восток от ул. Кольцевая 2А (мачта РТРС)</v>
          </cell>
          <cell r="F899">
            <v>2.54</v>
          </cell>
          <cell r="G899" t="str">
            <v>Осн.</v>
          </cell>
          <cell r="H899" t="str">
            <v>Волгодонская</v>
          </cell>
          <cell r="I899">
            <v>77</v>
          </cell>
        </row>
        <row r="900">
          <cell r="C900" t="str">
            <v>RO1860</v>
          </cell>
          <cell r="D900" t="str">
            <v>69:тип 69 RANsharing</v>
          </cell>
          <cell r="E900" t="str">
            <v>Ростовская Область, Октябрьский Район, Калиновка Хутор</v>
          </cell>
          <cell r="F900">
            <v>2.68</v>
          </cell>
          <cell r="G900" t="str">
            <v>Осн.</v>
          </cell>
          <cell r="H900" t="str">
            <v>Ростовская</v>
          </cell>
          <cell r="I900">
            <v>84</v>
          </cell>
        </row>
        <row r="901">
          <cell r="C901" t="str">
            <v>RO1861</v>
          </cell>
          <cell r="D901" t="str">
            <v>69:тип 69 RANsharing</v>
          </cell>
          <cell r="E901" t="str">
            <v>Ростовская Область, Чертковский Район, Новостепановский Хутор</v>
          </cell>
          <cell r="F901">
            <v>4.72</v>
          </cell>
          <cell r="G901" t="str">
            <v>Осн.</v>
          </cell>
          <cell r="H901" t="str">
            <v>Каменская</v>
          </cell>
          <cell r="I901">
            <v>186</v>
          </cell>
        </row>
        <row r="902">
          <cell r="C902" t="str">
            <v>RO1862</v>
          </cell>
          <cell r="D902" t="str">
            <v>13:собст. железобетонный столб с заглубленным фундаментом</v>
          </cell>
          <cell r="E902" t="str">
            <v>Ростовская Область, Новошахтинск Город, Юбилейная Улица\дом 8, литер А</v>
          </cell>
          <cell r="F902">
            <v>2.84</v>
          </cell>
          <cell r="G902" t="str">
            <v>Осн.</v>
          </cell>
          <cell r="H902" t="str">
            <v>Ростовская</v>
          </cell>
          <cell r="I902">
            <v>92</v>
          </cell>
        </row>
        <row r="903">
          <cell r="C903" t="str">
            <v>RO1884</v>
          </cell>
          <cell r="D903" t="str">
            <v>31:трубостойки на чужой АМС на земле/крыше</v>
          </cell>
          <cell r="E903" t="str">
            <v>Ростовская Область, Октябрьский Район, Красюковская Слобода, Цветочная Улица\12</v>
          </cell>
          <cell r="F903">
            <v>2.2000000000000002</v>
          </cell>
          <cell r="G903" t="str">
            <v>Осн.</v>
          </cell>
          <cell r="H903" t="str">
            <v>Ростовская</v>
          </cell>
          <cell r="I903">
            <v>60</v>
          </cell>
        </row>
        <row r="904">
          <cell r="C904" t="str">
            <v>RO1899</v>
          </cell>
          <cell r="D904" t="str">
            <v>69:тип 69 RANsharing</v>
          </cell>
          <cell r="E904" t="str">
            <v>Ростовская Область, Каменский Район, Плешаков Хутор, Лиманная Улица</v>
          </cell>
          <cell r="F904">
            <v>2.02</v>
          </cell>
          <cell r="G904" t="str">
            <v>Осн.</v>
          </cell>
          <cell r="H904" t="str">
            <v>Каменская</v>
          </cell>
          <cell r="I904">
            <v>51</v>
          </cell>
        </row>
        <row r="905">
          <cell r="C905" t="str">
            <v>RO1900</v>
          </cell>
          <cell r="D905" t="str">
            <v>53:репитер</v>
          </cell>
          <cell r="E905" t="str">
            <v>Ростовская Область, Ростов-на-Дону Город, Шаумяна Улица, дом 48</v>
          </cell>
          <cell r="F905">
            <v>1.02</v>
          </cell>
          <cell r="G905" t="str">
            <v>Осн.</v>
          </cell>
          <cell r="H905" t="str">
            <v>Ростовская</v>
          </cell>
          <cell r="I905">
            <v>1</v>
          </cell>
        </row>
        <row r="906">
          <cell r="C906" t="str">
            <v>RO1901</v>
          </cell>
          <cell r="D906" t="str">
            <v>53:репитер</v>
          </cell>
          <cell r="E906" t="str">
            <v>Ростовская Область, Ростов-на-Дону Город, Театральный Проспект\60Г дом</v>
          </cell>
          <cell r="F906">
            <v>1.1000000000000001</v>
          </cell>
          <cell r="G906" t="str">
            <v>Осн.</v>
          </cell>
          <cell r="H906" t="str">
            <v>Ростовская</v>
          </cell>
          <cell r="I906">
            <v>5</v>
          </cell>
        </row>
        <row r="907">
          <cell r="C907" t="str">
            <v>RO1908</v>
          </cell>
          <cell r="D907" t="str">
            <v>31:трубостойки на чужой АМС на земле/крыше</v>
          </cell>
          <cell r="E907" t="str">
            <v>Ростовская Область, Донецк Город\в 24 метрах восточнее от ориентира "улица Некрасова, 52"</v>
          </cell>
          <cell r="F907">
            <v>1.78</v>
          </cell>
          <cell r="G907" t="str">
            <v>Осн.</v>
          </cell>
          <cell r="H907" t="str">
            <v>Каменская</v>
          </cell>
          <cell r="I907">
            <v>39</v>
          </cell>
        </row>
        <row r="908">
          <cell r="C908" t="str">
            <v>RO1914</v>
          </cell>
          <cell r="D908" t="str">
            <v>31:трубостойки на чужой АМС на земле/крыше</v>
          </cell>
          <cell r="E908" t="str">
            <v>Ростовская Область, Зимовниковский Район, Зимовники Поселок, Игнатовский Переулок, дом 18</v>
          </cell>
          <cell r="F908">
            <v>2.04</v>
          </cell>
          <cell r="G908" t="str">
            <v>Осн.</v>
          </cell>
          <cell r="H908" t="str">
            <v>Волгодонская</v>
          </cell>
          <cell r="I908">
            <v>52</v>
          </cell>
        </row>
        <row r="909">
          <cell r="C909" t="str">
            <v>RO1924</v>
          </cell>
          <cell r="D909" t="str">
            <v>13:собст. железобетонный столб с заглубленным фундаментом</v>
          </cell>
          <cell r="E909" t="str">
            <v>Ростовская Область, Семикаракорский Район, Семикаракорск Город, Комарова Улица, дом 35</v>
          </cell>
          <cell r="F909">
            <v>3.42</v>
          </cell>
          <cell r="G909" t="str">
            <v>Осн.</v>
          </cell>
          <cell r="H909" t="str">
            <v>Волгодонская</v>
          </cell>
          <cell r="I909">
            <v>121</v>
          </cell>
        </row>
        <row r="910">
          <cell r="C910" t="str">
            <v>RO1937</v>
          </cell>
          <cell r="D910" t="str">
            <v>31:трубостойки на чужой АМС на земле/крыше</v>
          </cell>
          <cell r="E910" t="str">
            <v>Ростовская Область, Ремонтненский Район, Ремонтное Село, Дзержинского Улица, дом 50\АМС ФГУП РТРС</v>
          </cell>
          <cell r="F910">
            <v>4.38</v>
          </cell>
          <cell r="G910" t="str">
            <v>Осн.</v>
          </cell>
          <cell r="H910" t="str">
            <v>Волгодонская</v>
          </cell>
          <cell r="I910">
            <v>169</v>
          </cell>
        </row>
        <row r="911">
          <cell r="C911" t="str">
            <v>RO1940</v>
          </cell>
          <cell r="D911" t="str">
            <v>31:трубостойки на чужой АМС на земле/крыше</v>
          </cell>
          <cell r="E911" t="str">
            <v>Ростовская Область, Заветинский Район, Заветное Село, Ленина Улица\улица Ленина, 74 а</v>
          </cell>
          <cell r="F911">
            <v>4.2</v>
          </cell>
          <cell r="G911" t="str">
            <v>Осн.</v>
          </cell>
          <cell r="H911" t="str">
            <v>Волгодонская</v>
          </cell>
          <cell r="I911">
            <v>160</v>
          </cell>
        </row>
        <row r="912">
          <cell r="C912" t="str">
            <v>RO1942</v>
          </cell>
          <cell r="D912" t="str">
            <v>31:трубостойки на чужой АМС на земле/крыше</v>
          </cell>
          <cell r="E912" t="str">
            <v>Ростовская Область, Новошахтинск Город, Молодогвардейцев Улица, дом 73\АМС ФГУП РТРС</v>
          </cell>
          <cell r="F912">
            <v>2.8</v>
          </cell>
          <cell r="G912" t="str">
            <v>Осн.</v>
          </cell>
          <cell r="H912" t="str">
            <v>Ростовская</v>
          </cell>
          <cell r="I912">
            <v>90</v>
          </cell>
        </row>
        <row r="913">
          <cell r="C913" t="str">
            <v>RO1943</v>
          </cell>
          <cell r="D913" t="str">
            <v>31:трубостойки на чужой АМС на земле/крыше</v>
          </cell>
          <cell r="E913" t="str">
            <v>Ростовская Область, Тарасовский Район, Тарасовский Поселок, Горная Улица\АМС ФГУП РТРС</v>
          </cell>
          <cell r="F913">
            <v>2.2000000000000002</v>
          </cell>
          <cell r="G913" t="str">
            <v>Осн.</v>
          </cell>
          <cell r="H913" t="str">
            <v>Каменская</v>
          </cell>
          <cell r="I913">
            <v>60</v>
          </cell>
        </row>
        <row r="914">
          <cell r="C914" t="str">
            <v>RO1948</v>
          </cell>
          <cell r="D914" t="str">
            <v>13:собст. железобетонный столб с заглубленным фундаментом</v>
          </cell>
          <cell r="E914" t="str">
            <v>Ростовская Область, Каменский Район, Березовый Хутор</v>
          </cell>
          <cell r="F914">
            <v>1.6</v>
          </cell>
          <cell r="G914" t="str">
            <v>Осн.</v>
          </cell>
          <cell r="H914" t="str">
            <v>Каменская</v>
          </cell>
          <cell r="I914">
            <v>30</v>
          </cell>
        </row>
        <row r="915">
          <cell r="C915" t="str">
            <v>RO1956</v>
          </cell>
          <cell r="D915" t="str">
            <v>31:трубостойки на чужой АМС на земле/крыше</v>
          </cell>
          <cell r="E915" t="str">
            <v>Ростовская Область, Волгодонской Район, Краснодонский Поселок</v>
          </cell>
          <cell r="F915">
            <v>2.2799999999999998</v>
          </cell>
          <cell r="G915" t="str">
            <v>Осн.</v>
          </cell>
          <cell r="H915" t="str">
            <v>Волгодонская</v>
          </cell>
          <cell r="I915">
            <v>64</v>
          </cell>
        </row>
        <row r="916">
          <cell r="C916" t="str">
            <v>RO1957</v>
          </cell>
          <cell r="D916" t="str">
            <v>31:трубостойки на чужой АМС на земле/крыше</v>
          </cell>
          <cell r="E916" t="str">
            <v>Ростовская Область, Ростов-на-Дону Город, Левобережная Улица</v>
          </cell>
          <cell r="F916">
            <v>1.18</v>
          </cell>
          <cell r="G916" t="str">
            <v>Осн.</v>
          </cell>
          <cell r="H916" t="str">
            <v>Ростовская</v>
          </cell>
          <cell r="I916">
            <v>9</v>
          </cell>
        </row>
        <row r="917">
          <cell r="C917" t="str">
            <v>RO1958</v>
          </cell>
          <cell r="D917" t="str">
            <v>33:трубостойки, АМС инфраструктурного оператора</v>
          </cell>
          <cell r="E917" t="str">
            <v>Ростовская Область, Семикаракорский Район, Семикаракорск Город, Красноармейская Улица, дом 296</v>
          </cell>
          <cell r="F917">
            <v>3.44</v>
          </cell>
          <cell r="G917" t="str">
            <v>Осн.</v>
          </cell>
          <cell r="H917" t="str">
            <v>Волгодонская</v>
          </cell>
          <cell r="I917">
            <v>122</v>
          </cell>
        </row>
        <row r="918">
          <cell r="C918" t="str">
            <v>RO1960</v>
          </cell>
          <cell r="D918" t="str">
            <v>21:собст. АМС до 10 м на крыше</v>
          </cell>
          <cell r="E918" t="str">
            <v>Ростовская Область, Ростов-на-Дону Город, Виталия Ходоша Улица\15</v>
          </cell>
          <cell r="F918">
            <v>1.4</v>
          </cell>
          <cell r="G918" t="str">
            <v>Осн.</v>
          </cell>
          <cell r="H918" t="str">
            <v>Ростовская</v>
          </cell>
          <cell r="I918">
            <v>20</v>
          </cell>
        </row>
        <row r="919">
          <cell r="C919" t="str">
            <v>RO1974</v>
          </cell>
          <cell r="D919" t="str">
            <v>31:трубостойки на чужой АМС на земле/крыше</v>
          </cell>
          <cell r="E919" t="str">
            <v>Ростовская Область, Усть-Донецкий Район, Апаринский Хутор</v>
          </cell>
          <cell r="F919">
            <v>3.42</v>
          </cell>
          <cell r="G919" t="str">
            <v>Осн.</v>
          </cell>
          <cell r="H919" t="str">
            <v>Волгодонская</v>
          </cell>
          <cell r="I919">
            <v>121</v>
          </cell>
        </row>
        <row r="920">
          <cell r="C920" t="str">
            <v>RO1975</v>
          </cell>
          <cell r="D920" t="str">
            <v>33:трубостойки, АМС инфраструктурного оператора</v>
          </cell>
          <cell r="E920" t="str">
            <v>Ростовская Область, Милютинский Район, Селивановская Станица, Вишневый Переулок, дом 9</v>
          </cell>
          <cell r="F920">
            <v>5.2</v>
          </cell>
          <cell r="G920" t="str">
            <v>Осн.</v>
          </cell>
          <cell r="H920" t="str">
            <v>Каменская</v>
          </cell>
          <cell r="I920">
            <v>210</v>
          </cell>
        </row>
        <row r="921">
          <cell r="C921" t="str">
            <v>RO1977</v>
          </cell>
          <cell r="D921" t="str">
            <v>33:трубостойки, АМС инфраструктурного оператора</v>
          </cell>
          <cell r="E921" t="str">
            <v>Ростовская Область, Каменск-Шахтинский Город, Мусина Улица, дом 36</v>
          </cell>
          <cell r="F921">
            <v>1.1200000000000001</v>
          </cell>
          <cell r="G921" t="str">
            <v>Осн.</v>
          </cell>
          <cell r="H921" t="str">
            <v>Каменская</v>
          </cell>
          <cell r="I921">
            <v>6</v>
          </cell>
        </row>
        <row r="922">
          <cell r="C922" t="str">
            <v>RO1979</v>
          </cell>
          <cell r="D922" t="str">
            <v>31:трубостойки на чужой АМС на земле/крыше</v>
          </cell>
          <cell r="E922" t="str">
            <v>Ростовская Область, Белокалитвинский Район, Коксовый Поселок, Степная Улица, дом 17\на расстоянии 42 м. от ориентира</v>
          </cell>
          <cell r="F922">
            <v>2.04</v>
          </cell>
          <cell r="G922" t="str">
            <v>Осн.</v>
          </cell>
          <cell r="H922" t="str">
            <v>Каменская</v>
          </cell>
          <cell r="I922">
            <v>52</v>
          </cell>
        </row>
        <row r="923">
          <cell r="C923" t="str">
            <v>RO1993</v>
          </cell>
          <cell r="D923" t="str">
            <v>33:трубостойки, АМС инфраструктурного оператора</v>
          </cell>
          <cell r="E923" t="str">
            <v>Ростовская Область, Ростов-на-Дону Город, Портовая Улица, дом 52</v>
          </cell>
          <cell r="F923">
            <v>1.06</v>
          </cell>
          <cell r="G923" t="str">
            <v>Осн.</v>
          </cell>
          <cell r="H923" t="str">
            <v>Ростовская</v>
          </cell>
          <cell r="I923">
            <v>3</v>
          </cell>
        </row>
        <row r="924">
          <cell r="C924" t="str">
            <v>RO1994</v>
          </cell>
          <cell r="D924" t="str">
            <v>21:собст. АМС до 10 м на крыше</v>
          </cell>
          <cell r="E924" t="str">
            <v>Ростовская Область, Кагальницкий Район, Кировская Станица, Ленина Улица\дом 15</v>
          </cell>
          <cell r="F924">
            <v>1.96</v>
          </cell>
          <cell r="G924" t="str">
            <v>Осн.</v>
          </cell>
          <cell r="H924" t="str">
            <v>Ростовская</v>
          </cell>
          <cell r="I924">
            <v>48</v>
          </cell>
        </row>
        <row r="925">
          <cell r="C925" t="str">
            <v>RO1995</v>
          </cell>
          <cell r="D925" t="str">
            <v>31:трубостойки на чужой АМС на земле/крыше</v>
          </cell>
          <cell r="E925" t="str">
            <v>Ростовская Область, Аксайский Район, Грушевская Станица, Марсово поле Улица\земельный участок 5</v>
          </cell>
          <cell r="F925">
            <v>1.88</v>
          </cell>
          <cell r="G925" t="str">
            <v>Осн.</v>
          </cell>
          <cell r="H925" t="str">
            <v>Ростовская</v>
          </cell>
          <cell r="I925">
            <v>44</v>
          </cell>
        </row>
        <row r="926">
          <cell r="C926" t="str">
            <v>RO1997</v>
          </cell>
          <cell r="D926" t="str">
            <v>21:собст. АМС до 10 м на крыше</v>
          </cell>
          <cell r="E926" t="str">
            <v>Ростовская Область, Зерноградский Район, Комсомольский Поселок, Хлеборобов Улица, дом 2</v>
          </cell>
          <cell r="F926">
            <v>2.94</v>
          </cell>
          <cell r="G926" t="str">
            <v>Осн.</v>
          </cell>
          <cell r="H926" t="str">
            <v>Ростовская</v>
          </cell>
          <cell r="I926">
            <v>97</v>
          </cell>
        </row>
        <row r="927">
          <cell r="C927" t="str">
            <v>RO1999</v>
          </cell>
          <cell r="D927" t="str">
            <v>13:собст. железобетонный столб с заглубленным фундаментом</v>
          </cell>
          <cell r="E927" t="str">
            <v>Ростовская Область, Зерноградский Район, Мечетинская Станица, Ленина Улица\дом 43</v>
          </cell>
          <cell r="F927">
            <v>2.76</v>
          </cell>
          <cell r="G927" t="str">
            <v>Осн.</v>
          </cell>
          <cell r="H927" t="str">
            <v>Ростовская</v>
          </cell>
          <cell r="I927">
            <v>88</v>
          </cell>
        </row>
        <row r="928">
          <cell r="C928" t="str">
            <v>RO2007</v>
          </cell>
          <cell r="D928" t="str">
            <v>33:трубостойки, АМС инфраструктурного оператора</v>
          </cell>
          <cell r="E928" t="str">
            <v>Ростовская Область, Ремонтненский Район, Ремонтное Село</v>
          </cell>
          <cell r="F928">
            <v>4.4000000000000004</v>
          </cell>
          <cell r="G928" t="str">
            <v>Осн.</v>
          </cell>
          <cell r="H928" t="str">
            <v>Волгодонская</v>
          </cell>
          <cell r="I928">
            <v>170</v>
          </cell>
        </row>
        <row r="929">
          <cell r="C929" t="str">
            <v>RO2012</v>
          </cell>
          <cell r="D929" t="str">
            <v>13:собст. железобетонный столб с заглубленным фундаментом</v>
          </cell>
          <cell r="E929" t="str">
            <v>Ростовская Область, Донецк Город, Ленина Проспект, дом 29Б</v>
          </cell>
          <cell r="F929">
            <v>1.7</v>
          </cell>
          <cell r="G929" t="str">
            <v>Осн.</v>
          </cell>
          <cell r="H929" t="str">
            <v>Каменская</v>
          </cell>
          <cell r="I929">
            <v>35</v>
          </cell>
        </row>
        <row r="930">
          <cell r="C930" t="str">
            <v>RO2013</v>
          </cell>
          <cell r="D930" t="str">
            <v>31:трубостойки на чужой АМС на земле/крыше</v>
          </cell>
          <cell r="E930" t="str">
            <v>Ростовская Область, Красносулинский Район, Чичерино Поселок, Советская Улица\Ростовская обл., г. Каменск-Шахтинский, мкр Лиховской, в северо-восточном направлении от ПТО по ул. Советская, 102</v>
          </cell>
          <cell r="F930">
            <v>1.62</v>
          </cell>
          <cell r="G930" t="str">
            <v>Осн.</v>
          </cell>
          <cell r="H930" t="str">
            <v>Каменская</v>
          </cell>
          <cell r="I930">
            <v>31</v>
          </cell>
        </row>
        <row r="931">
          <cell r="C931" t="str">
            <v>RO2014</v>
          </cell>
          <cell r="D931" t="str">
            <v>33:трубостойки, АМС инфраструктурного оператора</v>
          </cell>
          <cell r="E931" t="str">
            <v>Ростовская Область, Дубовский Район, Сиротский Хутор</v>
          </cell>
          <cell r="F931">
            <v>3.28</v>
          </cell>
          <cell r="G931" t="str">
            <v>Осн.</v>
          </cell>
          <cell r="H931" t="str">
            <v>Волгодонская</v>
          </cell>
          <cell r="I931">
            <v>114</v>
          </cell>
        </row>
        <row r="932">
          <cell r="C932" t="str">
            <v>RO2017</v>
          </cell>
          <cell r="D932" t="str">
            <v>33:трубостойки, АМС инфраструктурного оператора</v>
          </cell>
          <cell r="E932" t="str">
            <v>Ростовская Область, Дубовский Район, Андреевская Станица</v>
          </cell>
          <cell r="F932">
            <v>2.84</v>
          </cell>
          <cell r="G932" t="str">
            <v>Осн.</v>
          </cell>
          <cell r="H932" t="str">
            <v>Волгодонская</v>
          </cell>
          <cell r="I932">
            <v>92</v>
          </cell>
        </row>
        <row r="933">
          <cell r="C933" t="str">
            <v>RO2020</v>
          </cell>
          <cell r="D933" t="str">
            <v>13:собст. железобетонный столб с заглубленным фундаментом</v>
          </cell>
          <cell r="E933" t="str">
            <v>Ростовская Область, Азов Город, Железнодорожная Улица\ул. Железнодорожная 5А</v>
          </cell>
          <cell r="F933">
            <v>1.8</v>
          </cell>
          <cell r="G933" t="str">
            <v>Осн.</v>
          </cell>
          <cell r="H933" t="str">
            <v>Ростовская</v>
          </cell>
          <cell r="I933">
            <v>40</v>
          </cell>
        </row>
        <row r="934">
          <cell r="C934" t="str">
            <v>RO2034</v>
          </cell>
          <cell r="D934" t="str">
            <v>13:собст. железобетонный столб с заглубленным фундаментом</v>
          </cell>
          <cell r="E934" t="str">
            <v>Ростовская Область, Каменский Район, Вишневецкий Хутор</v>
          </cell>
          <cell r="F934">
            <v>1.48</v>
          </cell>
          <cell r="G934" t="str">
            <v>Осн.</v>
          </cell>
          <cell r="H934" t="str">
            <v>Каменская</v>
          </cell>
          <cell r="I934">
            <v>24</v>
          </cell>
        </row>
        <row r="935">
          <cell r="C935" t="str">
            <v>RO2045</v>
          </cell>
          <cell r="D935" t="str">
            <v>31:трубостойки на чужой АМС на земле/крыше</v>
          </cell>
          <cell r="E935" t="str">
            <v>Ростовская Область, Красносулинский Район, Молодежный Поселок\Территория "ДСК"</v>
          </cell>
          <cell r="F935">
            <v>1.72</v>
          </cell>
          <cell r="G935" t="str">
            <v>Осн.</v>
          </cell>
          <cell r="H935" t="str">
            <v>Каменская</v>
          </cell>
          <cell r="I935">
            <v>36</v>
          </cell>
        </row>
        <row r="936">
          <cell r="C936" t="str">
            <v>RO2053</v>
          </cell>
          <cell r="D936" t="str">
            <v>33:трубостойки, АМС инфраструктурного оператора</v>
          </cell>
          <cell r="E936" t="str">
            <v>Ростовская Область, Родионово-Несветайский Район, Барило-Крепинская Слобода</v>
          </cell>
          <cell r="F936">
            <v>2.48</v>
          </cell>
          <cell r="G936" t="str">
            <v>Осн.</v>
          </cell>
          <cell r="H936" t="str">
            <v>Ростовская</v>
          </cell>
          <cell r="I936">
            <v>74</v>
          </cell>
        </row>
        <row r="937">
          <cell r="C937" t="str">
            <v>RO2055</v>
          </cell>
          <cell r="D937" t="str">
            <v>13:собст. железобетонный столб с заглубленным фундаментом</v>
          </cell>
          <cell r="E937" t="str">
            <v>Ростовская Область, Новочеркасск Город, Спортивная Улица\дом 2, литер А</v>
          </cell>
          <cell r="F937">
            <v>1.92</v>
          </cell>
          <cell r="G937" t="str">
            <v>Осн.</v>
          </cell>
          <cell r="H937" t="str">
            <v>Ростовская</v>
          </cell>
          <cell r="I937">
            <v>46</v>
          </cell>
        </row>
        <row r="938">
          <cell r="C938" t="str">
            <v>RO2056</v>
          </cell>
          <cell r="D938" t="str">
            <v>13:собст. железобетонный столб с заглубленным фундаментом</v>
          </cell>
          <cell r="E938" t="str">
            <v>Ростовская Область, Новочеркасск Город, Энергетическая Улица, дом 13А</v>
          </cell>
          <cell r="F938">
            <v>1.8</v>
          </cell>
          <cell r="G938" t="str">
            <v>Осн.</v>
          </cell>
          <cell r="H938" t="str">
            <v>Ростовская</v>
          </cell>
          <cell r="I938">
            <v>40</v>
          </cell>
        </row>
        <row r="939">
          <cell r="C939" t="str">
            <v>RO2057</v>
          </cell>
          <cell r="D939" t="str">
            <v>31:трубостойки на чужой АМС на земле/крыше</v>
          </cell>
          <cell r="E939" t="str">
            <v>Ростовская Область, Миллеровский Район, Миллерово Город, 14 Съезда ВЛКСМ Улица\дом 55</v>
          </cell>
          <cell r="F939">
            <v>2.7</v>
          </cell>
          <cell r="G939" t="str">
            <v>Осн.</v>
          </cell>
          <cell r="H939" t="str">
            <v>Каменская</v>
          </cell>
          <cell r="I939">
            <v>85</v>
          </cell>
        </row>
        <row r="940">
          <cell r="C940" t="str">
            <v>RO2064</v>
          </cell>
          <cell r="D940" t="str">
            <v>31:трубостойки на чужой АМС на земле/крыше</v>
          </cell>
          <cell r="E940" t="str">
            <v>Ростовская Область, Багаевский Район, Манычская Станица, Советская Улица, дом 58\4</v>
          </cell>
          <cell r="F940">
            <v>2.46</v>
          </cell>
          <cell r="G940" t="str">
            <v>Осн.</v>
          </cell>
          <cell r="H940" t="str">
            <v>Ростовская</v>
          </cell>
          <cell r="I940">
            <v>73</v>
          </cell>
        </row>
        <row r="941">
          <cell r="C941" t="str">
            <v>RO2065</v>
          </cell>
          <cell r="D941" t="str">
            <v>31:трубостойки на чужой АМС на земле/крыше</v>
          </cell>
          <cell r="E941" t="str">
            <v>Ростовская Область, Багаевский Район, Ажинов Хутор, Заярного Улица, дом 2\В</v>
          </cell>
          <cell r="F941">
            <v>2.84</v>
          </cell>
          <cell r="G941" t="str">
            <v>Осн.</v>
          </cell>
          <cell r="H941" t="str">
            <v>Ростовская</v>
          </cell>
          <cell r="I941">
            <v>92</v>
          </cell>
        </row>
        <row r="942">
          <cell r="C942" t="str">
            <v>RO2066</v>
          </cell>
          <cell r="D942" t="str">
            <v>31:трубостойки на чужой АМС на земле/крыше</v>
          </cell>
          <cell r="E942" t="str">
            <v>Ростовская Область, Аксайский Район\1049 км автодороги Москва - Ростов</v>
          </cell>
          <cell r="F942">
            <v>1.56</v>
          </cell>
          <cell r="G942" t="str">
            <v>Осн.</v>
          </cell>
          <cell r="H942" t="str">
            <v>Ростовская</v>
          </cell>
          <cell r="I942">
            <v>28</v>
          </cell>
        </row>
        <row r="943">
          <cell r="C943" t="str">
            <v>RO2067</v>
          </cell>
          <cell r="D943" t="str">
            <v>31:трубостойки на чужой АМС на земле/крыше</v>
          </cell>
          <cell r="E943" t="str">
            <v>Ростовская Область, Новошахтинск Город, Ленина Проспект, дом 61</v>
          </cell>
          <cell r="F943">
            <v>2.62</v>
          </cell>
          <cell r="G943" t="str">
            <v>Осн.</v>
          </cell>
          <cell r="H943" t="str">
            <v>Ростовская</v>
          </cell>
          <cell r="I943">
            <v>81</v>
          </cell>
        </row>
        <row r="944">
          <cell r="C944" t="str">
            <v>RO2068</v>
          </cell>
          <cell r="D944" t="str">
            <v>31:трубостойки на чужой АМС на земле/крыше</v>
          </cell>
          <cell r="E944" t="str">
            <v>Ростовская Область, Новошахтинск Город, Шоссейная Улица\61Г</v>
          </cell>
          <cell r="F944">
            <v>2.7</v>
          </cell>
          <cell r="G944" t="str">
            <v>Осн.</v>
          </cell>
          <cell r="H944" t="str">
            <v>Ростовская</v>
          </cell>
          <cell r="I944">
            <v>85</v>
          </cell>
        </row>
        <row r="945">
          <cell r="C945" t="str">
            <v>RO2069</v>
          </cell>
          <cell r="D945" t="str">
            <v>13:собст. железобетонный столб с заглубленным фундаментом</v>
          </cell>
          <cell r="E945" t="str">
            <v>Ростовская Область, Новошахтинск Город, Советской Конституции Улица, дом 1\корпус Р</v>
          </cell>
          <cell r="F945">
            <v>2.62</v>
          </cell>
          <cell r="G945" t="str">
            <v>Осн.</v>
          </cell>
          <cell r="H945" t="str">
            <v>Ростовская</v>
          </cell>
          <cell r="I945">
            <v>81</v>
          </cell>
        </row>
        <row r="946">
          <cell r="C946" t="str">
            <v>RO2070</v>
          </cell>
          <cell r="D946" t="str">
            <v>31:трубостойки на чужой АМС на земле/крыше</v>
          </cell>
          <cell r="E946" t="str">
            <v>Ростовская Область, Гуково Город, Карла Маркса Улица, дом 130а</v>
          </cell>
          <cell r="F946">
            <v>2.16</v>
          </cell>
          <cell r="G946" t="str">
            <v>Осн.</v>
          </cell>
          <cell r="H946" t="str">
            <v>Каменская</v>
          </cell>
          <cell r="I946">
            <v>58</v>
          </cell>
        </row>
        <row r="947">
          <cell r="C947" t="str">
            <v>RO2071</v>
          </cell>
          <cell r="D947" t="str">
            <v>31:трубостойки на чужой АМС на земле/крыше</v>
          </cell>
          <cell r="E947" t="str">
            <v>Ростовская Область, Каменск-Шахтинский Город, Народная Улица, дом 7\в</v>
          </cell>
          <cell r="F947">
            <v>1.04</v>
          </cell>
          <cell r="G947" t="str">
            <v>Осн.</v>
          </cell>
          <cell r="H947" t="str">
            <v>Каменская</v>
          </cell>
          <cell r="I947">
            <v>2</v>
          </cell>
        </row>
        <row r="948">
          <cell r="C948" t="str">
            <v>RO2072</v>
          </cell>
          <cell r="D948" t="str">
            <v>13:собст. железобетонный столб с заглубленным фундаментом</v>
          </cell>
          <cell r="E948" t="str">
            <v>Ростовская Область, Каменск-Шахтинский Город\в юго-западном направлении от домовладения по ул. Промышленной, 123</v>
          </cell>
          <cell r="F948">
            <v>1.1200000000000001</v>
          </cell>
          <cell r="G948" t="str">
            <v>Осн.</v>
          </cell>
          <cell r="H948" t="str">
            <v>Каменская</v>
          </cell>
          <cell r="I948">
            <v>6</v>
          </cell>
        </row>
        <row r="949">
          <cell r="C949" t="str">
            <v>RO2073</v>
          </cell>
          <cell r="D949" t="str">
            <v>31:трубостойки на чужой АМС на земле/крыше</v>
          </cell>
          <cell r="E949" t="str">
            <v>Ростовская Область, Новошахтинск Город, Трамвайная Улица\дом 3</v>
          </cell>
          <cell r="F949">
            <v>2.68</v>
          </cell>
          <cell r="G949" t="str">
            <v>Осн.</v>
          </cell>
          <cell r="H949" t="str">
            <v>Ростовская</v>
          </cell>
          <cell r="I949">
            <v>84</v>
          </cell>
        </row>
        <row r="950">
          <cell r="C950" t="str">
            <v>RO2074</v>
          </cell>
          <cell r="D950" t="str">
            <v>13:собст. железобетонный столб с заглубленным фундаментом</v>
          </cell>
          <cell r="E950" t="str">
            <v>Ростовская Область, Каменск-Шахтинский Город, Шоссейная Улица, дом 4</v>
          </cell>
          <cell r="F950">
            <v>1.46</v>
          </cell>
          <cell r="G950" t="str">
            <v>Осн.</v>
          </cell>
          <cell r="H950" t="str">
            <v>Каменская</v>
          </cell>
          <cell r="I950">
            <v>23</v>
          </cell>
        </row>
        <row r="951">
          <cell r="C951" t="str">
            <v>RO2075</v>
          </cell>
          <cell r="D951" t="str">
            <v>31:трубостойки на чужой АМС на земле/крыше</v>
          </cell>
          <cell r="E951" t="str">
            <v>Ростовская Область, Зверево Город, Рижская Улица\4А</v>
          </cell>
          <cell r="F951">
            <v>1.82</v>
          </cell>
          <cell r="G951" t="str">
            <v>Осн.</v>
          </cell>
          <cell r="H951" t="str">
            <v>Каменская</v>
          </cell>
          <cell r="I951">
            <v>41</v>
          </cell>
        </row>
        <row r="952">
          <cell r="C952" t="str">
            <v>RO2076</v>
          </cell>
          <cell r="D952" t="str">
            <v>31:трубостойки на чужой АМС на земле/крыше</v>
          </cell>
          <cell r="E952" t="str">
            <v>Ростовская Область, Миллеровский Район, Новоталовка Хутор</v>
          </cell>
          <cell r="F952">
            <v>2.46</v>
          </cell>
          <cell r="G952" t="str">
            <v>Осн.</v>
          </cell>
          <cell r="H952" t="str">
            <v>Каменская</v>
          </cell>
          <cell r="I952">
            <v>73</v>
          </cell>
        </row>
        <row r="953">
          <cell r="C953" t="str">
            <v>RO2078</v>
          </cell>
          <cell r="D953" t="str">
            <v>31:трубостойки на чужой АМС на земле/крыше</v>
          </cell>
          <cell r="E953" t="str">
            <v>Ростовская Область, Миллеровский Район, Миллерово Город, Грибоедова Улица\дом 1, корпус А</v>
          </cell>
          <cell r="F953">
            <v>2.6</v>
          </cell>
          <cell r="G953" t="str">
            <v>Осн.</v>
          </cell>
          <cell r="H953" t="str">
            <v>Каменская</v>
          </cell>
          <cell r="I953">
            <v>80</v>
          </cell>
        </row>
        <row r="954">
          <cell r="C954" t="str">
            <v>RO2079</v>
          </cell>
          <cell r="D954" t="str">
            <v>31:трубостойки на чужой АМС на земле/крыше</v>
          </cell>
          <cell r="E954" t="str">
            <v>Ростовская Область, Тарасовский Район, Дячкино Слобода</v>
          </cell>
          <cell r="F954">
            <v>1.92</v>
          </cell>
          <cell r="G954" t="str">
            <v>Осн.</v>
          </cell>
          <cell r="H954" t="str">
            <v>Каменская</v>
          </cell>
          <cell r="I954">
            <v>46</v>
          </cell>
        </row>
        <row r="955">
          <cell r="C955" t="str">
            <v>RO2080</v>
          </cell>
          <cell r="D955" t="str">
            <v>31:трубостойки на чужой АМС на земле/крыше</v>
          </cell>
          <cell r="E955" t="str">
            <v>Ростовская Область, Красносулинский Район, Пролетарка Хутор</v>
          </cell>
          <cell r="F955">
            <v>2.92</v>
          </cell>
          <cell r="G955" t="str">
            <v>Осн.</v>
          </cell>
          <cell r="H955" t="str">
            <v>Ростовская</v>
          </cell>
          <cell r="I955">
            <v>96</v>
          </cell>
        </row>
        <row r="956">
          <cell r="C956" t="str">
            <v>RO2093</v>
          </cell>
          <cell r="D956" t="str">
            <v>13:собст. железобетонный столб с заглубленным фундаментом</v>
          </cell>
          <cell r="E956" t="str">
            <v>Ростовская Область, Родионово-Несветайский Район, Родионово-Несветайская Слобода, Гвардейцев-Танкистов Улица\26А</v>
          </cell>
          <cell r="F956">
            <v>2.02</v>
          </cell>
          <cell r="G956" t="str">
            <v>Осн.</v>
          </cell>
          <cell r="H956" t="str">
            <v>Ростовская</v>
          </cell>
          <cell r="I956">
            <v>51</v>
          </cell>
        </row>
        <row r="957">
          <cell r="C957" t="str">
            <v>RO2099</v>
          </cell>
          <cell r="D957" t="str">
            <v>31:трубостойки на чужой АМС на земле/крыше</v>
          </cell>
          <cell r="E957" t="str">
            <v>Ростовская Область, Ростов-на-Дону Город, Левобережная Улица\дом № 41 А</v>
          </cell>
          <cell r="F957">
            <v>1.18</v>
          </cell>
          <cell r="G957" t="str">
            <v>Осн.</v>
          </cell>
          <cell r="H957" t="str">
            <v>Ростовская</v>
          </cell>
          <cell r="I957">
            <v>9</v>
          </cell>
        </row>
        <row r="958">
          <cell r="C958" t="str">
            <v>RO2100</v>
          </cell>
          <cell r="D958" t="str">
            <v>13:собст. железобетонный столб с заглубленным фундаментом</v>
          </cell>
          <cell r="E958" t="str">
            <v>Ростовская Область, Азовский Район, Головатовка Село, Тельмана Переулок\пересечение с Луговая улица, 50 м на Север</v>
          </cell>
          <cell r="F958">
            <v>2.14</v>
          </cell>
          <cell r="G958" t="str">
            <v>Осн.</v>
          </cell>
          <cell r="H958" t="str">
            <v>Ростовская</v>
          </cell>
          <cell r="I958">
            <v>57</v>
          </cell>
        </row>
        <row r="959">
          <cell r="C959" t="str">
            <v>RO2101</v>
          </cell>
          <cell r="D959" t="str">
            <v>13:собст. железобетонный столб с заглубленным фундаментом</v>
          </cell>
          <cell r="E959" t="str">
            <v>Ростовская Область, Азовский Район, Семибалки Село, Спортивный Переулок, дом 11</v>
          </cell>
          <cell r="F959">
            <v>2.46</v>
          </cell>
          <cell r="G959" t="str">
            <v>Осн.</v>
          </cell>
          <cell r="H959" t="str">
            <v>Ростовская</v>
          </cell>
          <cell r="I959">
            <v>73</v>
          </cell>
        </row>
        <row r="960">
          <cell r="C960" t="str">
            <v>RO2102</v>
          </cell>
          <cell r="D960" t="str">
            <v>14:собст. пригруз(мачта, башня, столб) с земли</v>
          </cell>
          <cell r="E960" t="str">
            <v>Ростовская Область, Багаевский Район, Багаевская Станица, Красная Улица\2</v>
          </cell>
          <cell r="F960">
            <v>2.68</v>
          </cell>
          <cell r="G960" t="str">
            <v>Осн.</v>
          </cell>
          <cell r="H960" t="str">
            <v>Ростовская</v>
          </cell>
          <cell r="I960">
            <v>84</v>
          </cell>
        </row>
        <row r="961">
          <cell r="C961" t="str">
            <v>RO2104</v>
          </cell>
          <cell r="D961" t="str">
            <v>13:собст. железобетонный столб с заглубленным фундаментом</v>
          </cell>
          <cell r="E961" t="str">
            <v>Ростовская Область, Верхнедонской Район, Казанская Станица, Матросова Улица\22</v>
          </cell>
          <cell r="F961">
            <v>5.6</v>
          </cell>
          <cell r="G961" t="str">
            <v>Осн.</v>
          </cell>
          <cell r="H961" t="str">
            <v>Каменская</v>
          </cell>
          <cell r="I961">
            <v>230</v>
          </cell>
        </row>
        <row r="962">
          <cell r="C962" t="str">
            <v>RO2105</v>
          </cell>
          <cell r="D962" t="str">
            <v>14:собст. пригруз(мачта, башня, столб) с земли</v>
          </cell>
          <cell r="E962" t="str">
            <v>Ростовская Область, Веселовский Район, Веселый Поселок, Октябрьская Улица\178</v>
          </cell>
          <cell r="F962">
            <v>3</v>
          </cell>
          <cell r="G962" t="str">
            <v>Осн.</v>
          </cell>
          <cell r="H962" t="str">
            <v>Ростовская</v>
          </cell>
          <cell r="I962">
            <v>100</v>
          </cell>
        </row>
        <row r="963">
          <cell r="C963" t="str">
            <v>RO2106</v>
          </cell>
          <cell r="D963" t="str">
            <v>13:собст. железобетонный столб с заглубленным фундаментом</v>
          </cell>
          <cell r="E963" t="str">
            <v>Ростовская Область, Каменск-Шахтинский Город, Лиховской Микрорайон, Семенкова Переулок, дом 15</v>
          </cell>
          <cell r="F963">
            <v>1.52</v>
          </cell>
          <cell r="G963" t="str">
            <v>Осн.</v>
          </cell>
          <cell r="H963" t="str">
            <v>Каменская</v>
          </cell>
          <cell r="I963">
            <v>26</v>
          </cell>
        </row>
        <row r="964">
          <cell r="C964" t="str">
            <v>RO2109</v>
          </cell>
          <cell r="D964" t="str">
            <v>13:собст. железобетонный столб с заглубленным фундаментом</v>
          </cell>
          <cell r="E964" t="str">
            <v>Ростовская Область, Зерноградский Район, Мечетинская Станица, Ленина Улица\46</v>
          </cell>
          <cell r="F964">
            <v>2.72</v>
          </cell>
          <cell r="G964" t="str">
            <v>Осн.</v>
          </cell>
          <cell r="H964" t="str">
            <v>Ростовская</v>
          </cell>
          <cell r="I964">
            <v>86</v>
          </cell>
        </row>
        <row r="965">
          <cell r="C965" t="str">
            <v>RO2111</v>
          </cell>
          <cell r="D965" t="str">
            <v>13:собст. железобетонный столб с заглубленным фундаментом</v>
          </cell>
          <cell r="E965" t="str">
            <v>Ростовская Область, Кагальницкий Район, Кагальницкая Станица, Калинина Улица, дом 96</v>
          </cell>
          <cell r="F965">
            <v>2.16</v>
          </cell>
          <cell r="G965" t="str">
            <v>Осн.</v>
          </cell>
          <cell r="H965" t="str">
            <v>Ростовская</v>
          </cell>
          <cell r="I965">
            <v>58</v>
          </cell>
        </row>
        <row r="966">
          <cell r="C966" t="str">
            <v>RO2113</v>
          </cell>
          <cell r="D966" t="str">
            <v>13:собст. железобетонный столб с заглубленным фундаментом</v>
          </cell>
          <cell r="E966" t="str">
            <v>Ростовская Область, Кагальницкий Район, Кировская Станица, Черняховского Улица, дом 75</v>
          </cell>
          <cell r="F966">
            <v>1.9</v>
          </cell>
          <cell r="G966" t="str">
            <v>Осн.</v>
          </cell>
          <cell r="H966" t="str">
            <v>Ростовская</v>
          </cell>
          <cell r="I966">
            <v>45</v>
          </cell>
        </row>
        <row r="967">
          <cell r="C967" t="str">
            <v>RO2114</v>
          </cell>
          <cell r="D967" t="str">
            <v>13:собст. железобетонный столб с заглубленным фундаментом</v>
          </cell>
          <cell r="E967" t="str">
            <v>Ростовская Область, Каменский Район, Глубокий Рабочий поселок, Артема Улица, дом 243</v>
          </cell>
          <cell r="F967">
            <v>1.72</v>
          </cell>
          <cell r="G967" t="str">
            <v>Осн.</v>
          </cell>
          <cell r="H967" t="str">
            <v>Каменская</v>
          </cell>
          <cell r="I967">
            <v>36</v>
          </cell>
        </row>
        <row r="968">
          <cell r="C968" t="str">
            <v>RO2115</v>
          </cell>
          <cell r="D968" t="str">
            <v>13:собст. железобетонный столб с заглубленным фундаментом</v>
          </cell>
          <cell r="E968" t="str">
            <v>Ростовская Область, Кашарский Район, Кашары Слобода, Ленина Улица, дом 56</v>
          </cell>
          <cell r="F968">
            <v>3.56</v>
          </cell>
          <cell r="G968" t="str">
            <v>Осн.</v>
          </cell>
          <cell r="H968" t="str">
            <v>Каменская</v>
          </cell>
          <cell r="I968">
            <v>128</v>
          </cell>
        </row>
        <row r="969">
          <cell r="C969" t="str">
            <v>RO2116</v>
          </cell>
          <cell r="D969" t="str">
            <v>13:собст. железобетонный столб с заглубленным фундаментом</v>
          </cell>
          <cell r="E969" t="str">
            <v>Ростовская Область, Константиновский Район, Константиновск Город, Ленина Улица\46</v>
          </cell>
          <cell r="F969">
            <v>3.2</v>
          </cell>
          <cell r="G969" t="str">
            <v>Осн.</v>
          </cell>
          <cell r="H969" t="str">
            <v>Волгодонская</v>
          </cell>
          <cell r="I969">
            <v>110</v>
          </cell>
        </row>
        <row r="970">
          <cell r="C970" t="str">
            <v>RO2119</v>
          </cell>
          <cell r="D970" t="str">
            <v>14:собст. пригруз(мачта, башня, столб) с земли</v>
          </cell>
          <cell r="E970" t="str">
            <v>Ростовская Область, Миллеровский Район, Миллерово Город, Шолохова Улица\33</v>
          </cell>
          <cell r="F970">
            <v>2.7</v>
          </cell>
          <cell r="G970" t="str">
            <v>Осн.</v>
          </cell>
          <cell r="H970" t="str">
            <v>Каменская</v>
          </cell>
          <cell r="I970">
            <v>85</v>
          </cell>
        </row>
        <row r="971">
          <cell r="C971" t="str">
            <v>RO2120</v>
          </cell>
          <cell r="D971" t="str">
            <v>13:собст. железобетонный столб с заглубленным фундаментом</v>
          </cell>
          <cell r="E971" t="str">
            <v>Ростовская Область, Милютинский Район, Милютинская Станица, Комсомольская Улица, дом 12</v>
          </cell>
          <cell r="F971">
            <v>4.22</v>
          </cell>
          <cell r="G971" t="str">
            <v>Осн.</v>
          </cell>
          <cell r="H971" t="str">
            <v>Каменская</v>
          </cell>
          <cell r="I971">
            <v>161</v>
          </cell>
        </row>
        <row r="972">
          <cell r="C972" t="str">
            <v>RO2121</v>
          </cell>
          <cell r="D972" t="str">
            <v>13:собст. железобетонный столб с заглубленным фундаментом</v>
          </cell>
          <cell r="E972" t="str">
            <v>Ростовская Область, Октябрьский Район, Каменоломни Рабочий поселок, Калинина Улица, дом 10</v>
          </cell>
          <cell r="F972">
            <v>2.66</v>
          </cell>
          <cell r="G972" t="str">
            <v>Осн.</v>
          </cell>
          <cell r="H972" t="str">
            <v>Ростовская</v>
          </cell>
          <cell r="I972">
            <v>83</v>
          </cell>
        </row>
        <row r="973">
          <cell r="C973" t="str">
            <v>RO2127</v>
          </cell>
          <cell r="D973" t="str">
            <v>13:собст. железобетонный столб с заглубленным фундаментом</v>
          </cell>
          <cell r="E973" t="str">
            <v>Ростовская Область, Советский Район, Советская Станица, Орджоникидзе Улица, дом 15</v>
          </cell>
          <cell r="F973">
            <v>6</v>
          </cell>
          <cell r="G973" t="str">
            <v>Осн.</v>
          </cell>
          <cell r="H973" t="str">
            <v>Каменская</v>
          </cell>
          <cell r="I973">
            <v>250</v>
          </cell>
        </row>
        <row r="974">
          <cell r="C974" t="str">
            <v>RO2128</v>
          </cell>
          <cell r="D974" t="str">
            <v>14:собст. пригруз(мачта, башня, столб) с земли</v>
          </cell>
          <cell r="E974" t="str">
            <v>Ростовская Область, Тарасовский Район, Тарасовский Поселок, Лермонтова Улица\50</v>
          </cell>
          <cell r="F974">
            <v>2.1800000000000002</v>
          </cell>
          <cell r="G974" t="str">
            <v>Осн.</v>
          </cell>
          <cell r="H974" t="str">
            <v>Каменская</v>
          </cell>
          <cell r="I974">
            <v>59</v>
          </cell>
        </row>
        <row r="975">
          <cell r="C975" t="str">
            <v>RO2129</v>
          </cell>
          <cell r="D975" t="str">
            <v>13:собст. железобетонный столб с заглубленным фундаментом</v>
          </cell>
          <cell r="E975" t="str">
            <v>Ростовская Область, Тацинский Район, Тацинская Станица, Пролетарская Улица\1</v>
          </cell>
          <cell r="F975">
            <v>3.02</v>
          </cell>
          <cell r="G975" t="str">
            <v>Осн.</v>
          </cell>
          <cell r="H975" t="str">
            <v>Каменская</v>
          </cell>
          <cell r="I975">
            <v>101</v>
          </cell>
        </row>
        <row r="976">
          <cell r="C976" t="str">
            <v>RO2132</v>
          </cell>
          <cell r="D976" t="str">
            <v>13:собст. железобетонный столб с заглубленным фундаментом</v>
          </cell>
          <cell r="E976" t="str">
            <v>Ростовская Область, Цимлянский Район, Цимлянск Город, Пионерский Переулок\20</v>
          </cell>
          <cell r="F976">
            <v>1.52</v>
          </cell>
          <cell r="G976" t="str">
            <v>Осн.</v>
          </cell>
          <cell r="H976" t="str">
            <v>Волгодонская</v>
          </cell>
          <cell r="I976">
            <v>26</v>
          </cell>
        </row>
        <row r="977">
          <cell r="C977" t="str">
            <v>RO2133</v>
          </cell>
          <cell r="D977" t="str">
            <v>13:собст. железобетонный столб с заглубленным фундаментом</v>
          </cell>
          <cell r="E977" t="str">
            <v>Ростовская Область, Чертковский Район, Чертково Поселок, Петровского Улица, дом 18</v>
          </cell>
          <cell r="F977">
            <v>4.4800000000000004</v>
          </cell>
          <cell r="G977" t="str">
            <v>Осн.</v>
          </cell>
          <cell r="H977" t="str">
            <v>Каменская</v>
          </cell>
          <cell r="I977">
            <v>174</v>
          </cell>
        </row>
        <row r="978">
          <cell r="C978" t="str">
            <v>RO2135</v>
          </cell>
          <cell r="D978" t="str">
            <v>13:собст. железобетонный столб с заглубленным фундаментом</v>
          </cell>
          <cell r="E978" t="str">
            <v>Ростовская Область, Тацинский Район, Жирнов Рабочий поселок, Первомайская Улица, дом 13</v>
          </cell>
          <cell r="F978">
            <v>2.9</v>
          </cell>
          <cell r="G978" t="str">
            <v>Осн.</v>
          </cell>
          <cell r="H978" t="str">
            <v>Каменская</v>
          </cell>
          <cell r="I978">
            <v>95</v>
          </cell>
        </row>
        <row r="979">
          <cell r="C979" t="str">
            <v>RO2143</v>
          </cell>
          <cell r="D979" t="str">
            <v>31:трубостойки на чужой АМС на земле/крыше</v>
          </cell>
          <cell r="E979" t="str">
            <v>Ростовская Область, Ростов-на-Дону Город, Нагорная Улица\пер. Ставского, 35</v>
          </cell>
          <cell r="F979">
            <v>1.06</v>
          </cell>
          <cell r="G979" t="str">
            <v>Осн.</v>
          </cell>
          <cell r="H979" t="str">
            <v>Ростовская</v>
          </cell>
          <cell r="I979">
            <v>3</v>
          </cell>
        </row>
        <row r="980">
          <cell r="C980" t="str">
            <v>RO2145</v>
          </cell>
          <cell r="D980" t="str">
            <v>14:собст. пригруз(мачта, башня, столб) с земли</v>
          </cell>
          <cell r="E980" t="str">
            <v>Ростовская Область, Ремонтненский Район, Большое Ремонтное Село</v>
          </cell>
          <cell r="F980">
            <v>4.8</v>
          </cell>
          <cell r="G980" t="str">
            <v>Осн.</v>
          </cell>
          <cell r="H980" t="str">
            <v>Волгодонская</v>
          </cell>
          <cell r="I980">
            <v>190</v>
          </cell>
        </row>
        <row r="981">
          <cell r="C981" t="str">
            <v>RO2148</v>
          </cell>
          <cell r="D981" t="str">
            <v>33:трубостойки, АМС инфраструктурного оператора</v>
          </cell>
          <cell r="E981" t="str">
            <v>Ростовская Область, Родионово-Несветайский Район, Каменный Брод Хутор\Первомайская Улица, д.4</v>
          </cell>
          <cell r="F981">
            <v>1.74</v>
          </cell>
          <cell r="G981" t="str">
            <v>Осн.</v>
          </cell>
          <cell r="H981" t="str">
            <v>Ростовская</v>
          </cell>
          <cell r="I981">
            <v>37</v>
          </cell>
        </row>
        <row r="982">
          <cell r="C982" t="str">
            <v>RO2170</v>
          </cell>
          <cell r="D982" t="str">
            <v>14:собст. пригруз(мачта, башня, столб) с земли</v>
          </cell>
          <cell r="E982" t="str">
            <v>Ростовская Область, Тацинский Район, Верхнеобливский Хутор, Школьная Улица</v>
          </cell>
          <cell r="F982">
            <v>3.6</v>
          </cell>
          <cell r="G982" t="str">
            <v>Осн.</v>
          </cell>
          <cell r="H982" t="str">
            <v>Каменская</v>
          </cell>
          <cell r="I982">
            <v>130</v>
          </cell>
        </row>
        <row r="983">
          <cell r="C983" t="str">
            <v>RO2175</v>
          </cell>
          <cell r="D983" t="str">
            <v>21:собст. АМС до 10 м на крыше</v>
          </cell>
          <cell r="E983" t="str">
            <v>Ростовская Область\Ростов-на-Дону бул.Платова, 7</v>
          </cell>
          <cell r="F983">
            <v>1.1399999999999999</v>
          </cell>
          <cell r="G983" t="str">
            <v>Осн.</v>
          </cell>
          <cell r="H983" t="str">
            <v>Ростовская</v>
          </cell>
          <cell r="I983">
            <v>7</v>
          </cell>
        </row>
        <row r="984">
          <cell r="C984" t="str">
            <v>RO2176</v>
          </cell>
          <cell r="D984" t="str">
            <v>33:трубостойки, АМС инфраструктурного оператора</v>
          </cell>
          <cell r="E984" t="str">
            <v>Ростовская Область, Ростов-на-Дону Город, Армянская Улица\пересечение с ул. Боряна, в районе д.26</v>
          </cell>
          <cell r="F984">
            <v>1.24</v>
          </cell>
          <cell r="G984" t="str">
            <v>Осн.</v>
          </cell>
          <cell r="H984" t="str">
            <v>Ростовская</v>
          </cell>
          <cell r="I984">
            <v>12</v>
          </cell>
        </row>
        <row r="985">
          <cell r="C985" t="str">
            <v>RO2180</v>
          </cell>
          <cell r="D985" t="str">
            <v>31:трубостойки на чужой АМС на земле/крыше</v>
          </cell>
          <cell r="E985" t="str">
            <v>Ростовская Область, Ростов-на-Дону Город, 5-я Престижная Улица, дом 6</v>
          </cell>
          <cell r="F985">
            <v>1.36</v>
          </cell>
          <cell r="G985" t="str">
            <v>Осн.</v>
          </cell>
          <cell r="H985" t="str">
            <v>Ростовская</v>
          </cell>
          <cell r="I985">
            <v>18</v>
          </cell>
        </row>
        <row r="986">
          <cell r="C986" t="str">
            <v>RO2181</v>
          </cell>
          <cell r="D986" t="str">
            <v>33:трубостойки, АМС инфраструктурного оператора</v>
          </cell>
          <cell r="E986" t="str">
            <v>Ростовская Область, Ростов-на-Дону Город, Карбышева Улица\пересечение с ул. 12 Декабря</v>
          </cell>
          <cell r="F986">
            <v>1.2</v>
          </cell>
          <cell r="G986" t="str">
            <v>Осн.</v>
          </cell>
          <cell r="H986" t="str">
            <v>Ростовская</v>
          </cell>
          <cell r="I986">
            <v>10</v>
          </cell>
        </row>
        <row r="987">
          <cell r="C987" t="str">
            <v>RO2183</v>
          </cell>
          <cell r="D987" t="str">
            <v>31:трубостойки на чужой АМС на земле/крыше</v>
          </cell>
          <cell r="E987" t="str">
            <v>Ростовская Область, Ростов-на-Дону Город, Вавилова Улица, дом 90/66</v>
          </cell>
          <cell r="F987">
            <v>1.26</v>
          </cell>
          <cell r="G987" t="str">
            <v>Осн.</v>
          </cell>
          <cell r="H987" t="str">
            <v>Ростовская</v>
          </cell>
          <cell r="I987">
            <v>13</v>
          </cell>
        </row>
        <row r="988">
          <cell r="C988" t="str">
            <v>RO2184</v>
          </cell>
          <cell r="D988" t="str">
            <v>13:собст. железобетонный столб с заглубленным фундаментом</v>
          </cell>
          <cell r="E988" t="str">
            <v>Ростовская Область, Аксайский Район, Янтарный Поселок, Гвоздиковая Улица\стр.38\43</v>
          </cell>
          <cell r="F988">
            <v>1.34</v>
          </cell>
          <cell r="G988" t="str">
            <v>Осн.</v>
          </cell>
          <cell r="H988" t="str">
            <v>Ростовская</v>
          </cell>
          <cell r="I988">
            <v>17</v>
          </cell>
        </row>
        <row r="989">
          <cell r="C989" t="str">
            <v>RO2185</v>
          </cell>
          <cell r="D989" t="str">
            <v>13:собст. железобетонный столб с заглубленным фундаментом</v>
          </cell>
          <cell r="E989" t="str">
            <v>Ростовская Область, Ростов-на-Дону Город, Таганрогская Улица, дом 144\а</v>
          </cell>
          <cell r="F989">
            <v>1.22</v>
          </cell>
          <cell r="G989" t="str">
            <v>Осн.</v>
          </cell>
          <cell r="H989" t="str">
            <v>Ростовская</v>
          </cell>
          <cell r="I989">
            <v>11</v>
          </cell>
        </row>
        <row r="990">
          <cell r="C990" t="str">
            <v>RO2190</v>
          </cell>
          <cell r="D990" t="str">
            <v>13:собст. железобетонный столб с заглубленным фундаментом</v>
          </cell>
          <cell r="E990" t="str">
            <v>Ростовская Область, Новочеркасск Город, Флерова А.Ф. Улица, дом 18</v>
          </cell>
          <cell r="F990">
            <v>2.06</v>
          </cell>
          <cell r="G990" t="str">
            <v>Осн.</v>
          </cell>
          <cell r="H990" t="str">
            <v>Ростовская</v>
          </cell>
          <cell r="I990">
            <v>53</v>
          </cell>
        </row>
        <row r="991">
          <cell r="C991" t="str">
            <v>RO2191</v>
          </cell>
          <cell r="D991" t="str">
            <v>31:трубостойки на чужой АМС на земле/крыше</v>
          </cell>
          <cell r="E991" t="str">
            <v>Ростовская Область, Волгодонск Город, Ореховый Переулок</v>
          </cell>
          <cell r="F991">
            <v>1.1000000000000001</v>
          </cell>
          <cell r="G991" t="str">
            <v>Осн.</v>
          </cell>
          <cell r="H991" t="str">
            <v>Волгодонская</v>
          </cell>
          <cell r="I991">
            <v>5</v>
          </cell>
        </row>
        <row r="992">
          <cell r="C992" t="str">
            <v>RO2192</v>
          </cell>
          <cell r="D992" t="str">
            <v>31:трубостойки на чужой АМС на земле/крыше</v>
          </cell>
          <cell r="E992" t="str">
            <v>Ростовская Область, Волгодонск Город, Степная Улица, дом 59</v>
          </cell>
          <cell r="F992">
            <v>1.04</v>
          </cell>
          <cell r="G992" t="str">
            <v>Осн.</v>
          </cell>
          <cell r="H992" t="str">
            <v>Волгодонская</v>
          </cell>
          <cell r="I992">
            <v>2</v>
          </cell>
        </row>
        <row r="993">
          <cell r="C993" t="str">
            <v>RO2193</v>
          </cell>
          <cell r="D993" t="str">
            <v>31:трубостойки на чужой АМС на земле/крыше</v>
          </cell>
          <cell r="E993" t="str">
            <v>Ростовская Область, Волгодонск Город, Лермонтова Переулок\3А</v>
          </cell>
          <cell r="F993">
            <v>1.04</v>
          </cell>
          <cell r="G993" t="str">
            <v>Осн.</v>
          </cell>
          <cell r="H993" t="str">
            <v>Волгодонская</v>
          </cell>
          <cell r="I993">
            <v>2</v>
          </cell>
        </row>
        <row r="994">
          <cell r="C994" t="str">
            <v>RO2194</v>
          </cell>
          <cell r="D994" t="str">
            <v>21:собст. АМС до 10 м на крыше</v>
          </cell>
          <cell r="E994" t="str">
            <v>Ростовская Область, Волгодонск Город, Энтузиастов Улица, дом 3</v>
          </cell>
          <cell r="F994">
            <v>1.1399999999999999</v>
          </cell>
          <cell r="G994" t="str">
            <v>Осн.</v>
          </cell>
          <cell r="H994" t="str">
            <v>Волгодонская</v>
          </cell>
          <cell r="I994">
            <v>7</v>
          </cell>
        </row>
        <row r="995">
          <cell r="C995" t="str">
            <v>RO2195</v>
          </cell>
          <cell r="D995" t="str">
            <v>21:собст. АМС до 10 м на крыше</v>
          </cell>
          <cell r="E995" t="str">
            <v>Ростовская Область\город Волгодонск, ул. Черникова, 24</v>
          </cell>
          <cell r="F995">
            <v>1.1399999999999999</v>
          </cell>
          <cell r="G995" t="str">
            <v>Осн.</v>
          </cell>
          <cell r="H995" t="str">
            <v>Волгодонская</v>
          </cell>
          <cell r="I995">
            <v>7</v>
          </cell>
        </row>
        <row r="996">
          <cell r="C996" t="str">
            <v>RO2198</v>
          </cell>
          <cell r="D996" t="str">
            <v>13:собст. железобетонный столб с заглубленным фундаментом</v>
          </cell>
          <cell r="E996" t="str">
            <v>Ростовская Область, Донецк Город, Мира Проспект\дом 61\8</v>
          </cell>
          <cell r="F996">
            <v>1.76</v>
          </cell>
          <cell r="G996" t="str">
            <v>Осн.</v>
          </cell>
          <cell r="H996" t="str">
            <v>Каменская</v>
          </cell>
          <cell r="I996">
            <v>38</v>
          </cell>
        </row>
        <row r="997">
          <cell r="C997" t="str">
            <v>RO2199</v>
          </cell>
          <cell r="D997" t="str">
            <v>31:трубостойки на чужой АМС на земле/крыше</v>
          </cell>
          <cell r="E997" t="str">
            <v>Ростовская Область, Белокалитвинский Район, Белая Калитва Город, Вокзальная Улица\31</v>
          </cell>
          <cell r="F997">
            <v>2.16</v>
          </cell>
          <cell r="G997" t="str">
            <v>Осн.</v>
          </cell>
          <cell r="H997" t="str">
            <v>Каменская</v>
          </cell>
          <cell r="I997">
            <v>58</v>
          </cell>
        </row>
        <row r="998">
          <cell r="C998" t="str">
            <v>RO2200</v>
          </cell>
          <cell r="D998" t="str">
            <v>21:собст. АМС до 10 м на крыше</v>
          </cell>
          <cell r="E998" t="str">
            <v>Ростовская Область, Белокалитвинский Район, Белая Калитва Город, Светлая Улица, дом 9</v>
          </cell>
          <cell r="F998">
            <v>2.2000000000000002</v>
          </cell>
          <cell r="G998" t="str">
            <v>Осн.</v>
          </cell>
          <cell r="H998" t="str">
            <v>Каменская</v>
          </cell>
          <cell r="I998">
            <v>60</v>
          </cell>
        </row>
        <row r="999">
          <cell r="C999" t="str">
            <v>RO2201</v>
          </cell>
          <cell r="D999" t="str">
            <v>13:собст. железобетонный столб с заглубленным фундаментом</v>
          </cell>
          <cell r="E999" t="str">
            <v>Ростовская Область, Белокалитвинский Район, Белая Калитва Город, Энгельса Улица\дом 94</v>
          </cell>
          <cell r="F999">
            <v>2.1800000000000002</v>
          </cell>
          <cell r="G999" t="str">
            <v>Осн.</v>
          </cell>
          <cell r="H999" t="str">
            <v>Каменская</v>
          </cell>
          <cell r="I999">
            <v>59</v>
          </cell>
        </row>
        <row r="1000">
          <cell r="C1000" t="str">
            <v>RO2202</v>
          </cell>
          <cell r="D1000" t="str">
            <v>13:собст. железобетонный столб с заглубленным фундаментом</v>
          </cell>
          <cell r="E1000" t="str">
            <v>Ростовская Область, Белокалитвинский Район, Белая Калитва Город, Заводская Улица\14Б</v>
          </cell>
          <cell r="F1000">
            <v>2.16</v>
          </cell>
          <cell r="G1000" t="str">
            <v>Осн.</v>
          </cell>
          <cell r="H1000" t="str">
            <v>Каменская</v>
          </cell>
          <cell r="I1000">
            <v>58</v>
          </cell>
        </row>
        <row r="1001">
          <cell r="C1001" t="str">
            <v>RO2203</v>
          </cell>
          <cell r="D1001" t="str">
            <v>13:собст. железобетонный столб с заглубленным фундаментом</v>
          </cell>
          <cell r="E1001" t="str">
            <v>Ростовская Область, Красносулинский Район, Красный Сулин Город, Галатова Улица, дом 95</v>
          </cell>
          <cell r="F1001">
            <v>2.2799999999999998</v>
          </cell>
          <cell r="G1001" t="str">
            <v>Осн.</v>
          </cell>
          <cell r="H1001" t="str">
            <v>Ростовская</v>
          </cell>
          <cell r="I1001">
            <v>64</v>
          </cell>
        </row>
        <row r="1002">
          <cell r="C1002" t="str">
            <v>RO2204</v>
          </cell>
          <cell r="D1002" t="str">
            <v>31:трубостойки на чужой АМС на земле/крыше</v>
          </cell>
          <cell r="E1002" t="str">
            <v>Ростовская Область, Миллеровский Район, Миллерово Город, Ленина Улица\20</v>
          </cell>
          <cell r="F1002">
            <v>2.64</v>
          </cell>
          <cell r="G1002" t="str">
            <v>Осн.</v>
          </cell>
          <cell r="H1002" t="str">
            <v>Каменская</v>
          </cell>
          <cell r="I1002">
            <v>82</v>
          </cell>
        </row>
        <row r="1003">
          <cell r="C1003" t="str">
            <v>RO2205</v>
          </cell>
          <cell r="D1003" t="str">
            <v>31:трубостойки на чужой АМС на земле/крыше</v>
          </cell>
          <cell r="E1003" t="str">
            <v>Ростовская Область, Миллеровский Район, Миллерово Город, 3 Интернационала Улица\31-63</v>
          </cell>
          <cell r="F1003">
            <v>2.64</v>
          </cell>
          <cell r="G1003" t="str">
            <v>Осн.</v>
          </cell>
          <cell r="H1003" t="str">
            <v>Каменская</v>
          </cell>
          <cell r="I1003">
            <v>82</v>
          </cell>
        </row>
        <row r="1004">
          <cell r="C1004" t="str">
            <v>RO2206</v>
          </cell>
          <cell r="D1004" t="str">
            <v>31:трубостойки на чужой АМС на земле/крыше</v>
          </cell>
          <cell r="E1004" t="str">
            <v>Ростовская Область, Морозовский Район, Морозовск Город, Островского Переулок, дом 1\е</v>
          </cell>
          <cell r="F1004">
            <v>3</v>
          </cell>
          <cell r="G1004" t="str">
            <v>Осн.</v>
          </cell>
          <cell r="H1004" t="str">
            <v>Волгодонская</v>
          </cell>
          <cell r="I1004">
            <v>100</v>
          </cell>
        </row>
        <row r="1005">
          <cell r="C1005" t="str">
            <v>RO2207</v>
          </cell>
          <cell r="D1005" t="str">
            <v>13:собст. железобетонный столб с заглубленным фундаментом</v>
          </cell>
          <cell r="E1005" t="str">
            <v>Ростовская Область, Морозовский Район, Морозовск Город, Октябрьская Улица, дом 53\а</v>
          </cell>
          <cell r="F1005">
            <v>3</v>
          </cell>
          <cell r="G1005" t="str">
            <v>Осн.</v>
          </cell>
          <cell r="H1005" t="str">
            <v>Волгодонская</v>
          </cell>
          <cell r="I1005">
            <v>100</v>
          </cell>
        </row>
        <row r="1006">
          <cell r="C1006" t="str">
            <v>RO2208</v>
          </cell>
          <cell r="D1006" t="str">
            <v>31:трубостойки на чужой АМС на земле/крыше</v>
          </cell>
          <cell r="E1006" t="str">
            <v>Ростовская Область, Зерноградский Район, Зерноград Город\Колодина улица, 31</v>
          </cell>
          <cell r="F1006">
            <v>2.52</v>
          </cell>
          <cell r="G1006" t="str">
            <v>Осн.</v>
          </cell>
          <cell r="H1006" t="str">
            <v>Ростовская</v>
          </cell>
          <cell r="I1006">
            <v>76</v>
          </cell>
        </row>
        <row r="1007">
          <cell r="C1007" t="str">
            <v>RO2209</v>
          </cell>
          <cell r="D1007" t="str">
            <v>31:трубостойки на чужой АМС на земле/крыше</v>
          </cell>
          <cell r="E1007" t="str">
            <v>Ростовская Область, Зверево Город, Строительная Улица\19</v>
          </cell>
          <cell r="F1007">
            <v>1.88</v>
          </cell>
          <cell r="G1007" t="str">
            <v>Осн.</v>
          </cell>
          <cell r="H1007" t="str">
            <v>Каменская</v>
          </cell>
          <cell r="I1007">
            <v>44</v>
          </cell>
        </row>
        <row r="1008">
          <cell r="C1008" t="str">
            <v>RO2211</v>
          </cell>
          <cell r="D1008" t="str">
            <v>31:трубостойки на чужой АМС на земле/крыше</v>
          </cell>
          <cell r="E1008" t="str">
            <v>Ростовская Область, Константиновский Район, Константиновск Город, Пролетарская Улица\Коммунистическая Улица, 199</v>
          </cell>
          <cell r="F1008">
            <v>3</v>
          </cell>
          <cell r="G1008" t="str">
            <v>Осн.</v>
          </cell>
          <cell r="H1008" t="str">
            <v>Волгодонская</v>
          </cell>
          <cell r="I1008">
            <v>100</v>
          </cell>
        </row>
        <row r="1009">
          <cell r="C1009" t="str">
            <v>RO2212</v>
          </cell>
          <cell r="D1009" t="str">
            <v>13:собст. железобетонный столб с заглубленным фундаментом</v>
          </cell>
          <cell r="E1009" t="str">
            <v>Ростовская Область, Константиновский Район, Константиновск Город, Зеленая Улица, дом 2\Ж</v>
          </cell>
          <cell r="F1009">
            <v>3.1</v>
          </cell>
          <cell r="G1009" t="str">
            <v>Осн.</v>
          </cell>
          <cell r="H1009" t="str">
            <v>Волгодонская</v>
          </cell>
          <cell r="I1009">
            <v>105</v>
          </cell>
        </row>
        <row r="1010">
          <cell r="C1010" t="str">
            <v>RO2213</v>
          </cell>
          <cell r="D1010" t="str">
            <v>31:трубостойки на чужой АМС на земле/крыше</v>
          </cell>
          <cell r="E1010" t="str">
            <v>Ростовская Область, Цимлянский Район, Цимлянск Город, Некрасова Улица\11а</v>
          </cell>
          <cell r="F1010">
            <v>1.38</v>
          </cell>
          <cell r="G1010" t="str">
            <v>Осн.</v>
          </cell>
          <cell r="H1010" t="str">
            <v>Волгодонская</v>
          </cell>
          <cell r="I1010">
            <v>19</v>
          </cell>
        </row>
        <row r="1011">
          <cell r="C1011" t="str">
            <v>RO2215</v>
          </cell>
          <cell r="D1011" t="str">
            <v>13:собст. железобетонный столб с заглубленным фундаментом</v>
          </cell>
          <cell r="E1011" t="str">
            <v>Ростовская Область, Белокалитвинский Район, Белая Калитва Город, Щаденко Улица, дом 9</v>
          </cell>
          <cell r="F1011">
            <v>2.08</v>
          </cell>
          <cell r="G1011" t="str">
            <v>Осн.</v>
          </cell>
          <cell r="H1011" t="str">
            <v>Каменская</v>
          </cell>
          <cell r="I1011">
            <v>54</v>
          </cell>
        </row>
        <row r="1012">
          <cell r="C1012" t="str">
            <v>RO2217</v>
          </cell>
          <cell r="D1012" t="str">
            <v>33:трубостойки, АМС инфраструктурного оператора</v>
          </cell>
          <cell r="E1012" t="str">
            <v>Ростовская Область, Ростов-на-Дону Город, Украинская Улица\рядом с д.63</v>
          </cell>
          <cell r="F1012">
            <v>1.22</v>
          </cell>
          <cell r="G1012" t="str">
            <v>Осн.</v>
          </cell>
          <cell r="H1012" t="str">
            <v>Ростовская</v>
          </cell>
          <cell r="I1012">
            <v>11</v>
          </cell>
        </row>
        <row r="1013">
          <cell r="C1013" t="str">
            <v>RO2218</v>
          </cell>
          <cell r="D1013" t="str">
            <v>31:трубостойки на чужой АМС на земле/крыше</v>
          </cell>
          <cell r="E1013" t="str">
            <v>Ростовская Область, Аксайский Район, Щепкин Поселок, Содружество Сад\Улица Родниковая 2380 СНТ Содружество</v>
          </cell>
          <cell r="F1013">
            <v>1.6</v>
          </cell>
          <cell r="G1013" t="str">
            <v>Осн.</v>
          </cell>
          <cell r="H1013" t="str">
            <v>Ростовская</v>
          </cell>
          <cell r="I1013">
            <v>30</v>
          </cell>
        </row>
        <row r="1014">
          <cell r="C1014" t="str">
            <v>RO2219</v>
          </cell>
          <cell r="D1014" t="str">
            <v>13:собст. железобетонный столб с заглубленным фундаментом</v>
          </cell>
          <cell r="E1014" t="str">
            <v>Ростовская Область, Кагальницкий Район, Новобатайск Село, Илларионова Улица\40-а</v>
          </cell>
          <cell r="F1014">
            <v>1.92</v>
          </cell>
          <cell r="G1014" t="str">
            <v>Осн.</v>
          </cell>
          <cell r="H1014" t="str">
            <v>Ростовская</v>
          </cell>
          <cell r="I1014">
            <v>46</v>
          </cell>
        </row>
        <row r="1015">
          <cell r="C1015" t="str">
            <v>RO2220</v>
          </cell>
          <cell r="D1015" t="str">
            <v>13:собст. железобетонный столб с заглубленным фундаментом</v>
          </cell>
          <cell r="E1015" t="str">
            <v>Ростовская Область, Октябрьский Район, Персиановский Поселок, Кадамовская Улица\14а</v>
          </cell>
          <cell r="F1015">
            <v>2.2000000000000002</v>
          </cell>
          <cell r="G1015" t="str">
            <v>Осн.</v>
          </cell>
          <cell r="H1015" t="str">
            <v>Ростовская</v>
          </cell>
          <cell r="I1015">
            <v>60</v>
          </cell>
        </row>
        <row r="1016">
          <cell r="C1016" t="str">
            <v>RO2221</v>
          </cell>
          <cell r="D1016" t="str">
            <v>15:собст. башня с заглубленным фундаментом до 61м</v>
          </cell>
          <cell r="E1016" t="str">
            <v>Ростовская Область, Кашарский Район, Верхнегреково Село</v>
          </cell>
          <cell r="F1016">
            <v>4.2</v>
          </cell>
          <cell r="G1016" t="str">
            <v>Осн.</v>
          </cell>
          <cell r="H1016" t="str">
            <v>Каменская</v>
          </cell>
          <cell r="I1016">
            <v>160</v>
          </cell>
        </row>
        <row r="1017">
          <cell r="C1017" t="str">
            <v>RO2224</v>
          </cell>
          <cell r="D1017" t="str">
            <v>13:собст. железобетонный столб с заглубленным фундаментом</v>
          </cell>
          <cell r="E1017" t="str">
            <v>Ростовская Область, Миллеровский Район\в границах кадастрового квартала 61:22:0600029</v>
          </cell>
          <cell r="F1017">
            <v>2.88</v>
          </cell>
          <cell r="G1017" t="str">
            <v>Осн.</v>
          </cell>
          <cell r="H1017" t="str">
            <v>Каменская</v>
          </cell>
          <cell r="I1017">
            <v>94</v>
          </cell>
        </row>
        <row r="1018">
          <cell r="C1018" t="str">
            <v>RO2225</v>
          </cell>
          <cell r="D1018" t="str">
            <v>33:трубостойки, АМС инфраструктурного оператора</v>
          </cell>
          <cell r="E1018" t="str">
            <v>Ростовская Область, Батайск Город\ДНТ "Дружба"</v>
          </cell>
          <cell r="F1018">
            <v>1.44</v>
          </cell>
          <cell r="G1018" t="str">
            <v>Осн.</v>
          </cell>
          <cell r="H1018" t="str">
            <v>Ростовская</v>
          </cell>
          <cell r="I1018">
            <v>22</v>
          </cell>
        </row>
        <row r="1019">
          <cell r="C1019" t="str">
            <v>RO2234</v>
          </cell>
          <cell r="D1019" t="str">
            <v>13:собст. железобетонный столб с заглубленным фундаментом</v>
          </cell>
          <cell r="E1019" t="str">
            <v>Ростовская Область, Ростов-на-Дону Город\СТ "Урожай" (10-03)</v>
          </cell>
          <cell r="F1019">
            <v>1.36</v>
          </cell>
          <cell r="G1019" t="str">
            <v>Осн.</v>
          </cell>
          <cell r="H1019" t="str">
            <v>Ростовская</v>
          </cell>
          <cell r="I1019">
            <v>18</v>
          </cell>
        </row>
        <row r="1020">
          <cell r="C1020" t="str">
            <v>RO2238</v>
          </cell>
          <cell r="D1020" t="str">
            <v>33:трубостойки, АМС инфраструктурного оператора</v>
          </cell>
          <cell r="E1020" t="str">
            <v>Ростовская Область, Новочеркасск Город, Пушкинская Улица\д.94\23</v>
          </cell>
          <cell r="F1020">
            <v>1.84</v>
          </cell>
          <cell r="G1020" t="str">
            <v>Осн.</v>
          </cell>
          <cell r="H1020" t="str">
            <v>Ростовская</v>
          </cell>
          <cell r="I1020">
            <v>42</v>
          </cell>
        </row>
        <row r="1021">
          <cell r="C1021" t="str">
            <v>RO2239</v>
          </cell>
          <cell r="D1021" t="str">
            <v>31:трубостойки на чужой АМС на земле/крыше</v>
          </cell>
          <cell r="E1021" t="str">
            <v>Ростовская Область, Ростов-на-Дону Город, Измаильский Переулок</v>
          </cell>
          <cell r="F1021">
            <v>1.2</v>
          </cell>
          <cell r="G1021" t="str">
            <v>Осн.</v>
          </cell>
          <cell r="H1021" t="str">
            <v>Ростовская</v>
          </cell>
          <cell r="I1021">
            <v>10</v>
          </cell>
        </row>
        <row r="1022">
          <cell r="C1022" t="str">
            <v>RO2240</v>
          </cell>
          <cell r="D1022" t="str">
            <v>31:трубостойки на чужой АМС на земле/крыше</v>
          </cell>
          <cell r="E1022" t="str">
            <v>Ростовская Область, Батайск Город, Балашова Улица, дом 51</v>
          </cell>
          <cell r="F1022">
            <v>1.38</v>
          </cell>
          <cell r="G1022" t="str">
            <v>Осн.</v>
          </cell>
          <cell r="H1022" t="str">
            <v>Ростовская</v>
          </cell>
          <cell r="I1022">
            <v>19</v>
          </cell>
        </row>
        <row r="1023">
          <cell r="C1023" t="str">
            <v>RO2242</v>
          </cell>
          <cell r="D1023" t="str">
            <v>33:трубостойки, АМС инфраструктурного оператора</v>
          </cell>
          <cell r="E1023" t="str">
            <v>Ростовская Область, Азовский Район, Победа Хутор, Мостовая Улица\примерно на 40 м на северо-восток от АЗС</v>
          </cell>
          <cell r="F1023">
            <v>2.1</v>
          </cell>
          <cell r="G1023" t="str">
            <v>Осн.</v>
          </cell>
          <cell r="H1023" t="str">
            <v>Ростовская</v>
          </cell>
          <cell r="I1023">
            <v>55</v>
          </cell>
        </row>
        <row r="1024">
          <cell r="C1024" t="str">
            <v>RO2243</v>
          </cell>
          <cell r="D1024" t="str">
            <v>21:собст. АМС до 10 м на крыше</v>
          </cell>
          <cell r="E1024" t="str">
            <v>Ростовская Область, Ростов-на-Дону Город, Миронова Улица, дом 12/7</v>
          </cell>
          <cell r="F1024">
            <v>1.24</v>
          </cell>
          <cell r="G1024" t="str">
            <v>Осн.</v>
          </cell>
          <cell r="H1024" t="str">
            <v>Ростовская</v>
          </cell>
          <cell r="I1024">
            <v>12</v>
          </cell>
        </row>
        <row r="1025">
          <cell r="C1025" t="str">
            <v>RO2244</v>
          </cell>
          <cell r="D1025" t="str">
            <v>13:собст. железобетонный столб с заглубленным фундаментом</v>
          </cell>
          <cell r="E1025" t="str">
            <v>Ростовская Область, Красносулинский Район, Закордонный Поселок, Железнодорожная Улица, дом 38</v>
          </cell>
          <cell r="F1025">
            <v>3.04</v>
          </cell>
          <cell r="G1025" t="str">
            <v>Осн.</v>
          </cell>
          <cell r="H1025" t="str">
            <v>Ростовская</v>
          </cell>
          <cell r="I1025">
            <v>102</v>
          </cell>
        </row>
        <row r="1026">
          <cell r="C1026" t="str">
            <v>RO2256</v>
          </cell>
          <cell r="D1026" t="str">
            <v>69:тип 69 RANsharing</v>
          </cell>
          <cell r="E1026" t="str">
            <v>Ростовская Область, Зерноградский Район, Каменный Хутор, Новая Улица\в 50 м южнее перекрестка с ул. Мичурина</v>
          </cell>
          <cell r="F1026">
            <v>1.06</v>
          </cell>
          <cell r="G1026" t="str">
            <v>Осн.</v>
          </cell>
          <cell r="H1026" t="str">
            <v>Ростовская</v>
          </cell>
          <cell r="I1026">
            <v>77</v>
          </cell>
        </row>
        <row r="1027">
          <cell r="C1027" t="str">
            <v>RO2257</v>
          </cell>
          <cell r="D1027" t="str">
            <v>13:собст. железобетонный столб с заглубленным фундаментом</v>
          </cell>
          <cell r="E1027" t="str">
            <v>Ростовская Область, Ростов-на-Дону Город, Совхозная Улица\дом 42</v>
          </cell>
          <cell r="F1027">
            <v>1.36</v>
          </cell>
          <cell r="G1027" t="str">
            <v>Осн.</v>
          </cell>
          <cell r="H1027" t="str">
            <v>Ростовская</v>
          </cell>
          <cell r="I1027">
            <v>18</v>
          </cell>
        </row>
        <row r="1028">
          <cell r="C1028" t="str">
            <v>RO2259</v>
          </cell>
          <cell r="D1028" t="str">
            <v>69:тип 69 RANsharing</v>
          </cell>
          <cell r="E1028" t="str">
            <v>Ростовская Область, Зимовниковский Район, Верхоломов Хутор</v>
          </cell>
          <cell r="F1028">
            <v>2.74</v>
          </cell>
          <cell r="G1028" t="str">
            <v>Осн.</v>
          </cell>
          <cell r="H1028" t="str">
            <v>Волгодонская</v>
          </cell>
          <cell r="I1028">
            <v>87</v>
          </cell>
        </row>
        <row r="1029">
          <cell r="C1029" t="str">
            <v>RO2261</v>
          </cell>
          <cell r="D1029" t="str">
            <v>69:тип 69 RANsharing</v>
          </cell>
          <cell r="E1029" t="str">
            <v>Ростовская Область, Зимовниковский Район, Харьковский Хутор, Центральный Переулок</v>
          </cell>
          <cell r="F1029">
            <v>2.2200000000000002</v>
          </cell>
          <cell r="G1029" t="str">
            <v>Осн.</v>
          </cell>
          <cell r="H1029" t="str">
            <v>Волгодонская</v>
          </cell>
          <cell r="I1029">
            <v>61</v>
          </cell>
        </row>
        <row r="1030">
          <cell r="C1030" t="str">
            <v>RO2262</v>
          </cell>
          <cell r="D1030" t="str">
            <v>69:тип 69 RANsharing</v>
          </cell>
          <cell r="E1030" t="str">
            <v>Ростовская Область, Зимовниковский Район, Майкопский Хутор, Содружества Улица\75 м южнее Мемориала Воинам, павшим в ВОВ</v>
          </cell>
          <cell r="F1030">
            <v>2.3199999999999998</v>
          </cell>
          <cell r="G1030" t="str">
            <v>Осн.</v>
          </cell>
          <cell r="H1030" t="str">
            <v>Волгодонская</v>
          </cell>
          <cell r="I1030">
            <v>66</v>
          </cell>
        </row>
        <row r="1031">
          <cell r="C1031" t="str">
            <v>RO2265</v>
          </cell>
          <cell r="D1031" t="str">
            <v>69:тип 69 RANsharing</v>
          </cell>
          <cell r="E1031" t="str">
            <v>Ростовская Область, Константиновский Район, Ермилов Хутор\угол ул. Вокзальная, ул. Школьная</v>
          </cell>
          <cell r="F1031">
            <v>2.86</v>
          </cell>
          <cell r="G1031" t="str">
            <v>Осн.</v>
          </cell>
          <cell r="H1031" t="str">
            <v>Волгодонская</v>
          </cell>
          <cell r="I1031">
            <v>93</v>
          </cell>
        </row>
        <row r="1032">
          <cell r="C1032" t="str">
            <v>RO2266</v>
          </cell>
          <cell r="D1032" t="str">
            <v>69:тип 69 RANsharing</v>
          </cell>
          <cell r="E1032" t="str">
            <v>Ростовская Область, Константиновский Район, Крюков Хутор, Дружбы Переулок\70 м северо восточнее кладбища</v>
          </cell>
          <cell r="F1032">
            <v>3.66</v>
          </cell>
          <cell r="G1032" t="str">
            <v>Осн.</v>
          </cell>
          <cell r="H1032" t="str">
            <v>Волгодонская</v>
          </cell>
          <cell r="I1032">
            <v>133</v>
          </cell>
        </row>
        <row r="1033">
          <cell r="C1033" t="str">
            <v>RO2272</v>
          </cell>
          <cell r="D1033" t="str">
            <v>69:тип 69 RANsharing</v>
          </cell>
          <cell r="E1033" t="str">
            <v>Ростовская Область, Милютинский Район, Нижнепетровский Хутор, Мира Улица\Пустырь в пределах 100 м. южнее от ул.Мира</v>
          </cell>
          <cell r="F1033">
            <v>4.6399999999999997</v>
          </cell>
          <cell r="G1033" t="str">
            <v>Осн.</v>
          </cell>
          <cell r="H1033" t="str">
            <v>Каменская</v>
          </cell>
          <cell r="I1033">
            <v>182</v>
          </cell>
        </row>
        <row r="1034">
          <cell r="C1034" t="str">
            <v>RO2273</v>
          </cell>
          <cell r="D1034" t="str">
            <v>69:тип 69 RANsharing</v>
          </cell>
          <cell r="E1034" t="str">
            <v>Ростовская Область, Милютинский Район, Николовка Хутор, Центральная Улица, дом 9\пустырь в пределах 200 м на юго-восток</v>
          </cell>
          <cell r="F1034">
            <v>4.9000000000000004</v>
          </cell>
          <cell r="G1034" t="str">
            <v>Осн.</v>
          </cell>
          <cell r="H1034" t="str">
            <v>Каменская</v>
          </cell>
          <cell r="I1034">
            <v>195</v>
          </cell>
        </row>
        <row r="1035">
          <cell r="C1035" t="str">
            <v>RO2274</v>
          </cell>
          <cell r="D1035" t="str">
            <v>13:собст. железобетонный столб с заглубленным фундаментом</v>
          </cell>
          <cell r="E1035" t="str">
            <v>Ростовская Область, Кагальницкий Район, Двуречье Поселок, Первомайская Улица</v>
          </cell>
          <cell r="F1035">
            <v>2.42</v>
          </cell>
          <cell r="G1035" t="str">
            <v>Осн.</v>
          </cell>
          <cell r="H1035" t="str">
            <v>Ростовская</v>
          </cell>
          <cell r="I1035">
            <v>71</v>
          </cell>
        </row>
        <row r="1036">
          <cell r="C1036" t="str">
            <v>RO2276</v>
          </cell>
          <cell r="D1036" t="str">
            <v>69:тип 69 RANsharing</v>
          </cell>
          <cell r="E1036" t="str">
            <v>Ростовская Область, Морозовский Район, Трофименков Хутор, Садовая Улица</v>
          </cell>
          <cell r="F1036">
            <v>3.3</v>
          </cell>
          <cell r="G1036" t="str">
            <v>Осн.</v>
          </cell>
          <cell r="H1036" t="str">
            <v>Волгодонская</v>
          </cell>
          <cell r="I1036">
            <v>115</v>
          </cell>
        </row>
        <row r="1037">
          <cell r="C1037" t="str">
            <v>RO2278</v>
          </cell>
          <cell r="D1037" t="str">
            <v>13:собст. железобетонный столб с заглубленным фундаментом</v>
          </cell>
          <cell r="E1037" t="str">
            <v>Ростовская Область, Зимовниковский Район, Николаевский Хутор, Мира Улица</v>
          </cell>
          <cell r="F1037">
            <v>2.2200000000000002</v>
          </cell>
          <cell r="G1037" t="str">
            <v>Осн.</v>
          </cell>
          <cell r="H1037" t="str">
            <v>Волгодонская</v>
          </cell>
          <cell r="I1037">
            <v>61</v>
          </cell>
        </row>
        <row r="1038">
          <cell r="C1038" t="str">
            <v>RO2281</v>
          </cell>
          <cell r="D1038" t="str">
            <v>43:железобетонный столб - проект УЦН</v>
          </cell>
          <cell r="E1038" t="str">
            <v>Ростовская Область, Морозовский Район, Чертковская Станица, Лазоревая Улица\100м на юг от ФАП</v>
          </cell>
          <cell r="F1038">
            <v>2.04</v>
          </cell>
          <cell r="G1038" t="str">
            <v>Осн.</v>
          </cell>
          <cell r="H1038" t="str">
            <v>Волгодонская</v>
          </cell>
          <cell r="I1038">
            <v>52</v>
          </cell>
        </row>
        <row r="1039">
          <cell r="C1039" t="str">
            <v>RO2283</v>
          </cell>
          <cell r="D1039" t="str">
            <v>69:тип 69 RANsharing</v>
          </cell>
          <cell r="E1039" t="str">
            <v>Ростовская Область, Морозовский Район, Беляев Хутор, Мира Улица</v>
          </cell>
          <cell r="F1039">
            <v>2.68</v>
          </cell>
          <cell r="G1039" t="str">
            <v>Осн.</v>
          </cell>
          <cell r="H1039" t="str">
            <v>Волгодонская</v>
          </cell>
          <cell r="I1039">
            <v>84</v>
          </cell>
        </row>
        <row r="1040">
          <cell r="C1040" t="str">
            <v>RO2285</v>
          </cell>
          <cell r="D1040" t="str">
            <v>69:тип 69 RANsharing</v>
          </cell>
          <cell r="E1040" t="str">
            <v>Ростовская Область, Морозовский Район, Донской Хутор\83 м на северо-восток от пересечения улиц Школьной и Садовой</v>
          </cell>
          <cell r="F1040">
            <v>3.5</v>
          </cell>
          <cell r="G1040" t="str">
            <v>Осн.</v>
          </cell>
          <cell r="H1040" t="str">
            <v>Волгодонская</v>
          </cell>
          <cell r="I1040">
            <v>125</v>
          </cell>
        </row>
        <row r="1041">
          <cell r="C1041" t="str">
            <v>RO2289</v>
          </cell>
          <cell r="D1041" t="str">
            <v>13:собст. железобетонный столб с заглубленным фундаментом</v>
          </cell>
          <cell r="E1041" t="str">
            <v>Ростовская Область, Красносулинский Район, Красный Сулин Город, Заводская Улица\кадастровый номер земельного участка: 61:53:0000000:9566</v>
          </cell>
          <cell r="F1041">
            <v>3</v>
          </cell>
          <cell r="G1041" t="str">
            <v>Осн.</v>
          </cell>
          <cell r="H1041" t="str">
            <v>Ростовская</v>
          </cell>
          <cell r="I1041">
            <v>100</v>
          </cell>
        </row>
        <row r="1042">
          <cell r="C1042" t="str">
            <v>RO2291</v>
          </cell>
          <cell r="D1042" t="str">
            <v>69:тип 69 RANsharing</v>
          </cell>
          <cell r="E1042" t="str">
            <v>Ростовская Область, Обливский Район, Кривов Хутор\110 м на север от школы по ул. Центральная, 35</v>
          </cell>
          <cell r="F1042">
            <v>5.36</v>
          </cell>
          <cell r="G1042" t="str">
            <v>Осн.</v>
          </cell>
          <cell r="H1042" t="str">
            <v>Волгодонская</v>
          </cell>
          <cell r="I1042">
            <v>218</v>
          </cell>
        </row>
        <row r="1043">
          <cell r="C1043" t="str">
            <v>RO2294</v>
          </cell>
          <cell r="D1043" t="str">
            <v>69:тип 69 RANsharing</v>
          </cell>
          <cell r="E1043" t="str">
            <v>Ростовская Область, Обливский Район, Караичев Хутор, Центральная Улица\75 м юго западнее от Мемориала Павшим в ВОВ</v>
          </cell>
          <cell r="F1043">
            <v>5.26</v>
          </cell>
          <cell r="G1043" t="str">
            <v>Осн.</v>
          </cell>
          <cell r="H1043" t="str">
            <v>Волгодонская</v>
          </cell>
          <cell r="I1043">
            <v>213</v>
          </cell>
        </row>
        <row r="1044">
          <cell r="C1044" t="str">
            <v>RO2296</v>
          </cell>
          <cell r="D1044" t="str">
            <v>31:трубостойки на чужой АМС на земле/крыше</v>
          </cell>
          <cell r="E1044" t="str">
            <v>Ростовская Область, Красносулинский Район, Розет Поселок</v>
          </cell>
          <cell r="F1044">
            <v>1.58</v>
          </cell>
          <cell r="G1044" t="str">
            <v>Осн.</v>
          </cell>
          <cell r="H1044" t="str">
            <v>Каменская</v>
          </cell>
          <cell r="I1044">
            <v>29</v>
          </cell>
        </row>
        <row r="1045">
          <cell r="C1045" t="str">
            <v>RO2299</v>
          </cell>
          <cell r="D1045" t="str">
            <v>69:тип 69 RANsharing</v>
          </cell>
          <cell r="E1045" t="str">
            <v>Ростовская Область, Обливский Район, Нестеркин Хутор\80 м на север от домовладения по ул. Центральная, 73</v>
          </cell>
          <cell r="F1045">
            <v>4.96</v>
          </cell>
          <cell r="G1045" t="str">
            <v>Осн.</v>
          </cell>
          <cell r="H1045" t="str">
            <v>Волгодонская</v>
          </cell>
          <cell r="I1045">
            <v>198</v>
          </cell>
        </row>
        <row r="1046">
          <cell r="C1046" t="str">
            <v>RO2301</v>
          </cell>
          <cell r="D1046" t="str">
            <v>33:трубостойки, АМС инфраструктурного оператора</v>
          </cell>
          <cell r="E1046" t="str">
            <v>Ростовская Область, Ростов-на-Дону Город, Красноармейская Улица\в районе д. 166</v>
          </cell>
          <cell r="F1046">
            <v>1.04</v>
          </cell>
          <cell r="G1046" t="str">
            <v>Осн.</v>
          </cell>
          <cell r="H1046" t="str">
            <v>Ростовская</v>
          </cell>
          <cell r="I1046">
            <v>2</v>
          </cell>
        </row>
        <row r="1047">
          <cell r="C1047" t="str">
            <v>RO2303</v>
          </cell>
          <cell r="D1047" t="str">
            <v>69:тип 69 RANsharing</v>
          </cell>
          <cell r="E1047" t="str">
            <v>Ростовская Область, Октябрьский Район, Равнинный Поселок</v>
          </cell>
          <cell r="F1047">
            <v>3.56</v>
          </cell>
          <cell r="G1047" t="str">
            <v>Осн.</v>
          </cell>
          <cell r="H1047" t="str">
            <v>Ростовская</v>
          </cell>
          <cell r="I1047">
            <v>128</v>
          </cell>
        </row>
        <row r="1048">
          <cell r="C1048" t="str">
            <v>RO2306</v>
          </cell>
          <cell r="D1048" t="str">
            <v>69:тип 69 RANsharing</v>
          </cell>
          <cell r="E1048" t="str">
            <v>Ростовская Область, Семикаракорский Район, Балабинка Хутор, Центральная Улица\между ул. Буденного и ул. Красноармейская</v>
          </cell>
          <cell r="F1048">
            <v>3.54</v>
          </cell>
          <cell r="G1048" t="str">
            <v>Осн.</v>
          </cell>
          <cell r="H1048" t="str">
            <v>Ростовская</v>
          </cell>
          <cell r="I1048">
            <v>127</v>
          </cell>
        </row>
        <row r="1049">
          <cell r="C1049" t="str">
            <v>RO2307</v>
          </cell>
          <cell r="D1049" t="str">
            <v>33:трубостойки, АМС инфраструктурного оператора</v>
          </cell>
          <cell r="E1049" t="str">
            <v>Ростовская Область, Веселовский Район, Средний Маныч Поселок</v>
          </cell>
          <cell r="F1049">
            <v>3.9</v>
          </cell>
          <cell r="G1049" t="str">
            <v>Осн.</v>
          </cell>
          <cell r="H1049" t="str">
            <v>Ростовская</v>
          </cell>
          <cell r="I1049">
            <v>145</v>
          </cell>
        </row>
        <row r="1050">
          <cell r="C1050" t="str">
            <v>RO2309</v>
          </cell>
          <cell r="D1050" t="str">
            <v>31:трубостойки на чужой АМС на земле/крыше</v>
          </cell>
          <cell r="E1050" t="str">
            <v>Ростовская Область, Ростов-на-Дону Город, Орская Улица\90</v>
          </cell>
          <cell r="F1050">
            <v>1.34</v>
          </cell>
          <cell r="G1050" t="str">
            <v>Осн.</v>
          </cell>
          <cell r="H1050" t="str">
            <v>Ростовская</v>
          </cell>
          <cell r="I1050">
            <v>17</v>
          </cell>
        </row>
        <row r="1051">
          <cell r="C1051" t="str">
            <v>RO2310</v>
          </cell>
          <cell r="D1051" t="str">
            <v>69:тип 69 RANsharing</v>
          </cell>
          <cell r="E1051" t="str">
            <v>Ростовская Область, Тарасовский Район, Нижнемакеевский Хутор, Молодежная Улица, дом 6</v>
          </cell>
          <cell r="F1051">
            <v>3.46</v>
          </cell>
          <cell r="G1051" t="str">
            <v>Осн.</v>
          </cell>
          <cell r="H1051" t="str">
            <v>Каменская</v>
          </cell>
          <cell r="I1051">
            <v>123</v>
          </cell>
        </row>
        <row r="1052">
          <cell r="C1052" t="str">
            <v>RO2311</v>
          </cell>
          <cell r="D1052" t="str">
            <v>69:тип 69 RANsharing</v>
          </cell>
          <cell r="E1052" t="str">
            <v>Ростовская Область, Обливский Район, Александровский Хутор</v>
          </cell>
          <cell r="F1052">
            <v>5.72</v>
          </cell>
          <cell r="G1052" t="str">
            <v>Осн.</v>
          </cell>
          <cell r="H1052" t="str">
            <v>Волгодонская</v>
          </cell>
          <cell r="I1052">
            <v>236</v>
          </cell>
        </row>
        <row r="1053">
          <cell r="C1053" t="str">
            <v>RO2312</v>
          </cell>
          <cell r="D1053" t="str">
            <v>69:тип 69 RANsharing</v>
          </cell>
          <cell r="E1053" t="str">
            <v>Ростовская Область, Тацинский Район, Араканцев Хутор\70 лет Октября Улица, дом 44</v>
          </cell>
          <cell r="F1053">
            <v>3.38</v>
          </cell>
          <cell r="G1053" t="str">
            <v>Осн.</v>
          </cell>
          <cell r="H1053" t="str">
            <v>Волгодонская</v>
          </cell>
          <cell r="I1053">
            <v>119</v>
          </cell>
        </row>
        <row r="1054">
          <cell r="C1054" t="str">
            <v>RO2330</v>
          </cell>
          <cell r="D1054" t="str">
            <v>69:тип 69 RANsharing</v>
          </cell>
          <cell r="E1054" t="str">
            <v>Ростовская Область, Дубовский Район, Подгоренская Станица, Солнечный Переулок</v>
          </cell>
          <cell r="F1054">
            <v>1.4</v>
          </cell>
          <cell r="G1054" t="str">
            <v>Осн.</v>
          </cell>
          <cell r="H1054" t="str">
            <v>Волгодонская</v>
          </cell>
          <cell r="I1054">
            <v>20</v>
          </cell>
        </row>
        <row r="1055">
          <cell r="C1055" t="str">
            <v>RO2331</v>
          </cell>
          <cell r="D1055" t="str">
            <v>69:тип 69 RANsharing</v>
          </cell>
          <cell r="E1055" t="str">
            <v>Ростовская Область, Дубовский Район, Овчинников Хутор\45 м на северо восток от пересечения ул. Центральная и пер. Луговой</v>
          </cell>
          <cell r="F1055">
            <v>1.56</v>
          </cell>
          <cell r="G1055" t="str">
            <v>Осн.</v>
          </cell>
          <cell r="H1055" t="str">
            <v>Волгодонская</v>
          </cell>
          <cell r="I1055">
            <v>28</v>
          </cell>
        </row>
        <row r="1056">
          <cell r="C1056" t="str">
            <v>RO2334</v>
          </cell>
          <cell r="D1056" t="str">
            <v>14:собст. пригруз(мачта, башня, столб) с земли</v>
          </cell>
          <cell r="E1056" t="str">
            <v>Ростовская Область, Тацинский Район, Захаро-Обливский Хутор, Мира Улица\дом 1А</v>
          </cell>
          <cell r="F1056">
            <v>2.96</v>
          </cell>
          <cell r="G1056" t="str">
            <v>Осн.</v>
          </cell>
          <cell r="H1056" t="str">
            <v>Каменская</v>
          </cell>
          <cell r="I1056">
            <v>98</v>
          </cell>
        </row>
        <row r="1057">
          <cell r="C1057" t="str">
            <v>RO2520</v>
          </cell>
          <cell r="D1057" t="str">
            <v>14:собст. пригруз(мачта, башня, столб) с земли</v>
          </cell>
          <cell r="E1057" t="str">
            <v>Ростовская Область, Шолоховский Район, Вешенская Станица, Ленина Улица\81</v>
          </cell>
          <cell r="F1057">
            <v>5.52</v>
          </cell>
          <cell r="G1057" t="str">
            <v>Осн.</v>
          </cell>
          <cell r="H1057" t="str">
            <v>Каменская</v>
          </cell>
          <cell r="I1057">
            <v>226</v>
          </cell>
        </row>
        <row r="1058">
          <cell r="C1058" t="str">
            <v>RO2521</v>
          </cell>
          <cell r="D1058" t="str">
            <v>13:собст. железобетонный столб с заглубленным фундаментом</v>
          </cell>
          <cell r="E1058" t="str">
            <v>Ростовская Область, Обливский Район, Обливская Станица, Ленина Улица\27</v>
          </cell>
          <cell r="F1058">
            <v>4.7</v>
          </cell>
          <cell r="G1058" t="str">
            <v>Осн.</v>
          </cell>
          <cell r="H1058" t="str">
            <v>Волгодонская</v>
          </cell>
          <cell r="I1058">
            <v>185</v>
          </cell>
        </row>
        <row r="1059">
          <cell r="C1059" t="str">
            <v>RO2664</v>
          </cell>
          <cell r="D1059" t="str">
            <v>13:собст. железобетонный столб с заглубленным фундаментом</v>
          </cell>
          <cell r="E1059" t="str">
            <v>Ростовская Область, Боковский Район, Боковская Станица, Книжный Переулок\11</v>
          </cell>
          <cell r="F1059">
            <v>5.24</v>
          </cell>
          <cell r="G1059" t="str">
            <v>Осн.</v>
          </cell>
          <cell r="H1059" t="str">
            <v>Каменская</v>
          </cell>
          <cell r="I1059">
            <v>212</v>
          </cell>
        </row>
        <row r="1060">
          <cell r="C1060" t="str">
            <v>RO2667</v>
          </cell>
          <cell r="D1060" t="str">
            <v>13:собст. железобетонный столб с заглубленным фундаментом</v>
          </cell>
          <cell r="E1060" t="str">
            <v>Область Ростовская, Район Семикаракорский, Хутор Вислый, Улица Октябрьская, Дом 72\примерно в 110 м. на юго-запад от строения</v>
          </cell>
          <cell r="F1060">
            <v>2.78</v>
          </cell>
          <cell r="G1060" t="str">
            <v>Осн.</v>
          </cell>
          <cell r="H1060" t="str">
            <v>Волгодонская</v>
          </cell>
          <cell r="I1060">
            <v>89</v>
          </cell>
        </row>
        <row r="1061">
          <cell r="C1061" t="str">
            <v>RO2670</v>
          </cell>
          <cell r="D1061" t="str">
            <v>21:собст. АМС до 10 м на крыше</v>
          </cell>
          <cell r="E1061" t="str">
            <v>Ростовская Область, Шолоховский Район, Базковская Станица, Советская Улица, дом 106</v>
          </cell>
          <cell r="F1061">
            <v>5.4</v>
          </cell>
          <cell r="G1061" t="str">
            <v>Осн.</v>
          </cell>
          <cell r="H1061" t="str">
            <v>Каменская</v>
          </cell>
          <cell r="I1061">
            <v>220</v>
          </cell>
        </row>
        <row r="1062">
          <cell r="C1062" t="str">
            <v>RO2682</v>
          </cell>
          <cell r="D1062" t="str">
            <v>13:собст. железобетонный столб с заглубленным фундаментом</v>
          </cell>
          <cell r="E1062" t="str">
            <v>Ростовская Область, Волгодонской Район, Донской Поселок, Донской Переулок, дом 2\кв.1.</v>
          </cell>
          <cell r="F1062">
            <v>2.1800000000000002</v>
          </cell>
          <cell r="G1062" t="str">
            <v>Осн.</v>
          </cell>
          <cell r="H1062" t="str">
            <v>Волгодонская</v>
          </cell>
          <cell r="I1062">
            <v>59</v>
          </cell>
        </row>
        <row r="1063">
          <cell r="C1063" t="str">
            <v>RO2683</v>
          </cell>
          <cell r="D1063" t="str">
            <v>13:собст. железобетонный столб с заглубленным фундаментом</v>
          </cell>
          <cell r="E1063" t="str">
            <v>Ростовская Область, Мартыновский Район, Крутобережный Поселок, Речной Переулок\1a</v>
          </cell>
          <cell r="F1063">
            <v>3.02</v>
          </cell>
          <cell r="G1063" t="str">
            <v>Осн.</v>
          </cell>
          <cell r="H1063" t="str">
            <v>Волгодонская</v>
          </cell>
          <cell r="I1063">
            <v>101</v>
          </cell>
        </row>
        <row r="1064">
          <cell r="C1064" t="str">
            <v>RO2685</v>
          </cell>
          <cell r="D1064" t="str">
            <v>31:трубостойки на чужой АМС на земле/крыше</v>
          </cell>
          <cell r="E1064" t="str">
            <v>Ростовская Область, Семикаракорский Район, Вершинный Поселок\опора АО "ПБК" (МегаФон)</v>
          </cell>
          <cell r="F1064">
            <v>3.48</v>
          </cell>
          <cell r="G1064" t="str">
            <v>Осн.</v>
          </cell>
          <cell r="H1064" t="str">
            <v>Волгодонская</v>
          </cell>
          <cell r="I1064">
            <v>124</v>
          </cell>
        </row>
        <row r="1065">
          <cell r="C1065" t="str">
            <v>RO2687</v>
          </cell>
          <cell r="D1065" t="str">
            <v>13:собст. железобетонный столб с заглубленным фундаментом</v>
          </cell>
          <cell r="E1065" t="str">
            <v>Ростовская Область, Родионово-Несветайский Район, Кутейниково Слобода, Булановой Улица\примерно в 15 м. по направлению на северо-запад от ориентира земельного участка</v>
          </cell>
          <cell r="F1065">
            <v>2.14</v>
          </cell>
          <cell r="G1065" t="str">
            <v>Осн.</v>
          </cell>
          <cell r="H1065" t="str">
            <v>Ростовская</v>
          </cell>
          <cell r="I1065">
            <v>57</v>
          </cell>
        </row>
        <row r="1066">
          <cell r="C1066" t="str">
            <v>RO2695</v>
          </cell>
          <cell r="D1066" t="str">
            <v>31:трубостойки на чужой АМС на земле/крыше</v>
          </cell>
          <cell r="E1066" t="str">
            <v>Ростовская Область, Заветинский Район, Федосеевка Село\АМС ФГУП "РТРС"</v>
          </cell>
          <cell r="F1066">
            <v>4.96</v>
          </cell>
          <cell r="G1066" t="str">
            <v>Осн.</v>
          </cell>
          <cell r="H1066" t="str">
            <v>Волгодонская</v>
          </cell>
          <cell r="I1066">
            <v>198</v>
          </cell>
        </row>
        <row r="1067">
          <cell r="C1067" t="str">
            <v>RO2706</v>
          </cell>
          <cell r="D1067" t="str">
            <v>31:трубостойки на чужой АМС на земле/крыше</v>
          </cell>
          <cell r="E1067" t="str">
            <v>Ростовская Область, Зимовниковский Район, Мокрый Гашун Поселок, Молодежная Улица, дом 2\а</v>
          </cell>
          <cell r="F1067">
            <v>2.9</v>
          </cell>
          <cell r="G1067" t="str">
            <v>Осн.</v>
          </cell>
          <cell r="H1067" t="str">
            <v>Волгодонская</v>
          </cell>
          <cell r="I1067">
            <v>95</v>
          </cell>
        </row>
        <row r="1068">
          <cell r="C1068" t="str">
            <v>RO2745</v>
          </cell>
          <cell r="D1068" t="str">
            <v>31:трубостойки на чужой АМС на земле/крыше</v>
          </cell>
          <cell r="E1068" t="str">
            <v>Ростовская Область, Зимовниковский Район, Плотников Хутор, Мира Улица, дом 22\в 15 м. на северо-запад</v>
          </cell>
          <cell r="F1068">
            <v>2.92</v>
          </cell>
          <cell r="G1068" t="str">
            <v>Осн.</v>
          </cell>
          <cell r="H1068" t="str">
            <v>Волгодонская</v>
          </cell>
          <cell r="I1068">
            <v>96</v>
          </cell>
        </row>
        <row r="1069">
          <cell r="C1069" t="str">
            <v>RO2758</v>
          </cell>
          <cell r="D1069" t="str">
            <v>13:собст. железобетонный столб с заглубленным фундаментом</v>
          </cell>
          <cell r="E1069" t="str">
            <v>Ростовская Область, Верхнедонской Район, Мещеряковский Хутор, Садовая Улица\Садовая Улица, дом 27 Б</v>
          </cell>
          <cell r="F1069">
            <v>5.56</v>
          </cell>
          <cell r="G1069" t="str">
            <v>Осн.</v>
          </cell>
          <cell r="H1069" t="str">
            <v>Каменская</v>
          </cell>
          <cell r="I1069">
            <v>228</v>
          </cell>
        </row>
        <row r="1070">
          <cell r="C1070" t="str">
            <v>RO2759</v>
          </cell>
          <cell r="D1070" t="str">
            <v>13:собст. железобетонный столб с заглубленным фундаментом</v>
          </cell>
          <cell r="E1070" t="str">
            <v>Ростовская Область, Цимлянский Район, Дубравный Поселок, Бушева Улица\д.8</v>
          </cell>
          <cell r="F1070">
            <v>1.6</v>
          </cell>
          <cell r="G1070" t="str">
            <v>Осн.</v>
          </cell>
          <cell r="H1070" t="str">
            <v>Волгодонская</v>
          </cell>
          <cell r="I1070">
            <v>30</v>
          </cell>
        </row>
        <row r="1071">
          <cell r="C1071" t="str">
            <v>RO2769</v>
          </cell>
          <cell r="D1071" t="str">
            <v>31:трубостойки на чужой АМС на земле/крыше</v>
          </cell>
          <cell r="E1071" t="str">
            <v>Ростовская Область, Зимовниковский Район, Красностепной Поселок, Школьная Улица, дом 10\а</v>
          </cell>
          <cell r="F1071">
            <v>3.54</v>
          </cell>
          <cell r="G1071" t="str">
            <v>Осн.</v>
          </cell>
          <cell r="H1071" t="str">
            <v>Волгодонская</v>
          </cell>
          <cell r="I1071">
            <v>127</v>
          </cell>
        </row>
        <row r="1072">
          <cell r="C1072" t="str">
            <v>RO2815</v>
          </cell>
          <cell r="D1072" t="str">
            <v>31:трубостойки на чужой АМС на земле/крыше</v>
          </cell>
          <cell r="E1072" t="str">
            <v>Ростовская Область, Родионово-Несветайский Район, Алексеево-Тузловка Слобода, Московская Улица\62 АМС ФГУП "РТРС"</v>
          </cell>
          <cell r="F1072">
            <v>3</v>
          </cell>
          <cell r="G1072" t="str">
            <v>Осн.</v>
          </cell>
          <cell r="H1072" t="str">
            <v>Ростовская</v>
          </cell>
          <cell r="I1072">
            <v>100</v>
          </cell>
        </row>
        <row r="1073">
          <cell r="C1073" t="str">
            <v>RO2820</v>
          </cell>
          <cell r="D1073" t="str">
            <v>13:собст. железобетонный столб с заглубленным фундаментом</v>
          </cell>
          <cell r="E1073" t="str">
            <v>Ростовская Область, Цимлянский Район, Лозновская Станица, Центральная Улица, дом 30</v>
          </cell>
          <cell r="F1073">
            <v>1.68</v>
          </cell>
          <cell r="G1073" t="str">
            <v>Осн.</v>
          </cell>
          <cell r="H1073" t="str">
            <v>Волгодонская</v>
          </cell>
          <cell r="I1073">
            <v>34</v>
          </cell>
        </row>
        <row r="1074">
          <cell r="C1074" t="str">
            <v>RO2821</v>
          </cell>
          <cell r="D1074" t="str">
            <v>13:собст. железобетонный столб с заглубленным фундаментом</v>
          </cell>
          <cell r="E1074" t="str">
            <v>Ростовская Область, Батайск Город\Полевая улица, дом 6</v>
          </cell>
          <cell r="F1074">
            <v>1.48</v>
          </cell>
          <cell r="G1074" t="str">
            <v>Осн.</v>
          </cell>
          <cell r="H1074" t="str">
            <v>Ростовская</v>
          </cell>
          <cell r="I1074">
            <v>24</v>
          </cell>
        </row>
        <row r="1075">
          <cell r="C1075" t="str">
            <v>RO2826</v>
          </cell>
          <cell r="D1075" t="str">
            <v>31:трубостойки на чужой АМС на земле/крыше</v>
          </cell>
          <cell r="E1075" t="str">
            <v>Ростовская Область, Кашарский Район\Поповское сельское поселение, примерно в 30 м от здания администрации Поповского сельского поселения на запад, АМС ФГУП "РТРС"</v>
          </cell>
          <cell r="F1075">
            <v>4</v>
          </cell>
          <cell r="G1075" t="str">
            <v>Осн.</v>
          </cell>
          <cell r="H1075" t="str">
            <v>Каменская</v>
          </cell>
          <cell r="I1075">
            <v>150</v>
          </cell>
        </row>
        <row r="1076">
          <cell r="C1076" t="str">
            <v>RO2839</v>
          </cell>
          <cell r="D1076" t="str">
            <v>21:собст. АМС до 10 м на крыше</v>
          </cell>
          <cell r="E1076" t="str">
            <v>Ростовская Область, Новочеркасск Город, Машиностроителей Улица\д.7А (ЦЕХ№56)</v>
          </cell>
          <cell r="F1076">
            <v>1.98</v>
          </cell>
          <cell r="G1076" t="str">
            <v>Осн.</v>
          </cell>
          <cell r="H1076" t="str">
            <v>Ростовская</v>
          </cell>
          <cell r="I1076">
            <v>49</v>
          </cell>
        </row>
        <row r="1077">
          <cell r="C1077" t="str">
            <v>RO2841</v>
          </cell>
          <cell r="D1077" t="str">
            <v>21:собст. АМС до 10 м на крыше</v>
          </cell>
          <cell r="E1077" t="str">
            <v>Ростовская Область, Батайск Город, Воровского Улица, дом 67</v>
          </cell>
          <cell r="F1077">
            <v>1.3</v>
          </cell>
          <cell r="G1077" t="str">
            <v>Осн.</v>
          </cell>
          <cell r="H1077" t="str">
            <v>Ростовская</v>
          </cell>
          <cell r="I1077">
            <v>15</v>
          </cell>
        </row>
        <row r="1078">
          <cell r="C1078" t="str">
            <v>RO2850</v>
          </cell>
          <cell r="D1078" t="str">
            <v>32:трубостойки/АМС на: трубе, элеваторе, водонап.башне</v>
          </cell>
          <cell r="E1078" t="str">
            <v>Ростовская Область, Аксайский Район, Дивный Поселок, Советская Улица\дом 13</v>
          </cell>
          <cell r="F1078">
            <v>1.7</v>
          </cell>
          <cell r="G1078" t="str">
            <v>Осн.</v>
          </cell>
          <cell r="H1078" t="str">
            <v>Ростовская</v>
          </cell>
          <cell r="I1078">
            <v>35</v>
          </cell>
        </row>
        <row r="1079">
          <cell r="C1079" t="str">
            <v>RO2861</v>
          </cell>
          <cell r="D1079" t="str">
            <v>31:трубостойки на чужой АМС на земле/крыше</v>
          </cell>
          <cell r="E1079" t="str">
            <v>Ростовская Область, Азовский Район, Суходольск Поселок</v>
          </cell>
          <cell r="F1079">
            <v>1.68</v>
          </cell>
          <cell r="G1079" t="str">
            <v>Осн.</v>
          </cell>
          <cell r="H1079" t="str">
            <v>Ростовская</v>
          </cell>
          <cell r="I1079">
            <v>34</v>
          </cell>
        </row>
        <row r="1080">
          <cell r="C1080" t="str">
            <v>RO2865</v>
          </cell>
          <cell r="D1080" t="str">
            <v>52:индорсайт</v>
          </cell>
          <cell r="E1080" t="str">
            <v>Ростовская Область, Ростов-на-Дону Город, Лелюшенко Улица, дом 19/4</v>
          </cell>
          <cell r="F1080">
            <v>1.24</v>
          </cell>
          <cell r="G1080" t="str">
            <v>Осн.</v>
          </cell>
          <cell r="H1080" t="str">
            <v>Ростовская</v>
          </cell>
          <cell r="I1080">
            <v>12</v>
          </cell>
        </row>
        <row r="1081">
          <cell r="C1081" t="str">
            <v>RO2867</v>
          </cell>
          <cell r="D1081" t="str">
            <v>33:трубостойки, АМС инфраструктурного оператора</v>
          </cell>
          <cell r="E1081" t="str">
            <v>Ростовская Область, Октябрьский Район, Яново-Грушевский Хутор</v>
          </cell>
          <cell r="F1081">
            <v>2.06</v>
          </cell>
          <cell r="G1081" t="str">
            <v>Осн.</v>
          </cell>
          <cell r="H1081" t="str">
            <v>Ростовская</v>
          </cell>
          <cell r="I1081">
            <v>53</v>
          </cell>
        </row>
        <row r="1082">
          <cell r="C1082" t="str">
            <v>RO2868</v>
          </cell>
          <cell r="D1082" t="str">
            <v>21:собст. АМС до 10 м на крыше</v>
          </cell>
          <cell r="E1082" t="str">
            <v>Ростовская Область, Новочеркасск Город, Московская Улица\д.1/90</v>
          </cell>
          <cell r="F1082">
            <v>1.86</v>
          </cell>
          <cell r="G1082" t="str">
            <v>Осн.</v>
          </cell>
          <cell r="H1082" t="str">
            <v>Ростовская</v>
          </cell>
          <cell r="I1082">
            <v>43</v>
          </cell>
        </row>
        <row r="1083">
          <cell r="C1083" t="str">
            <v>RO2871</v>
          </cell>
          <cell r="D1083" t="str">
            <v>13:собст. железобетонный столб с заглубленным фундаментом</v>
          </cell>
          <cell r="E1083" t="str">
            <v>Ростовская Область, Аксайский Район, Аксай Город, Аксайский Проспект, дом 5Б</v>
          </cell>
          <cell r="F1083">
            <v>1.26</v>
          </cell>
          <cell r="G1083" t="str">
            <v>Осн.</v>
          </cell>
          <cell r="H1083" t="str">
            <v>Ростовская</v>
          </cell>
          <cell r="I1083">
            <v>13</v>
          </cell>
        </row>
        <row r="1084">
          <cell r="C1084" t="str">
            <v>RO2872</v>
          </cell>
          <cell r="D1084" t="str">
            <v>21:собст. АМС до 10 м на крыше</v>
          </cell>
          <cell r="E1084" t="str">
            <v>Ростовская Область, Ростов-на-Дону Город, Ченцова Улица, дом 12\\42</v>
          </cell>
          <cell r="F1084">
            <v>1.1200000000000001</v>
          </cell>
          <cell r="G1084" t="str">
            <v>Осн.</v>
          </cell>
          <cell r="H1084" t="str">
            <v>Ростовская</v>
          </cell>
          <cell r="I1084">
            <v>6</v>
          </cell>
        </row>
        <row r="1085">
          <cell r="C1085" t="str">
            <v>RO2874</v>
          </cell>
          <cell r="D1085" t="str">
            <v>31:трубостойки на чужой АМС на земле/крыше</v>
          </cell>
          <cell r="E1085" t="str">
            <v>Ростовская Область, Аксайский Район, Грушевская Станица</v>
          </cell>
          <cell r="F1085">
            <v>1.86</v>
          </cell>
          <cell r="G1085" t="str">
            <v>Осн.</v>
          </cell>
          <cell r="H1085" t="str">
            <v>Ростовская</v>
          </cell>
          <cell r="I1085">
            <v>43</v>
          </cell>
        </row>
        <row r="1086">
          <cell r="C1086" t="str">
            <v>RO2875</v>
          </cell>
          <cell r="D1086" t="str">
            <v>33:трубостойки, АМС инфраструктурного оператора</v>
          </cell>
          <cell r="E1086" t="str">
            <v>Ростовская Область, Каменск-Шахтинский Город, Красноармейский Переулок, дом 46</v>
          </cell>
          <cell r="F1086">
            <v>1.1200000000000001</v>
          </cell>
          <cell r="G1086" t="str">
            <v>Осн.</v>
          </cell>
          <cell r="H1086" t="str">
            <v>Каменская</v>
          </cell>
          <cell r="I1086">
            <v>6</v>
          </cell>
        </row>
        <row r="1087">
          <cell r="C1087" t="str">
            <v>RO2876</v>
          </cell>
          <cell r="D1087" t="str">
            <v>33:трубостойки, АМС инфраструктурного оператора</v>
          </cell>
          <cell r="E1087" t="str">
            <v>Ростовская Область, Ростов-на-Дону Город, Привокзальная Площадь, дом 3</v>
          </cell>
          <cell r="F1087">
            <v>1.02</v>
          </cell>
          <cell r="G1087" t="str">
            <v>Осн.</v>
          </cell>
          <cell r="H1087" t="str">
            <v>Ростовская</v>
          </cell>
          <cell r="I1087">
            <v>1</v>
          </cell>
        </row>
        <row r="1088">
          <cell r="C1088" t="str">
            <v>RO2878</v>
          </cell>
          <cell r="D1088" t="str">
            <v>33:трубостойки, АМС инфраструктурного оператора</v>
          </cell>
          <cell r="E1088" t="str">
            <v>Ростовская Область, Ростов-на-Дону Город, Михаила Нагибина Проспект, дом 27\в районе дома</v>
          </cell>
          <cell r="F1088">
            <v>1.1200000000000001</v>
          </cell>
          <cell r="G1088" t="str">
            <v>Осн.</v>
          </cell>
          <cell r="H1088" t="str">
            <v>Ростовская</v>
          </cell>
          <cell r="I1088">
            <v>6</v>
          </cell>
        </row>
        <row r="1089">
          <cell r="C1089" t="str">
            <v>RO2879</v>
          </cell>
          <cell r="D1089" t="str">
            <v>31:трубостойки на чужой АМС на земле/крыше</v>
          </cell>
          <cell r="E1089" t="str">
            <v>Ростовская Область, Донецк Город, Василевского Улица\1 н</v>
          </cell>
          <cell r="F1089">
            <v>1.62</v>
          </cell>
          <cell r="G1089" t="str">
            <v>Осн.</v>
          </cell>
          <cell r="H1089" t="str">
            <v>Каменская</v>
          </cell>
          <cell r="I1089">
            <v>31</v>
          </cell>
        </row>
        <row r="1090">
          <cell r="C1090" t="str">
            <v>RO2881</v>
          </cell>
          <cell r="D1090" t="str">
            <v>33:трубостойки, АМС инфраструктурного оператора</v>
          </cell>
          <cell r="E1090" t="str">
            <v>Ростовская Область, Ростов-на-Дону Город, Шолохова Проспект, дом 85</v>
          </cell>
          <cell r="F1090">
            <v>1.04</v>
          </cell>
          <cell r="G1090" t="str">
            <v>Осн.</v>
          </cell>
          <cell r="H1090" t="str">
            <v>Ростовская</v>
          </cell>
          <cell r="I1090">
            <v>2</v>
          </cell>
        </row>
        <row r="1091">
          <cell r="C1091" t="str">
            <v>RO2882</v>
          </cell>
          <cell r="D1091" t="str">
            <v>33:трубостойки, АМС инфраструктурного оператора</v>
          </cell>
          <cell r="E1091" t="str">
            <v>Ростовская Область, Новочеркасск Город, Первомайская Улица\д.142/40</v>
          </cell>
          <cell r="F1091">
            <v>1.82</v>
          </cell>
          <cell r="G1091" t="str">
            <v>Осн.</v>
          </cell>
          <cell r="H1091" t="str">
            <v>Ростовская</v>
          </cell>
          <cell r="I1091">
            <v>41</v>
          </cell>
        </row>
        <row r="1092">
          <cell r="C1092" t="str">
            <v>RO2883</v>
          </cell>
          <cell r="D1092" t="str">
            <v>13:собст. железобетонный столб с заглубленным фундаментом</v>
          </cell>
          <cell r="E1092" t="str">
            <v>Ростовская Область, Красносулинский Район, Красный Сулин Город, Скелеватский 4-й Переулок</v>
          </cell>
          <cell r="F1092">
            <v>3.02</v>
          </cell>
          <cell r="G1092" t="str">
            <v>Осн.</v>
          </cell>
          <cell r="H1092" t="str">
            <v>Ростовская</v>
          </cell>
          <cell r="I1092">
            <v>101</v>
          </cell>
        </row>
        <row r="1093">
          <cell r="C1093" t="str">
            <v>RO2884</v>
          </cell>
          <cell r="D1093" t="str">
            <v>33:трубостойки, АМС инфраструктурного оператора</v>
          </cell>
          <cell r="E1093" t="str">
            <v>Ростовская Область, Ростов-на-Дону Город, Чапаевская Улица, дом 6/14</v>
          </cell>
          <cell r="F1093">
            <v>1.08</v>
          </cell>
          <cell r="G1093" t="str">
            <v>Осн.</v>
          </cell>
          <cell r="H1093" t="str">
            <v>Ростовская</v>
          </cell>
          <cell r="I1093">
            <v>4</v>
          </cell>
        </row>
        <row r="1094">
          <cell r="C1094" t="str">
            <v>RO2885</v>
          </cell>
          <cell r="D1094" t="str">
            <v>33:трубостойки, АМС инфраструктурного оператора</v>
          </cell>
          <cell r="E1094" t="str">
            <v>Ростовская Область, Ростов-на-Дону Город, Красноаксайская Улица\2</v>
          </cell>
          <cell r="F1094">
            <v>1.02</v>
          </cell>
          <cell r="G1094" t="str">
            <v>Осн.</v>
          </cell>
          <cell r="H1094" t="str">
            <v>Ростовская</v>
          </cell>
          <cell r="I1094">
            <v>1</v>
          </cell>
        </row>
        <row r="1095">
          <cell r="C1095" t="str">
            <v>RO2891</v>
          </cell>
          <cell r="D1095" t="str">
            <v>13:собст. железобетонный столб с заглубленным фундаментом</v>
          </cell>
          <cell r="E1095" t="str">
            <v>Ростовская Область, Новочеркасск Город, Макаренко Улица, дом 2</v>
          </cell>
          <cell r="F1095">
            <v>1.9</v>
          </cell>
          <cell r="G1095" t="str">
            <v>Осн.</v>
          </cell>
          <cell r="H1095" t="str">
            <v>Ростовская</v>
          </cell>
          <cell r="I1095">
            <v>45</v>
          </cell>
        </row>
        <row r="1096">
          <cell r="C1096" t="str">
            <v>RO2895</v>
          </cell>
          <cell r="D1096" t="str">
            <v>33:трубостойки, АМС инфраструктурного оператора</v>
          </cell>
          <cell r="E1096" t="str">
            <v>Ростовская Область, Октябрьский Район, Каменоломни Рабочий поселок, Дзержинского Улица, дом 146</v>
          </cell>
          <cell r="F1096">
            <v>2.64</v>
          </cell>
          <cell r="G1096" t="str">
            <v>Осн.</v>
          </cell>
          <cell r="H1096" t="str">
            <v>Ростовская</v>
          </cell>
          <cell r="I1096">
            <v>82</v>
          </cell>
        </row>
        <row r="1097">
          <cell r="C1097" t="str">
            <v>RO2901</v>
          </cell>
          <cell r="D1097" t="str">
            <v>31:трубостойки на чужой АМС на земле/крыше</v>
          </cell>
          <cell r="E1097" t="str">
            <v>Ростовская Область, Ростов-на-Дону Город, Доватора Улица\305</v>
          </cell>
          <cell r="F1097">
            <v>1.24</v>
          </cell>
          <cell r="G1097" t="str">
            <v>Осн.</v>
          </cell>
          <cell r="H1097" t="str">
            <v>Ростовская</v>
          </cell>
          <cell r="I1097">
            <v>12</v>
          </cell>
        </row>
        <row r="1098">
          <cell r="C1098" t="str">
            <v>RO2903</v>
          </cell>
          <cell r="D1098" t="str">
            <v>33:трубостойки, АМС инфраструктурного оператора</v>
          </cell>
          <cell r="E1098" t="str">
            <v>Ростовская Область, Ростов-на-Дону Город, Благодатная Улица, дом 168/2</v>
          </cell>
          <cell r="F1098">
            <v>1.18</v>
          </cell>
          <cell r="G1098" t="str">
            <v>Осн.</v>
          </cell>
          <cell r="H1098" t="str">
            <v>Ростовская</v>
          </cell>
          <cell r="I1098">
            <v>9</v>
          </cell>
        </row>
        <row r="1099">
          <cell r="C1099" t="str">
            <v>RO2904</v>
          </cell>
          <cell r="D1099" t="str">
            <v>33:трубостойки, АМС инфраструктурного оператора</v>
          </cell>
          <cell r="E1099" t="str">
            <v>Ростовская Область, Ростов-на-Дону Город, 2-я Кольцевая Улица, дом 93/24</v>
          </cell>
          <cell r="F1099">
            <v>1.1200000000000001</v>
          </cell>
          <cell r="G1099" t="str">
            <v>Осн.</v>
          </cell>
          <cell r="H1099" t="str">
            <v>Ростовская</v>
          </cell>
          <cell r="I1099">
            <v>6</v>
          </cell>
        </row>
        <row r="1100">
          <cell r="C1100" t="str">
            <v>RO2906</v>
          </cell>
          <cell r="D1100" t="str">
            <v>33:трубостойки, АМС инфраструктурного оператора</v>
          </cell>
          <cell r="E1100" t="str">
            <v>Ростовская Область, Ростов-на-Дону Город, Ярослава Галана Улица\28</v>
          </cell>
          <cell r="F1100">
            <v>1.1200000000000001</v>
          </cell>
          <cell r="G1100" t="str">
            <v>Осн.</v>
          </cell>
          <cell r="H1100" t="str">
            <v>Ростовская</v>
          </cell>
          <cell r="I1100">
            <v>6</v>
          </cell>
        </row>
        <row r="1101">
          <cell r="C1101" t="str">
            <v>RO2914</v>
          </cell>
          <cell r="D1101" t="str">
            <v>31:трубостойки на чужой АМС на земле/крыше</v>
          </cell>
          <cell r="E1101" t="str">
            <v>Ростовская Область, Аксайский Район, Аксай Город, Западная Улица, дом 4</v>
          </cell>
          <cell r="F1101">
            <v>1.36</v>
          </cell>
          <cell r="G1101" t="str">
            <v>Осн.</v>
          </cell>
          <cell r="H1101" t="str">
            <v>Ростовская</v>
          </cell>
          <cell r="I1101">
            <v>18</v>
          </cell>
        </row>
        <row r="1102">
          <cell r="C1102" t="str">
            <v>RO2920</v>
          </cell>
          <cell r="D1102" t="str">
            <v>33:трубостойки, АМС инфраструктурного оператора</v>
          </cell>
          <cell r="E1102" t="str">
            <v>Ростовская Область, Ростов-на-Дону Город, Вятская Улица, дом 39/2\в районе дома</v>
          </cell>
          <cell r="F1102">
            <v>1.22</v>
          </cell>
          <cell r="G1102" t="str">
            <v>Осн.</v>
          </cell>
          <cell r="H1102" t="str">
            <v>Ростовская</v>
          </cell>
          <cell r="I1102">
            <v>11</v>
          </cell>
        </row>
        <row r="1103">
          <cell r="C1103" t="str">
            <v>RO2922</v>
          </cell>
          <cell r="D1103" t="str">
            <v>21:собст. АМС до 10 м на крыше</v>
          </cell>
          <cell r="E1103" t="str">
            <v>Ростовская Область, Ростов-на-Дону Город, Комарова Бульвар, дом 20/1</v>
          </cell>
          <cell r="F1103">
            <v>1.2</v>
          </cell>
          <cell r="G1103" t="str">
            <v>Осн.</v>
          </cell>
          <cell r="H1103" t="str">
            <v>Ростовская</v>
          </cell>
          <cell r="I1103">
            <v>10</v>
          </cell>
        </row>
        <row r="1104">
          <cell r="C1104" t="str">
            <v>RO2925</v>
          </cell>
          <cell r="D1104" t="str">
            <v>21:собст. АМС до 10 м на крыше</v>
          </cell>
          <cell r="E1104" t="str">
            <v>Ростовская Область, Ростов-на-Дону Город, Думенко Улица, дом 13</v>
          </cell>
          <cell r="F1104">
            <v>1.26</v>
          </cell>
          <cell r="G1104" t="str">
            <v>Осн.</v>
          </cell>
          <cell r="H1104" t="str">
            <v>Ростовская</v>
          </cell>
          <cell r="I1104">
            <v>13</v>
          </cell>
        </row>
        <row r="1105">
          <cell r="C1105" t="str">
            <v>RO2928</v>
          </cell>
          <cell r="D1105" t="str">
            <v>13:собст. железобетонный столб с заглубленным фундаментом</v>
          </cell>
          <cell r="E1105" t="str">
            <v>Ростовская Область, Ростов-на-Дону Город\Октябрьский район, с/т Урожай, 10-22</v>
          </cell>
          <cell r="F1105">
            <v>1.3</v>
          </cell>
          <cell r="G1105" t="str">
            <v>Осн.</v>
          </cell>
          <cell r="H1105" t="str">
            <v>Ростовская</v>
          </cell>
          <cell r="I1105">
            <v>15</v>
          </cell>
        </row>
        <row r="1106">
          <cell r="C1106" t="str">
            <v>RO2932</v>
          </cell>
          <cell r="D1106" t="str">
            <v>21:собст. АМС до 10 м на крыше</v>
          </cell>
          <cell r="E1106" t="str">
            <v>Ростовская Область, Ростов-на-Дону Город, Таганрогская Улица, дом 122/1</v>
          </cell>
          <cell r="F1106">
            <v>1.26</v>
          </cell>
          <cell r="G1106" t="str">
            <v>Осн.</v>
          </cell>
          <cell r="H1106" t="str">
            <v>Ростовская</v>
          </cell>
          <cell r="I1106">
            <v>13</v>
          </cell>
        </row>
        <row r="1107">
          <cell r="C1107" t="str">
            <v>RO2936</v>
          </cell>
          <cell r="D1107" t="str">
            <v>32:трубостойки/АМС на: трубе, элеваторе, водонап.башне</v>
          </cell>
          <cell r="E1107" t="str">
            <v>Область Ростовская, Город Азов, Улица Васильева, Дом 92</v>
          </cell>
          <cell r="F1107">
            <v>1.8</v>
          </cell>
          <cell r="G1107" t="str">
            <v>Осн.</v>
          </cell>
          <cell r="H1107" t="str">
            <v>Ростовская</v>
          </cell>
          <cell r="I1107">
            <v>40</v>
          </cell>
        </row>
        <row r="1108">
          <cell r="C1108" t="str">
            <v>RO2939</v>
          </cell>
          <cell r="D1108" t="str">
            <v>13:собст. железобетонный столб с заглубленным фундаментом</v>
          </cell>
          <cell r="E1108" t="str">
            <v>Ростовская Область, Аксайский Район, Аксай Город, Садовая Улица, дом 20</v>
          </cell>
          <cell r="F1108">
            <v>1.48</v>
          </cell>
          <cell r="G1108" t="str">
            <v>Осн.</v>
          </cell>
          <cell r="H1108" t="str">
            <v>Ростовская</v>
          </cell>
          <cell r="I1108">
            <v>24</v>
          </cell>
        </row>
        <row r="1109">
          <cell r="C1109" t="str">
            <v>RO2992</v>
          </cell>
          <cell r="D1109" t="str">
            <v>33:трубостойки, АМС инфраструктурного оператора</v>
          </cell>
          <cell r="E1109" t="str">
            <v>Ростовская Область, Новочеркасск Город, Буденновская Улица, дом 271</v>
          </cell>
          <cell r="F1109">
            <v>1.8</v>
          </cell>
          <cell r="G1109" t="str">
            <v>Осн.</v>
          </cell>
          <cell r="H1109" t="str">
            <v>Ростовская</v>
          </cell>
          <cell r="I1109">
            <v>40</v>
          </cell>
        </row>
        <row r="1110">
          <cell r="C1110" t="str">
            <v>RO2996</v>
          </cell>
          <cell r="D1110" t="str">
            <v>33:трубостойки, АМС инфраструктурного оператора</v>
          </cell>
          <cell r="E1110" t="str">
            <v>Ростовская Область, Новочеркасск Город, Красный Спуск\д.21</v>
          </cell>
          <cell r="F1110">
            <v>1.88</v>
          </cell>
          <cell r="G1110" t="str">
            <v>Осн.</v>
          </cell>
          <cell r="H1110" t="str">
            <v>Ростовская</v>
          </cell>
          <cell r="I1110">
            <v>44</v>
          </cell>
        </row>
        <row r="1111">
          <cell r="C1111" t="str">
            <v>RO8101</v>
          </cell>
          <cell r="D1111" t="str">
            <v>50:транспортная точка без АМС и без оборудования БС</v>
          </cell>
          <cell r="E1111" t="str">
            <v>Ростовская Область, Ростов-на-Дону Город, Театральный Проспект, дом 60кв\Литер Г (1 этаж)</v>
          </cell>
          <cell r="F1111">
            <v>1.1000000000000001</v>
          </cell>
          <cell r="G1111" t="str">
            <v>Осн.</v>
          </cell>
          <cell r="H1111" t="str">
            <v>Ростовская</v>
          </cell>
          <cell r="I1111">
            <v>5</v>
          </cell>
        </row>
        <row r="1112">
          <cell r="C1112" t="str">
            <v>RO8102</v>
          </cell>
          <cell r="D1112" t="str">
            <v>50:транспортная точка без АМС и без оборудования БС</v>
          </cell>
          <cell r="E1112" t="str">
            <v>Ростовская Область, Ростов-на-Дону Город, Театральный Проспект, дом 60кв\Литер "А" (8 этаж)</v>
          </cell>
          <cell r="F1112">
            <v>1.1000000000000001</v>
          </cell>
          <cell r="G1112" t="str">
            <v>Осн.</v>
          </cell>
          <cell r="H1112" t="str">
            <v>Ростовская</v>
          </cell>
          <cell r="I1112">
            <v>5</v>
          </cell>
        </row>
        <row r="1113">
          <cell r="C1113" t="str">
            <v>RO8901</v>
          </cell>
          <cell r="D1113" t="str">
            <v>50:транспортная точка без АМС и без оборудования БС</v>
          </cell>
          <cell r="E1113" t="str">
            <v>Ростовская Область, Ростов-на-Дону Город, Театральный Проспект, дом 60кв\литер "А"</v>
          </cell>
          <cell r="F1113">
            <v>1.1000000000000001</v>
          </cell>
          <cell r="G1113" t="str">
            <v>Осн.</v>
          </cell>
          <cell r="H1113" t="str">
            <v>Ростовская</v>
          </cell>
          <cell r="I1113">
            <v>5</v>
          </cell>
        </row>
        <row r="1114">
          <cell r="C1114" t="str">
            <v>RO8902</v>
          </cell>
          <cell r="D1114" t="str">
            <v>50:транспортная точка без АМС и без оборудования БС</v>
          </cell>
          <cell r="E1114" t="str">
            <v>Ростовская Область, Ростов-на-Дону Город, Театральный Проспект, дом 60кв\литер "Г"</v>
          </cell>
          <cell r="F1114">
            <v>1.1000000000000001</v>
          </cell>
          <cell r="G1114" t="str">
            <v>Осн.</v>
          </cell>
          <cell r="H1114" t="str">
            <v>Ростовская</v>
          </cell>
          <cell r="I1114">
            <v>5</v>
          </cell>
        </row>
        <row r="1115">
          <cell r="C1115" t="str">
            <v>RO8903</v>
          </cell>
          <cell r="D1115" t="str">
            <v>50:транспортная точка без АМС и без оборудования БС</v>
          </cell>
          <cell r="E1115" t="str">
            <v>Ростовская Область, Ростов-на-Дону Город, Юфимцева Улица\дом № 17</v>
          </cell>
          <cell r="F1115">
            <v>1.06</v>
          </cell>
          <cell r="G1115" t="str">
            <v>Осн.</v>
          </cell>
          <cell r="H1115" t="str">
            <v>Ростовская</v>
          </cell>
          <cell r="I1115">
            <v>3</v>
          </cell>
        </row>
        <row r="1116">
          <cell r="C1116" t="str">
            <v>RO8904</v>
          </cell>
          <cell r="D1116" t="str">
            <v>50:транспортная точка без АМС и без оборудования БС</v>
          </cell>
          <cell r="E1116" t="str">
            <v>Ростовская Область, Ростов-на-Дону Город, Машиностроительный Переулок\дом 7/110</v>
          </cell>
          <cell r="F1116">
            <v>1.2</v>
          </cell>
          <cell r="G1116" t="str">
            <v>Осн.</v>
          </cell>
          <cell r="H1116" t="str">
            <v>Ростовская</v>
          </cell>
          <cell r="I1116">
            <v>10</v>
          </cell>
        </row>
        <row r="1117">
          <cell r="C1117" t="str">
            <v>RO8905</v>
          </cell>
          <cell r="D1117" t="str">
            <v>50:транспортная точка без АМС и без оборудования БС</v>
          </cell>
          <cell r="E1117" t="str">
            <v>Ростовская Область, Ростов-на-Дону Город, Туполева Улица, дом 16ж</v>
          </cell>
          <cell r="F1117">
            <v>1.28</v>
          </cell>
          <cell r="G1117" t="str">
            <v>Осн.</v>
          </cell>
          <cell r="H1117" t="str">
            <v>Ростовская</v>
          </cell>
          <cell r="I1117">
            <v>14</v>
          </cell>
        </row>
        <row r="1118">
          <cell r="C1118" t="str">
            <v>RO9692</v>
          </cell>
          <cell r="D1118" t="str">
            <v>31:трубостойки на чужой АМС на земле/крыше</v>
          </cell>
          <cell r="E1118" t="str">
            <v>Ростовская Область, Миллеровский Район, Миллерово Город, Котовского Улица\возле АЗС №105</v>
          </cell>
          <cell r="F1118">
            <v>2.78</v>
          </cell>
          <cell r="G1118" t="str">
            <v>Осн.</v>
          </cell>
          <cell r="H1118" t="str">
            <v>Каменская</v>
          </cell>
          <cell r="I1118">
            <v>89</v>
          </cell>
        </row>
        <row r="1119">
          <cell r="C1119" t="str">
            <v>RO9811</v>
          </cell>
          <cell r="D1119" t="str">
            <v>31:трубостойки на чужой АМС на земле/крыше</v>
          </cell>
          <cell r="E1119" t="str">
            <v>Ростовская Область, Советский Район, Чирский Поселок, Шоссейная Улица\1</v>
          </cell>
          <cell r="F1119">
            <v>6.22</v>
          </cell>
          <cell r="G1119" t="str">
            <v>Осн.</v>
          </cell>
          <cell r="H1119" t="str">
            <v>Каменская</v>
          </cell>
          <cell r="I1119">
            <v>261</v>
          </cell>
        </row>
        <row r="1120">
          <cell r="C1120" t="str">
            <v>RO9858</v>
          </cell>
          <cell r="D1120" t="str">
            <v>31:трубостойки на чужой АМС на земле/крыше</v>
          </cell>
          <cell r="E1120" t="str">
            <v>Ростовская Область, Красносулинский Район, Зайцевка Хутор</v>
          </cell>
          <cell r="F1120">
            <v>2.16</v>
          </cell>
          <cell r="G1120" t="str">
            <v>Осн.</v>
          </cell>
          <cell r="H1120" t="str">
            <v>Каменская</v>
          </cell>
          <cell r="I1120">
            <v>58</v>
          </cell>
        </row>
        <row r="1121">
          <cell r="C1121" t="str">
            <v>RO9999</v>
          </cell>
          <cell r="D1121" t="str">
            <v>31:трубостойки на чужой АМС на земле/крыше</v>
          </cell>
          <cell r="E1121" t="str">
            <v>Ростовская Область, Чертковский Район, Терновский Хутор\АМС башня АО "НБК" (ВымпелКом)</v>
          </cell>
          <cell r="F1121">
            <v>4.32</v>
          </cell>
          <cell r="G1121" t="str">
            <v>Осн.</v>
          </cell>
          <cell r="H1121" t="str">
            <v>Каменская</v>
          </cell>
          <cell r="I1121">
            <v>166</v>
          </cell>
        </row>
        <row r="1122">
          <cell r="C1122" t="str">
            <v>RO0378</v>
          </cell>
          <cell r="D1122" t="str">
            <v>43:железобетонный столб - проект УЦН</v>
          </cell>
          <cell r="E1122" t="str">
            <v>Область Ростовская, Район Родионово-Несветайский, Хутор Юдино, Улица Новоселов\7А, примерно 7 м по направлению на запад от границ участка</v>
          </cell>
          <cell r="F1122">
            <v>1.68</v>
          </cell>
          <cell r="G1122" t="str">
            <v>Осн.</v>
          </cell>
          <cell r="H1122" t="str">
            <v>Ростовская</v>
          </cell>
          <cell r="I1122">
            <v>34</v>
          </cell>
        </row>
        <row r="1123">
          <cell r="C1123" t="str">
            <v>RO0884</v>
          </cell>
          <cell r="D1123" t="str">
            <v>13:собст. железобетонный столб с заглубленным фундаментом</v>
          </cell>
          <cell r="E1123" t="str">
            <v>Область Ростовская, Район Октябрьский, Хутор Суворовка, Улица Красноармейская, Домовладение 2\25 м на юго восток</v>
          </cell>
          <cell r="F1123">
            <v>2.2000000000000002</v>
          </cell>
          <cell r="G1123" t="str">
            <v>Осн.</v>
          </cell>
          <cell r="H1123" t="str">
            <v>Ростовская</v>
          </cell>
          <cell r="I1123">
            <v>60</v>
          </cell>
        </row>
        <row r="1124">
          <cell r="C1124" t="str">
            <v>RO0998</v>
          </cell>
          <cell r="D1124" t="str">
            <v>13:собст. железобетонный столб с заглубленным фундаментом</v>
          </cell>
          <cell r="E1124" t="str">
            <v>Область Ростовская, Город Каменск-Шахтинский, Микрорайон Заводской, Улица Дорожная\43</v>
          </cell>
          <cell r="F1124">
            <v>1.5</v>
          </cell>
          <cell r="G1124" t="str">
            <v>Осн.</v>
          </cell>
          <cell r="H1124" t="str">
            <v>Каменская</v>
          </cell>
          <cell r="I1124">
            <v>25</v>
          </cell>
        </row>
        <row r="1125">
          <cell r="C1125" t="str">
            <v>RO1071</v>
          </cell>
          <cell r="D1125" t="str">
            <v>13:собст. железобетонный столб с заглубленным фундаментом</v>
          </cell>
          <cell r="E1125" t="str">
            <v>Область Ростовская, Город Каменск-Шахтинский, Садовое неком-е товарищество Химик\земельный участок № 396</v>
          </cell>
          <cell r="F1125">
            <v>1.1599999999999999</v>
          </cell>
          <cell r="G1125" t="str">
            <v>Осн.</v>
          </cell>
          <cell r="H1125" t="str">
            <v>Каменская</v>
          </cell>
          <cell r="I1125">
            <v>8</v>
          </cell>
        </row>
        <row r="1126">
          <cell r="C1126" t="str">
            <v>RO1105</v>
          </cell>
          <cell r="D1126" t="str">
            <v>43:железобетонный столб - проект УЦН</v>
          </cell>
          <cell r="E1126" t="str">
            <v>Область Ростовская, Район Ремонтненский, Хутор Вольный, Улица Веревкина, Дом 41В\100 м на север</v>
          </cell>
          <cell r="F1126">
            <v>4.84</v>
          </cell>
          <cell r="G1126" t="str">
            <v>Осн.</v>
          </cell>
          <cell r="H1126" t="str">
            <v>Волгодонская</v>
          </cell>
          <cell r="I1126">
            <v>192</v>
          </cell>
        </row>
        <row r="1127">
          <cell r="C1127" t="str">
            <v>RO1107</v>
          </cell>
          <cell r="D1127" t="str">
            <v>43:железобетонный столб - проект УЦН</v>
          </cell>
          <cell r="E1127" t="str">
            <v>Область Ростовская, Район Мартыновский, Хутор Московский, Улица Московская\40 м на севернее от земельного участка для производственных целей - ул. Московская, 94</v>
          </cell>
          <cell r="F1127">
            <v>2.56</v>
          </cell>
          <cell r="G1127" t="str">
            <v>Осн.</v>
          </cell>
          <cell r="H1127" t="str">
            <v>Волгодонская</v>
          </cell>
          <cell r="I1127">
            <v>78</v>
          </cell>
        </row>
        <row r="1128">
          <cell r="C1128" t="str">
            <v>RO1127</v>
          </cell>
          <cell r="D1128" t="str">
            <v>13:собст. железобетонный столб с заглубленным фундаментом</v>
          </cell>
          <cell r="E1128" t="str">
            <v>Область Ростовская, Район Мартыновский, Слобода Большая Орловка, Переулок Лиманский</v>
          </cell>
          <cell r="F1128">
            <v>2.74</v>
          </cell>
          <cell r="G1128" t="str">
            <v>Осн.</v>
          </cell>
          <cell r="H1128" t="str">
            <v>Волгодонская</v>
          </cell>
          <cell r="I1128">
            <v>87</v>
          </cell>
        </row>
        <row r="1129">
          <cell r="C1129" t="str">
            <v>RO1317</v>
          </cell>
          <cell r="D1129" t="str">
            <v>43:железобетонный столб - проект УЦН</v>
          </cell>
          <cell r="E1129" t="str">
            <v>Область Ростовская, Район Кагальницкий, Село Иваново-Шамшево, Улица Пионерская, Дом 29\Примерно 7м. по направлению на запад от границ участка по ул. Пионерская, 29а.</v>
          </cell>
          <cell r="F1129">
            <v>2.2400000000000002</v>
          </cell>
          <cell r="G1129" t="str">
            <v>Осн.</v>
          </cell>
          <cell r="H1129" t="str">
            <v>Ростовская</v>
          </cell>
          <cell r="I1129">
            <v>62</v>
          </cell>
        </row>
        <row r="1130">
          <cell r="C1130" t="str">
            <v>RO1320</v>
          </cell>
          <cell r="D1130" t="str">
            <v>13:собст. железобетонный столб с заглубленным фундаментом</v>
          </cell>
          <cell r="E1130" t="str">
            <v>Область Ростовская, Район Октябрьский, Поселок Кадамовский\район полигона "Кадамовский", примерно 1890м на восток от здания администрации Персиановского сельского поселения</v>
          </cell>
          <cell r="F1130">
            <v>2.04</v>
          </cell>
          <cell r="G1130" t="str">
            <v>Осн.</v>
          </cell>
          <cell r="H1130" t="str">
            <v>Ростовская</v>
          </cell>
          <cell r="I1130">
            <v>52</v>
          </cell>
        </row>
        <row r="1131">
          <cell r="C1131" t="str">
            <v>RO1336</v>
          </cell>
          <cell r="D1131" t="str">
            <v>43:железобетонный столб - проект УЦН</v>
          </cell>
          <cell r="E1131" t="str">
            <v>Область Ростовская, Район Багаевский\п. Ясный, примерно 80 м по направлению на запад от участка по адресу: ул. Южная № 3, кв. 1</v>
          </cell>
          <cell r="F1131">
            <v>2.06</v>
          </cell>
          <cell r="G1131" t="str">
            <v>Осн.</v>
          </cell>
          <cell r="H1131" t="str">
            <v>Ростовская</v>
          </cell>
          <cell r="I1131">
            <v>53</v>
          </cell>
        </row>
        <row r="1132">
          <cell r="C1132" t="str">
            <v>RO1361</v>
          </cell>
          <cell r="D1132" t="str">
            <v>21:собст. АМС до 10 м на крыше</v>
          </cell>
          <cell r="E1132" t="str">
            <v>Ростовская Область, Ростов-на-Дону Город, Андреева Переулок, дом 4/9</v>
          </cell>
          <cell r="F1132">
            <v>1.28</v>
          </cell>
          <cell r="G1132" t="str">
            <v>Осн.</v>
          </cell>
          <cell r="H1132" t="str">
            <v>Ростовская</v>
          </cell>
          <cell r="I1132">
            <v>14</v>
          </cell>
        </row>
        <row r="1133">
          <cell r="C1133" t="str">
            <v>RO1370</v>
          </cell>
          <cell r="D1133" t="str">
            <v>31:трубостойки на чужой АМС на земле/крыше</v>
          </cell>
          <cell r="E1133" t="str">
            <v>Город Новошахтинск, Улица Тургенева, Дом 5\А</v>
          </cell>
          <cell r="F1133">
            <v>2.56</v>
          </cell>
          <cell r="G1133" t="str">
            <v>Осн.</v>
          </cell>
          <cell r="H1133" t="str">
            <v>Ростовская</v>
          </cell>
          <cell r="I1133">
            <v>78</v>
          </cell>
        </row>
        <row r="1134">
          <cell r="C1134" t="str">
            <v>RO1377</v>
          </cell>
          <cell r="D1134" t="str">
            <v>13:собст. железобетонный столб с заглубленным фундаментом</v>
          </cell>
          <cell r="E1134" t="str">
            <v>Ростовская Область, Каменский Район, Верхний Пиховкин Хутор</v>
          </cell>
          <cell r="F1134">
            <v>1.66</v>
          </cell>
          <cell r="G1134" t="str">
            <v>Осн.</v>
          </cell>
          <cell r="H1134" t="str">
            <v>Каменская</v>
          </cell>
          <cell r="I1134">
            <v>33</v>
          </cell>
        </row>
        <row r="1135">
          <cell r="C1135" t="str">
            <v>RO1390</v>
          </cell>
          <cell r="D1135" t="str">
            <v>43:железобетонный столб - проект УЦН</v>
          </cell>
          <cell r="E1135" t="str">
            <v>Ростовская Область, Красносулинский Район, Ребриковка Село, Веселая Улица, дом 15\63 м на юг</v>
          </cell>
          <cell r="F1135">
            <v>2.42</v>
          </cell>
          <cell r="G1135" t="str">
            <v>Осн.</v>
          </cell>
          <cell r="H1135" t="str">
            <v>Каменская</v>
          </cell>
          <cell r="I1135">
            <v>71</v>
          </cell>
        </row>
        <row r="1136">
          <cell r="C1136" t="str">
            <v>RO1391</v>
          </cell>
          <cell r="D1136" t="str">
            <v>30:трубостойки на АМС БК Пилар</v>
          </cell>
          <cell r="E1136" t="str">
            <v>Область Ростовская, Город Ростов-на-Дону, Улица 45-я линия, Дом 1г</v>
          </cell>
          <cell r="F1136">
            <v>1.1599999999999999</v>
          </cell>
          <cell r="G1136" t="str">
            <v>Осн.</v>
          </cell>
          <cell r="H1136" t="str">
            <v>Ростовская</v>
          </cell>
          <cell r="I1136">
            <v>8</v>
          </cell>
        </row>
        <row r="1137">
          <cell r="C1137" t="str">
            <v>RO1634</v>
          </cell>
          <cell r="D1137" t="str">
            <v>69:УЦН РТК</v>
          </cell>
          <cell r="E1137" t="str">
            <v>Ростовская Область, Аксайский Район, Возрожденный Поселок, Школьная Улица\40 м южнее от дома №2</v>
          </cell>
          <cell r="F1137">
            <v>1.64</v>
          </cell>
          <cell r="G1137" t="str">
            <v>Осн.</v>
          </cell>
          <cell r="H1137" t="str">
            <v>Ростовская</v>
          </cell>
          <cell r="I1137">
            <v>32</v>
          </cell>
        </row>
        <row r="1138">
          <cell r="C1138" t="str">
            <v>RO1635</v>
          </cell>
          <cell r="D1138" t="str">
            <v>69:УЦН РТК</v>
          </cell>
          <cell r="E1138" t="str">
            <v>Ростовская Область, Аксайский Район, Элитный Поселок\ул. Аксайская 10 (40 метров на восток)</v>
          </cell>
          <cell r="F1138">
            <v>1.6</v>
          </cell>
          <cell r="G1138" t="str">
            <v>Осн.</v>
          </cell>
          <cell r="H1138" t="str">
            <v>Ростовская</v>
          </cell>
          <cell r="I1138">
            <v>30</v>
          </cell>
        </row>
        <row r="1139">
          <cell r="C1139" t="str">
            <v>RO1671</v>
          </cell>
          <cell r="D1139" t="str">
            <v>43:железобетонный столб - проект УЦН</v>
          </cell>
          <cell r="E1139" t="str">
            <v>Ростовская Область, Азовский Район, Койсугский Разъезд, Солнечная Улица, дом 53\примерно 250 м. на юго-запад от жилого дома</v>
          </cell>
          <cell r="F1139">
            <v>1.68</v>
          </cell>
          <cell r="G1139" t="str">
            <v>Осн.</v>
          </cell>
          <cell r="H1139" t="str">
            <v>Ростовская</v>
          </cell>
          <cell r="I1139">
            <v>34</v>
          </cell>
        </row>
        <row r="1140">
          <cell r="C1140" t="str">
            <v>RO1673</v>
          </cell>
          <cell r="D1140" t="str">
            <v>31:трубостойки на чужой АМС на земле/крыше</v>
          </cell>
          <cell r="E1140" t="str">
            <v>Ростовская Область, Зимовниковский Район, Камышев Хутор\примерно в 70 метрах на юго-восток от дома № 32 по ул. Степной,  АМС ФГУП РТРС</v>
          </cell>
          <cell r="F1140">
            <v>2.64</v>
          </cell>
          <cell r="G1140" t="str">
            <v>Осн.</v>
          </cell>
          <cell r="H1140" t="str">
            <v>Волгодонская</v>
          </cell>
          <cell r="I1140">
            <v>82</v>
          </cell>
        </row>
        <row r="1141">
          <cell r="C1141" t="str">
            <v>RO1676</v>
          </cell>
          <cell r="D1141" t="str">
            <v>31:трубостойки на чужой АМС на земле/крыше</v>
          </cell>
          <cell r="E1141" t="str">
            <v>Ростовская Область, Константиновский Район, Константиновск Город, Комсомольская Улица, дом 143\А, АМС ФГУП РТРС</v>
          </cell>
          <cell r="F1141">
            <v>3.04</v>
          </cell>
          <cell r="G1141" t="str">
            <v>Осн.</v>
          </cell>
          <cell r="H1141" t="str">
            <v>Волгодонская</v>
          </cell>
          <cell r="I1141">
            <v>102</v>
          </cell>
        </row>
        <row r="1142">
          <cell r="C1142" t="str">
            <v>RO1684</v>
          </cell>
          <cell r="D1142" t="str">
            <v>43:железобетонный столб - проект УЦН</v>
          </cell>
          <cell r="E1142" t="str">
            <v>Область Ростовская, Район Азовский, Станица Елизаветинская, Улица Береговая\на юг через дорогу от д 19А</v>
          </cell>
          <cell r="F1142">
            <v>1.52</v>
          </cell>
          <cell r="G1142" t="str">
            <v>Осн.</v>
          </cell>
          <cell r="H1142" t="str">
            <v>Ростовская</v>
          </cell>
          <cell r="I1142">
            <v>26</v>
          </cell>
        </row>
        <row r="1143">
          <cell r="C1143" t="str">
            <v>RO1730</v>
          </cell>
          <cell r="D1143" t="str">
            <v>69:УЦН РТК</v>
          </cell>
          <cell r="E1143" t="str">
            <v>Ростовская Область, Кашарский Район, Вишневка Хутор\170 м на север от ул. Молодежная</v>
          </cell>
          <cell r="F1143">
            <v>4.0999999999999996</v>
          </cell>
          <cell r="G1143" t="str">
            <v>Осн.</v>
          </cell>
          <cell r="H1143" t="str">
            <v>Каменская</v>
          </cell>
          <cell r="I1143">
            <v>155</v>
          </cell>
        </row>
        <row r="1144">
          <cell r="C1144" t="str">
            <v>RO1751</v>
          </cell>
          <cell r="D1144" t="str">
            <v>69:УЦН РТК</v>
          </cell>
          <cell r="E1144" t="str">
            <v>Ростовская Область, Кашарский Район, Теплые Ключи Поселок\250 м на северо восток от фермы</v>
          </cell>
          <cell r="F1144">
            <v>4.9800000000000004</v>
          </cell>
          <cell r="G1144" t="str">
            <v>Осн.</v>
          </cell>
          <cell r="H1144" t="str">
            <v>Каменская</v>
          </cell>
          <cell r="I1144">
            <v>199</v>
          </cell>
        </row>
        <row r="1145">
          <cell r="C1145" t="str">
            <v>RO1780</v>
          </cell>
          <cell r="D1145" t="str">
            <v>43:железобетонный столб - проект УЦН</v>
          </cell>
          <cell r="E1145" t="str">
            <v>Ростовская Область, Семикаракорский Район, Лиманский Хутор, Школьная Улица, дом 21\16 м по направлению на восток</v>
          </cell>
          <cell r="F1145">
            <v>3.52</v>
          </cell>
          <cell r="G1145" t="str">
            <v>Осн.</v>
          </cell>
          <cell r="H1145" t="str">
            <v>Волгодонская</v>
          </cell>
          <cell r="I1145">
            <v>126</v>
          </cell>
        </row>
        <row r="1146">
          <cell r="C1146" t="str">
            <v>RO1784</v>
          </cell>
          <cell r="D1146" t="str">
            <v>69:УЦН РТК</v>
          </cell>
          <cell r="E1146" t="str">
            <v>Ростовская Область, Красносулинский Район, Новоровенецкий Хутор, Карьерная Улица</v>
          </cell>
          <cell r="F1146">
            <v>2.2799999999999998</v>
          </cell>
          <cell r="G1146" t="str">
            <v>Осн.</v>
          </cell>
          <cell r="H1146" t="str">
            <v>Каменская</v>
          </cell>
          <cell r="I1146">
            <v>64</v>
          </cell>
        </row>
        <row r="1147">
          <cell r="C1147" t="str">
            <v>RO1816</v>
          </cell>
          <cell r="D1147" t="str">
            <v>43:железобетонный столб - проект УЦН</v>
          </cell>
          <cell r="E1147" t="str">
            <v>Ростовская Область, Багаевский Район, Калинин Хутор\ул. Широкая, 54а, примерно 10 м по направлению на юго-восток</v>
          </cell>
          <cell r="F1147">
            <v>3.12</v>
          </cell>
          <cell r="G1147" t="str">
            <v>Осн.</v>
          </cell>
          <cell r="H1147" t="str">
            <v>Ростовская</v>
          </cell>
          <cell r="I1147">
            <v>106</v>
          </cell>
        </row>
        <row r="1148">
          <cell r="C1148" t="str">
            <v>RO1822</v>
          </cell>
          <cell r="D1148" t="str">
            <v>43:железобетонный столб - проект УЦН</v>
          </cell>
          <cell r="E1148" t="str">
            <v>Ростовская Область, Верхнедонской Район, Колодезный Хутор, Колодезная Улица, дом 103\Примерно 155м. на восток от дома 103 по ул. Колодезная.</v>
          </cell>
          <cell r="F1148">
            <v>6.16</v>
          </cell>
          <cell r="G1148" t="str">
            <v>Осн.</v>
          </cell>
          <cell r="H1148" t="str">
            <v>Каменская</v>
          </cell>
          <cell r="I1148">
            <v>258</v>
          </cell>
        </row>
        <row r="1149">
          <cell r="C1149" t="str">
            <v>RO1823</v>
          </cell>
          <cell r="D1149" t="str">
            <v>43:железобетонный столб - проект УЦН</v>
          </cell>
          <cell r="E1149" t="str">
            <v>Ростовская Область, Верхнедонской Район, Макаровский Хутор, Макаровская Улица\Примерно 50м. на север от дома 87 Б по ул. Макаровская.</v>
          </cell>
          <cell r="F1149">
            <v>4.96</v>
          </cell>
          <cell r="G1149" t="str">
            <v>Осн.</v>
          </cell>
          <cell r="H1149" t="str">
            <v>Каменская</v>
          </cell>
          <cell r="I1149">
            <v>198</v>
          </cell>
        </row>
        <row r="1150">
          <cell r="C1150" t="str">
            <v>RO1824</v>
          </cell>
          <cell r="D1150" t="str">
            <v>43:железобетонный столб - проект УЦН</v>
          </cell>
          <cell r="E1150" t="str">
            <v>Ростовская Область, Верхнедонской Район, Михайловский Хутор, Степная Улица, дом 60\Примерно 97 м. на юг от границы участка по адресу ул. Степная, 60а</v>
          </cell>
          <cell r="F1150">
            <v>4.8600000000000003</v>
          </cell>
          <cell r="G1150" t="str">
            <v>Осн.</v>
          </cell>
          <cell r="H1150" t="str">
            <v>Каменская</v>
          </cell>
          <cell r="I1150">
            <v>193</v>
          </cell>
        </row>
        <row r="1151">
          <cell r="C1151" t="str">
            <v>RO1829</v>
          </cell>
          <cell r="D1151" t="str">
            <v>43:железобетонный столб - проект УЦН</v>
          </cell>
          <cell r="E1151" t="str">
            <v>Ростовская Область, Дубовский Район, Советский Хутор, Степная Улица\Степная д. 16, примерно 23 м. по направлению на север от границ</v>
          </cell>
          <cell r="F1151">
            <v>3.48</v>
          </cell>
          <cell r="G1151" t="str">
            <v>Осн.</v>
          </cell>
          <cell r="H1151" t="str">
            <v>Волгодонская</v>
          </cell>
          <cell r="I1151">
            <v>124</v>
          </cell>
        </row>
        <row r="1152">
          <cell r="C1152" t="str">
            <v>RO1830</v>
          </cell>
          <cell r="D1152" t="str">
            <v>43:железобетонный столб - проект УЦН</v>
          </cell>
          <cell r="E1152" t="str">
            <v>Ростовская Область, Тацинский Район, Калмыков Хутор, 8 Марта Улица, дом 25\75 м на восток</v>
          </cell>
          <cell r="F1152">
            <v>3.76</v>
          </cell>
          <cell r="G1152" t="str">
            <v>Осн.</v>
          </cell>
          <cell r="H1152" t="str">
            <v>Каменская</v>
          </cell>
          <cell r="I1152">
            <v>138</v>
          </cell>
        </row>
        <row r="1153">
          <cell r="C1153" t="str">
            <v>RO1832</v>
          </cell>
          <cell r="D1153" t="str">
            <v>43:железобетонный столб - проект УЦН</v>
          </cell>
          <cell r="E1153" t="str">
            <v>Ростовская Область, Шолоховский Район, Поповский Хутор, Центральная Улица, дом стр7а\Примерно 29м. на восток от дома 7А.</v>
          </cell>
          <cell r="F1153">
            <v>6.16</v>
          </cell>
          <cell r="G1153" t="str">
            <v>Осн.</v>
          </cell>
          <cell r="H1153" t="str">
            <v>Каменская</v>
          </cell>
          <cell r="I1153">
            <v>258</v>
          </cell>
        </row>
        <row r="1154">
          <cell r="C1154" t="str">
            <v>RO1854</v>
          </cell>
          <cell r="D1154" t="str">
            <v>69:УЦН РТК</v>
          </cell>
          <cell r="E1154" t="str">
            <v>Ростовская Область, Цимлянский Район, Терновская Станица, Центральная Улица\70 м южнее здания отделения почты</v>
          </cell>
          <cell r="F1154">
            <v>1.94</v>
          </cell>
          <cell r="G1154" t="str">
            <v>Осн.</v>
          </cell>
          <cell r="H1154" t="str">
            <v>Волгодонская</v>
          </cell>
          <cell r="I1154">
            <v>47</v>
          </cell>
        </row>
        <row r="1155">
          <cell r="C1155" t="str">
            <v>RO1875</v>
          </cell>
          <cell r="D1155" t="str">
            <v>43:железобетонный столб - проект УЦН</v>
          </cell>
          <cell r="E1155" t="str">
            <v>Ростовская Область, Азовский Район, Ленинский Лесхоз Поселок, Лесная Улица, дом 1\примерно 120 м. на юго-запад от домовладения</v>
          </cell>
          <cell r="F1155">
            <v>2.86</v>
          </cell>
          <cell r="G1155" t="str">
            <v>Осн.</v>
          </cell>
          <cell r="H1155" t="str">
            <v>Ростовская</v>
          </cell>
          <cell r="I1155">
            <v>93</v>
          </cell>
        </row>
        <row r="1156">
          <cell r="C1156" t="str">
            <v>RO1907</v>
          </cell>
          <cell r="D1156" t="str">
            <v>43:железобетонный столб - проект УЦН</v>
          </cell>
          <cell r="E1156" t="str">
            <v>Ростовская Область, Азовский Район, Бурхановка Хутор, Октябрьская Улица\примерно в 30 м. на юго-запад от здания №18 В</v>
          </cell>
          <cell r="F1156">
            <v>2.1</v>
          </cell>
          <cell r="G1156" t="str">
            <v>Осн.</v>
          </cell>
          <cell r="H1156" t="str">
            <v>Ростовская</v>
          </cell>
          <cell r="I1156">
            <v>55</v>
          </cell>
        </row>
        <row r="1157">
          <cell r="C1157" t="str">
            <v>RO1952</v>
          </cell>
          <cell r="D1157" t="str">
            <v>43:железобетонный столб - проект УЦН</v>
          </cell>
          <cell r="E1157" t="str">
            <v>Область Ростовская, Район Милютинский, Хутор Новодмитриевский, Улица Агеевка, Домовладение 1\Примерно 106м. на юг от дома 1.</v>
          </cell>
          <cell r="F1157">
            <v>5.0999999999999996</v>
          </cell>
          <cell r="G1157" t="str">
            <v>Осн.</v>
          </cell>
          <cell r="H1157" t="str">
            <v>Каменская</v>
          </cell>
          <cell r="I1157">
            <v>205</v>
          </cell>
        </row>
        <row r="1158">
          <cell r="C1158" t="str">
            <v>RO1962</v>
          </cell>
          <cell r="D1158" t="str">
            <v>13:собст. железобетонный столб с заглубленным фундаментом</v>
          </cell>
          <cell r="E1158" t="str">
            <v>Область Ростовская, Район Каменский, Рабочий поселок Глубокий, Улица Садовая\25 м на восток от границ земельного участка ул. Садовая 2 А</v>
          </cell>
          <cell r="F1158">
            <v>1.7</v>
          </cell>
          <cell r="G1158" t="str">
            <v>Осн.</v>
          </cell>
          <cell r="H1158" t="str">
            <v>Каменская</v>
          </cell>
          <cell r="I1158">
            <v>35</v>
          </cell>
        </row>
        <row r="1159">
          <cell r="C1159" t="str">
            <v>RO1968</v>
          </cell>
          <cell r="D1159" t="str">
            <v>43:железобетонный столб - проект УЦН</v>
          </cell>
          <cell r="E1159" t="str">
            <v>Область Ростовская, Район Белокалитвинский, Хутор Демишев, Улица Молодежная, Домовладение 25\Примерно 19м. на восток от границ участка д.25.</v>
          </cell>
          <cell r="F1159">
            <v>3.08</v>
          </cell>
          <cell r="G1159" t="str">
            <v>Осн.</v>
          </cell>
          <cell r="H1159" t="str">
            <v>Каменская</v>
          </cell>
          <cell r="I1159">
            <v>104</v>
          </cell>
        </row>
        <row r="1160">
          <cell r="C1160" t="str">
            <v>RO1976</v>
          </cell>
          <cell r="D1160" t="str">
            <v>43:железобетонный столб - проект УЦН</v>
          </cell>
          <cell r="E1160" t="str">
            <v>Область Ростовская, Район Зерноградский, Село Ленинка, Улица Парковая, Здание 6\Примерно 19м. на восток от границ участка по ул. Парковая, 6.</v>
          </cell>
          <cell r="F1160">
            <v>3.56</v>
          </cell>
          <cell r="G1160" t="str">
            <v>Осн.</v>
          </cell>
          <cell r="H1160" t="str">
            <v>Ростовская</v>
          </cell>
          <cell r="I1160">
            <v>128</v>
          </cell>
        </row>
        <row r="1161">
          <cell r="C1161" t="str">
            <v>RO1978</v>
          </cell>
          <cell r="D1161" t="str">
            <v>43:железобетонный столб - проект УЦН</v>
          </cell>
          <cell r="E1161" t="str">
            <v>Область Ростовская, Район Каменский, Хутор Караичев, Улица Центральная, Дом 25\Примерно 116. на северо-восток от дома 25.</v>
          </cell>
          <cell r="F1161">
            <v>1.96</v>
          </cell>
          <cell r="G1161" t="str">
            <v>Осн.</v>
          </cell>
          <cell r="H1161" t="str">
            <v>Каменская</v>
          </cell>
          <cell r="I1161">
            <v>48</v>
          </cell>
        </row>
        <row r="1162">
          <cell r="C1162" t="str">
            <v>RO1982</v>
          </cell>
          <cell r="D1162" t="str">
            <v>43:железобетонный столб - проект УЦН</v>
          </cell>
          <cell r="E1162" t="str">
            <v>Ростовская Область, Константиновский Район, Трофимов Хутор, Степная Улица, дом 26\145 м по направлению на юго-запад</v>
          </cell>
          <cell r="F1162">
            <v>3.66</v>
          </cell>
          <cell r="G1162" t="str">
            <v>Осн.</v>
          </cell>
          <cell r="H1162" t="str">
            <v>Волгодонская</v>
          </cell>
          <cell r="I1162">
            <v>133</v>
          </cell>
        </row>
        <row r="1163">
          <cell r="C1163" t="str">
            <v>RO2082</v>
          </cell>
          <cell r="D1163" t="str">
            <v>43:железобетонный столб - проект УЦН</v>
          </cell>
          <cell r="E1163" t="str">
            <v>Ростовская Область, Красносулинский Район, Богненко Хутор, Центральная Улица, дом 29\97 м по направлению на запад</v>
          </cell>
          <cell r="F1163">
            <v>2.6</v>
          </cell>
          <cell r="G1163" t="str">
            <v>Осн.</v>
          </cell>
          <cell r="H1163" t="str">
            <v>Ростовская</v>
          </cell>
          <cell r="I1163">
            <v>80</v>
          </cell>
        </row>
        <row r="1164">
          <cell r="C1164" t="str">
            <v>RO2088</v>
          </cell>
          <cell r="D1164" t="str">
            <v>43:железобетонный столб - проект УЦН</v>
          </cell>
          <cell r="E1164" t="str">
            <v>Область Ростовская, Район Азовский, Село Платоно-Петровка, Переулок Соколова\2А,  30 м по направлению на восток</v>
          </cell>
          <cell r="F1164">
            <v>1.98</v>
          </cell>
          <cell r="G1164" t="str">
            <v>Осн.</v>
          </cell>
          <cell r="H1164" t="str">
            <v>Ростовская</v>
          </cell>
          <cell r="I1164">
            <v>49</v>
          </cell>
        </row>
        <row r="1165">
          <cell r="C1165" t="str">
            <v>RO2160</v>
          </cell>
          <cell r="D1165" t="str">
            <v>43:железобетонный столб - проект УЦН</v>
          </cell>
          <cell r="E1165" t="str">
            <v>Ростовская Область, Октябрьский Район, Заозерье Поселок, Центральная Улица\Примерно 36м. на северо-запад от дома 29.</v>
          </cell>
          <cell r="F1165">
            <v>2.66</v>
          </cell>
          <cell r="G1165" t="str">
            <v>Осн.</v>
          </cell>
          <cell r="H1165" t="str">
            <v>Ростовская</v>
          </cell>
          <cell r="I1165">
            <v>83</v>
          </cell>
        </row>
        <row r="1166">
          <cell r="C1166" t="str">
            <v>RO2172</v>
          </cell>
          <cell r="D1166" t="str">
            <v>31:трубостойки на чужой АМС на земле/крыше</v>
          </cell>
          <cell r="E1166" t="str">
            <v>Ростовская Область, Обливский Район, Каштановский Поселок, Вишневый Переулок\13, АМС ФГУП РТРС</v>
          </cell>
          <cell r="F1166">
            <v>4.8600000000000003</v>
          </cell>
          <cell r="G1166" t="str">
            <v>Осн.</v>
          </cell>
          <cell r="H1166" t="str">
            <v>Волгодонская</v>
          </cell>
          <cell r="I1166">
            <v>193</v>
          </cell>
        </row>
        <row r="1167">
          <cell r="C1167" t="str">
            <v>RO2263</v>
          </cell>
          <cell r="D1167" t="str">
            <v>69:УЦН РТК</v>
          </cell>
          <cell r="E1167" t="str">
            <v>Ростовская Область, Кашарский Район, Новопавловка Село\160 м на север от ул. Октябрьской,100м на запад от края ул.Степная</v>
          </cell>
          <cell r="F1167">
            <v>3.84</v>
          </cell>
          <cell r="G1167" t="str">
            <v>Осн.</v>
          </cell>
          <cell r="H1167" t="str">
            <v>Каменская</v>
          </cell>
          <cell r="I1167">
            <v>142</v>
          </cell>
        </row>
        <row r="1168">
          <cell r="C1168" t="str">
            <v>RO2298</v>
          </cell>
          <cell r="D1168" t="str">
            <v>13:собст. железобетонный столб с заглубленным фундаментом</v>
          </cell>
          <cell r="E1168" t="str">
            <v>Ростовская Область, Каменский Район, Урывский Хутор\в северном направлении от ул. Молодежная, д. 64</v>
          </cell>
          <cell r="F1168">
            <v>1.76</v>
          </cell>
          <cell r="G1168" t="str">
            <v>Осн.</v>
          </cell>
          <cell r="H1168" t="str">
            <v>Каменская</v>
          </cell>
          <cell r="I1168">
            <v>38</v>
          </cell>
        </row>
        <row r="1169">
          <cell r="C1169" t="str">
            <v>RO2317</v>
          </cell>
          <cell r="D1169" t="str">
            <v>42:металлический столб - проект УЦН</v>
          </cell>
          <cell r="E1169" t="str">
            <v>Область Ростовская, Район Шолоховский, Хутор Гороховский, Улица Асфальтная\примерно в 53 м по направлению на север от границ земельного участка ул. Асфальтная, 38</v>
          </cell>
          <cell r="F1169">
            <v>5.78</v>
          </cell>
          <cell r="G1169" t="str">
            <v>Осн.</v>
          </cell>
          <cell r="H1169" t="str">
            <v>Каменская</v>
          </cell>
          <cell r="I1169">
            <v>239</v>
          </cell>
        </row>
        <row r="1170">
          <cell r="C1170" t="str">
            <v>RO2345</v>
          </cell>
          <cell r="D1170" t="str">
            <v>43:железобетонный столб - проект УЦН</v>
          </cell>
          <cell r="E1170" t="str">
            <v>Область Ростовская, Район Шолоховский, Хутор Затонский, Улица Центральная, Владение 58\Примерно 70м. на юго-запад от дома 58.</v>
          </cell>
          <cell r="F1170">
            <v>5.8</v>
          </cell>
          <cell r="G1170" t="str">
            <v>Осн.</v>
          </cell>
          <cell r="H1170" t="str">
            <v>Каменская</v>
          </cell>
          <cell r="I1170">
            <v>240</v>
          </cell>
        </row>
        <row r="1171">
          <cell r="C1171" t="str">
            <v>RO2351</v>
          </cell>
          <cell r="D1171" t="str">
            <v>43:железобетонный столб - проект УЦН</v>
          </cell>
          <cell r="E1171" t="str">
            <v>Область Ростовская, Район Октябрьский, Хутор Веселая Бахмутовка, Улица Дорожная, Дом 8\Примерно 14м. на запад от границ участка дома №8</v>
          </cell>
          <cell r="F1171">
            <v>2.96</v>
          </cell>
          <cell r="G1171" t="str">
            <v>Осн.</v>
          </cell>
          <cell r="H1171" t="str">
            <v>Ростовская</v>
          </cell>
          <cell r="I1171">
            <v>98</v>
          </cell>
        </row>
        <row r="1172">
          <cell r="C1172" t="str">
            <v>RO2600</v>
          </cell>
          <cell r="D1172" t="str">
            <v>66:временная не мобильная БС</v>
          </cell>
          <cell r="E1172" t="str">
            <v>Область Ростовская, Город Ростов-на-Дону, Улица Большая Садовая, Дом 121\временная</v>
          </cell>
          <cell r="F1172">
            <v>1.1000000000000001</v>
          </cell>
          <cell r="G1172" t="str">
            <v>Осн.</v>
          </cell>
          <cell r="H1172" t="str">
            <v>Ростовская</v>
          </cell>
          <cell r="I1172">
            <v>5</v>
          </cell>
        </row>
        <row r="1173">
          <cell r="C1173" t="str">
            <v>RO2601</v>
          </cell>
          <cell r="D1173" t="str">
            <v>66:временная не мобильная БС</v>
          </cell>
          <cell r="E1173" t="str">
            <v>Область Ростовская, Город Ростов-на-Дону, Улица Большая Садовая, Дом 121\временная</v>
          </cell>
          <cell r="F1173">
            <v>1.1000000000000001</v>
          </cell>
          <cell r="G1173" t="str">
            <v>Осн.</v>
          </cell>
          <cell r="H1173" t="str">
            <v>Ростовская</v>
          </cell>
          <cell r="I1173">
            <v>5</v>
          </cell>
        </row>
        <row r="1174">
          <cell r="C1174" t="str">
            <v>RO2674</v>
          </cell>
          <cell r="D1174" t="str">
            <v>31:трубостойки на чужой АМС на земле/крыше</v>
          </cell>
          <cell r="E1174" t="str">
            <v>Ростовская Область, Мартыновский Район, Зеленолугский Поселок, Школьная Улица, дом 1а\АМС ФГУП "РТРС"</v>
          </cell>
          <cell r="F1174">
            <v>2.9</v>
          </cell>
          <cell r="G1174" t="str">
            <v>Осн.</v>
          </cell>
          <cell r="H1174" t="str">
            <v>Волгодонская</v>
          </cell>
          <cell r="I1174">
            <v>95</v>
          </cell>
        </row>
        <row r="1175">
          <cell r="C1175" t="str">
            <v>RO2886</v>
          </cell>
          <cell r="D1175" t="str">
            <v>13:собст. железобетонный столб с заглубленным фундаментом</v>
          </cell>
          <cell r="E1175" t="str">
            <v>Область Ростовская, Район Октябрьский, Поселок Персиановский\Примерно 20м. на запад от границ участка в районе железной дороги, Лит. Г 32</v>
          </cell>
          <cell r="F1175">
            <v>2.1</v>
          </cell>
          <cell r="G1175" t="str">
            <v>Осн.</v>
          </cell>
          <cell r="H1175" t="str">
            <v>Ростовская</v>
          </cell>
          <cell r="I1175">
            <v>55</v>
          </cell>
        </row>
        <row r="1176">
          <cell r="C1176" t="str">
            <v>RO2934</v>
          </cell>
          <cell r="D1176" t="str">
            <v>13:собст. железобетонный столб с заглубленным фундаментом</v>
          </cell>
          <cell r="E1176" t="str">
            <v>Область Ростовская, Город Азов, Проезд Объездной\15</v>
          </cell>
          <cell r="F1176">
            <v>1.7</v>
          </cell>
          <cell r="G1176" t="str">
            <v>Осн.</v>
          </cell>
          <cell r="H1176" t="str">
            <v>Ростовская</v>
          </cell>
          <cell r="I1176">
            <v>35</v>
          </cell>
        </row>
        <row r="1177">
          <cell r="C1177" t="str">
            <v>EL0003</v>
          </cell>
          <cell r="D1177" t="str">
            <v>43:железобетонный столб - проект УЦН</v>
          </cell>
          <cell r="E1177" t="str">
            <v>Республика Калмыкия, Район Яшкульский, Поселок Цаган-Усн</v>
          </cell>
          <cell r="F1177">
            <v>3.24</v>
          </cell>
          <cell r="G1177" t="str">
            <v>Осн.</v>
          </cell>
          <cell r="H1177" t="str">
            <v>Волгодонская</v>
          </cell>
          <cell r="I1177">
            <v>112</v>
          </cell>
        </row>
        <row r="1178">
          <cell r="C1178" t="str">
            <v>EL0900</v>
          </cell>
          <cell r="D1178" t="str">
            <v>43:железобетонный столб - проект УЦН</v>
          </cell>
          <cell r="E1178" t="str">
            <v>Республика Калмыкия, Город Элиста, Поселок Лола</v>
          </cell>
          <cell r="F1178">
            <v>1.46</v>
          </cell>
          <cell r="G1178" t="str">
            <v>Осн.</v>
          </cell>
          <cell r="H1178" t="str">
            <v>Волгодонская</v>
          </cell>
          <cell r="I1178">
            <v>23</v>
          </cell>
        </row>
        <row r="1179">
          <cell r="C1179" t="str">
            <v>EL0902</v>
          </cell>
          <cell r="D1179" t="str">
            <v>43:железобетонный столб - проект УЦН</v>
          </cell>
          <cell r="E1179" t="str">
            <v>Республика Калмыкия, Район Ики-Бурульский, Поселок Чолун Хамур</v>
          </cell>
          <cell r="F1179">
            <v>3.24</v>
          </cell>
          <cell r="G1179" t="str">
            <v>Осн.</v>
          </cell>
          <cell r="H1179" t="str">
            <v>Волгодонская</v>
          </cell>
          <cell r="I1179">
            <v>112</v>
          </cell>
        </row>
        <row r="1180">
          <cell r="C1180" t="str">
            <v>EL0908</v>
          </cell>
          <cell r="D1180" t="str">
            <v>43:железобетонный столб - проект УЦН</v>
          </cell>
          <cell r="E1180" t="str">
            <v>Республика Калмыкия, Район Яшкульский, Поселок Тавн Гашун</v>
          </cell>
          <cell r="F1180">
            <v>3.86</v>
          </cell>
          <cell r="G1180" t="str">
            <v>Осн.</v>
          </cell>
          <cell r="H1180" t="str">
            <v>Волгодонская</v>
          </cell>
          <cell r="I1180">
            <v>143</v>
          </cell>
        </row>
        <row r="1181">
          <cell r="C1181" t="str">
            <v>EL0910</v>
          </cell>
          <cell r="D1181" t="str">
            <v>43:железобетонный столб - проект УЦН</v>
          </cell>
          <cell r="E1181" t="str">
            <v>Республика Калмыкия, Район Лаганский, Село Буранное</v>
          </cell>
          <cell r="F1181">
            <v>8</v>
          </cell>
          <cell r="G1181" t="str">
            <v>Осн.</v>
          </cell>
          <cell r="H1181" t="str">
            <v>Волгодонская</v>
          </cell>
          <cell r="I1181">
            <v>350</v>
          </cell>
        </row>
        <row r="1182">
          <cell r="C1182" t="str">
            <v>EL1160</v>
          </cell>
          <cell r="D1182" t="str">
            <v>32:трубостойки/АМС на: трубе, элеваторе, водонап.башне</v>
          </cell>
          <cell r="E1182" t="str">
            <v>Республика Калмыкия, г.Элиста, проезд 8 марта, 9А</v>
          </cell>
          <cell r="F1182">
            <v>1</v>
          </cell>
          <cell r="G1182" t="str">
            <v>Осн.</v>
          </cell>
          <cell r="H1182" t="str">
            <v>Волгодонская</v>
          </cell>
          <cell r="I1182">
            <v>0</v>
          </cell>
        </row>
        <row r="1183">
          <cell r="C1183" t="str">
            <v>EL1162</v>
          </cell>
          <cell r="D1183" t="str">
            <v>31:трубостойки на чужой АМС на земле/крыше</v>
          </cell>
          <cell r="E1183" t="str">
            <v>Республика Калмыкия, г.Элиста, 4-й Микрорайон, АМС ПАО «Мегафон»</v>
          </cell>
          <cell r="F1183">
            <v>1.08</v>
          </cell>
          <cell r="G1183" t="str">
            <v>Осн.</v>
          </cell>
          <cell r="H1183" t="str">
            <v>Волгодонская</v>
          </cell>
          <cell r="I1183">
            <v>4</v>
          </cell>
        </row>
        <row r="1184">
          <cell r="C1184" t="str">
            <v>EL1163</v>
          </cell>
          <cell r="D1184" t="str">
            <v>21:собст. АМС до 10 м на крыше</v>
          </cell>
          <cell r="E1184" t="str">
            <v>Республика Калмыкия, г.Элиста, ул. Пушкина, 52</v>
          </cell>
          <cell r="F1184">
            <v>1.06</v>
          </cell>
          <cell r="G1184" t="str">
            <v>Осн.</v>
          </cell>
          <cell r="H1184" t="str">
            <v>Волгодонская</v>
          </cell>
          <cell r="I1184">
            <v>3</v>
          </cell>
        </row>
        <row r="1185">
          <cell r="C1185" t="str">
            <v>EL1164</v>
          </cell>
          <cell r="D1185" t="str">
            <v>21:собст. АМС до 10 м на крыше</v>
          </cell>
          <cell r="E1185" t="str">
            <v>Республика Калмыкия, г.Элиста, ул. Сусеева 31, Ростелеком (ЦУ)</v>
          </cell>
          <cell r="F1185">
            <v>1.1000000000000001</v>
          </cell>
          <cell r="G1185" t="str">
            <v>Осн.</v>
          </cell>
          <cell r="H1185" t="str">
            <v>Волгодонская</v>
          </cell>
          <cell r="I1185">
            <v>5</v>
          </cell>
        </row>
        <row r="1186">
          <cell r="C1186" t="str">
            <v>EL1165</v>
          </cell>
          <cell r="D1186" t="str">
            <v>21:собст. АМС до 10 м на крыше</v>
          </cell>
          <cell r="E1186" t="str">
            <v>Республика Калмыкия, г.Элиста, ул. Ленина 255, Ростелеком</v>
          </cell>
          <cell r="F1186">
            <v>1.08</v>
          </cell>
          <cell r="G1186" t="str">
            <v>Осн.</v>
          </cell>
          <cell r="H1186" t="str">
            <v>Волгодонская</v>
          </cell>
          <cell r="I1186">
            <v>4</v>
          </cell>
        </row>
        <row r="1187">
          <cell r="C1187" t="str">
            <v>EL1166</v>
          </cell>
          <cell r="D1187" t="str">
            <v>32:трубостойки/АМС на: трубе, элеваторе, водонап.башне</v>
          </cell>
          <cell r="E1187" t="str">
            <v>Республика Калмыкия, г.Элиста, ул. Клыкова, 17Б</v>
          </cell>
          <cell r="F1187">
            <v>1.1000000000000001</v>
          </cell>
          <cell r="G1187" t="str">
            <v>Осн.</v>
          </cell>
          <cell r="H1187" t="str">
            <v>Волгодонская</v>
          </cell>
          <cell r="I1187">
            <v>5</v>
          </cell>
        </row>
        <row r="1188">
          <cell r="C1188" t="str">
            <v>EL1167</v>
          </cell>
          <cell r="D1188" t="str">
            <v>32:трубостойки/АМС на: трубе, элеваторе, водонап.башне</v>
          </cell>
          <cell r="E1188" t="str">
            <v>Республика Калмыкия, г.Элиста, 6-й Микрорайон, 16А</v>
          </cell>
          <cell r="F1188">
            <v>1.1200000000000001</v>
          </cell>
          <cell r="G1188" t="str">
            <v>Осн.</v>
          </cell>
          <cell r="H1188" t="str">
            <v>Волгодонская</v>
          </cell>
          <cell r="I1188">
            <v>6</v>
          </cell>
        </row>
        <row r="1189">
          <cell r="C1189" t="str">
            <v>EL1168</v>
          </cell>
          <cell r="D1189" t="str">
            <v>32:трубостойки/АМС на: трубе, элеваторе, водонап.башне</v>
          </cell>
          <cell r="E1189" t="str">
            <v>Республика Калмыкия, г.Элиста, ул. Сухэ-Батора, 17А</v>
          </cell>
          <cell r="F1189">
            <v>1.1399999999999999</v>
          </cell>
          <cell r="G1189" t="str">
            <v>Осн.</v>
          </cell>
          <cell r="H1189" t="str">
            <v>Волгодонская</v>
          </cell>
          <cell r="I1189">
            <v>7</v>
          </cell>
        </row>
        <row r="1190">
          <cell r="C1190" t="str">
            <v>ST0652</v>
          </cell>
          <cell r="D1190" t="str">
            <v>21:собст. АМС до 10 м на крыше</v>
          </cell>
          <cell r="E1190" t="str">
            <v>Ставропольский край, г.Ставрополь, ул. Мира, 290</v>
          </cell>
          <cell r="F1190">
            <v>1</v>
          </cell>
          <cell r="G1190" t="str">
            <v>Осн.</v>
          </cell>
          <cell r="H1190" t="str">
            <v>Ростовская</v>
          </cell>
          <cell r="I1190">
            <v>0</v>
          </cell>
        </row>
        <row r="1191">
          <cell r="C1191" t="str">
            <v>ST2101</v>
          </cell>
          <cell r="D1191" t="str">
            <v>42:металлический столб - проект УЦН</v>
          </cell>
          <cell r="E1191" t="str">
            <v>Ставропольский Край, Район Александровский, Поселок Дубовая Роща, Улица Куйбышева, Дом 27\20 м по направлению на юг</v>
          </cell>
          <cell r="F1191">
            <v>7.2</v>
          </cell>
          <cell r="G1191" t="str">
            <v>Осн.</v>
          </cell>
          <cell r="H1191" t="str">
            <v>Ростовская</v>
          </cell>
          <cell r="I1191">
            <v>310</v>
          </cell>
        </row>
        <row r="1192">
          <cell r="C1192" t="str">
            <v>ST2105</v>
          </cell>
          <cell r="D1192" t="str">
            <v>42:металлический столб - проект УЦН</v>
          </cell>
          <cell r="E1192" t="str">
            <v>Ставропольский Край, Район Андроповский, Хутор Нижнеколонский, Улица Центральная, Домовладение 79\92 м по направлению на восток</v>
          </cell>
          <cell r="F1192">
            <v>5.0999999999999996</v>
          </cell>
          <cell r="G1192" t="str">
            <v>Осн.</v>
          </cell>
          <cell r="H1192" t="str">
            <v>Ростовская</v>
          </cell>
          <cell r="I1192">
            <v>205</v>
          </cell>
        </row>
        <row r="1193">
          <cell r="C1193" t="str">
            <v>ST2106</v>
          </cell>
          <cell r="D1193" t="str">
            <v>42:металлический столб - проект УЦН</v>
          </cell>
          <cell r="E1193" t="str">
            <v>Ставропольский Край, Арзгирский Район, Башанта Аул, Оджаева Улица, дом 16\70 м по направлению на юго-восток</v>
          </cell>
          <cell r="F1193">
            <v>5.6</v>
          </cell>
          <cell r="G1193" t="str">
            <v>Осн.</v>
          </cell>
          <cell r="H1193" t="str">
            <v>Ростовская</v>
          </cell>
          <cell r="I1193">
            <v>230</v>
          </cell>
        </row>
        <row r="1194">
          <cell r="C1194" t="str">
            <v>ST2107</v>
          </cell>
          <cell r="D1194" t="str">
            <v>42:металлический столб - проект УЦН</v>
          </cell>
          <cell r="E1194" t="str">
            <v>Ставропольский Край, Ипатовский Район, Новоандреевское Село, Ленина Улица, дом 11\123 м по направлению на юг</v>
          </cell>
          <cell r="F1194">
            <v>3.86</v>
          </cell>
          <cell r="G1194" t="str">
            <v>Осн.</v>
          </cell>
          <cell r="H1194" t="str">
            <v>Ростовская</v>
          </cell>
          <cell r="I1194">
            <v>143</v>
          </cell>
        </row>
        <row r="1195">
          <cell r="C1195" t="str">
            <v>ST2108</v>
          </cell>
          <cell r="D1195" t="str">
            <v>42:металлический столб - проект УЦН</v>
          </cell>
          <cell r="E1195" t="str">
            <v>Ставропольский Край, Район Кочубеевский, Село Цветное, Улица Школьная, Домовладение 19, Квартира 2\30 м на северо-восток</v>
          </cell>
          <cell r="F1195">
            <v>2.6</v>
          </cell>
          <cell r="G1195" t="str">
            <v>Осн.</v>
          </cell>
          <cell r="H1195" t="str">
            <v>Ростовская</v>
          </cell>
          <cell r="I1195">
            <v>80</v>
          </cell>
        </row>
        <row r="1196">
          <cell r="C1196" t="str">
            <v>ST2109</v>
          </cell>
          <cell r="D1196" t="str">
            <v>42:металлический столб - проект УЦН</v>
          </cell>
          <cell r="E1196" t="str">
            <v>Ставропольский Край, Минераловодский Район, Привольный Поселок, Луговая Улица, дом 36\32 м по направлению на запад</v>
          </cell>
          <cell r="F1196">
            <v>4</v>
          </cell>
          <cell r="G1196" t="str">
            <v>Осн.</v>
          </cell>
          <cell r="H1196" t="str">
            <v>Ростовская</v>
          </cell>
          <cell r="I1196">
            <v>150</v>
          </cell>
        </row>
        <row r="1197">
          <cell r="C1197" t="str">
            <v>ST2110</v>
          </cell>
          <cell r="D1197" t="str">
            <v>42:металлический столб - проект УЦН</v>
          </cell>
          <cell r="E1197" t="str">
            <v>Ставропольский Край, Район Минераловодский, Хутор Безивановка, Улица Буденного, Домовладение 23б\62 м по направлению на юг</v>
          </cell>
          <cell r="F1197">
            <v>4.7</v>
          </cell>
          <cell r="G1197" t="str">
            <v>Осн.</v>
          </cell>
          <cell r="H1197" t="str">
            <v>Ростовская</v>
          </cell>
          <cell r="I1197">
            <v>185</v>
          </cell>
        </row>
        <row r="1198">
          <cell r="C1198" t="str">
            <v>ST2111</v>
          </cell>
          <cell r="D1198" t="str">
            <v>42:металлический столб - проект УЦН</v>
          </cell>
          <cell r="E1198" t="str">
            <v>Ставропольский Край, Район Минераловодский, Хутор Сухая Падина, Улица Сухопадинская, Дом 61\154 м по направлению на юго-запад</v>
          </cell>
          <cell r="F1198">
            <v>4.04</v>
          </cell>
          <cell r="G1198" t="str">
            <v>Осн.</v>
          </cell>
          <cell r="H1198" t="str">
            <v>Ростовская</v>
          </cell>
          <cell r="I1198">
            <v>152</v>
          </cell>
        </row>
        <row r="1199">
          <cell r="C1199" t="str">
            <v>ST2112</v>
          </cell>
          <cell r="D1199" t="str">
            <v>42:металлический столб - проект УЦН</v>
          </cell>
          <cell r="E1199" t="str">
            <v>Ставропольский Край, Район Новоалександровский, Поселок Краснокубанский\п. Краснокубанский, 45/1, примерно 180 м по направлению на север от границы участка</v>
          </cell>
          <cell r="F1199">
            <v>3.52</v>
          </cell>
          <cell r="G1199" t="str">
            <v>Осн.</v>
          </cell>
          <cell r="H1199" t="str">
            <v>Ростовская</v>
          </cell>
          <cell r="I1199">
            <v>126</v>
          </cell>
        </row>
        <row r="1200">
          <cell r="C1200" t="str">
            <v>ST2113</v>
          </cell>
          <cell r="D1200" t="str">
            <v>42:металлический столб - проект УЦН</v>
          </cell>
          <cell r="E1200" t="str">
            <v>Ставропольский Край, Район Новоселицкий, Хутор Жуковский\примерно 40 м по направлению на юг от границы участка по адресу: ул. Веселая, д.24</v>
          </cell>
          <cell r="F1200">
            <v>3.48</v>
          </cell>
          <cell r="G1200" t="str">
            <v>Осн.</v>
          </cell>
          <cell r="H1200" t="str">
            <v>Ростовская</v>
          </cell>
          <cell r="I1200">
            <v>124</v>
          </cell>
        </row>
        <row r="1201">
          <cell r="C1201" t="str">
            <v>ST2114</v>
          </cell>
          <cell r="D1201" t="str">
            <v>42:металлический столб - проект УЦН</v>
          </cell>
          <cell r="E1201" t="str">
            <v>Ставропольский Край, Петровский Район, Горный Поселок, Красная Улица, дом 2\77 м по направлению на восток</v>
          </cell>
          <cell r="F1201">
            <v>2.7</v>
          </cell>
          <cell r="G1201" t="str">
            <v>Осн.</v>
          </cell>
          <cell r="H1201" t="str">
            <v>Ростовская</v>
          </cell>
          <cell r="I1201">
            <v>85</v>
          </cell>
        </row>
        <row r="1202">
          <cell r="C1202" t="str">
            <v>ST2115</v>
          </cell>
          <cell r="D1202" t="str">
            <v>42:металлический столб - проект УЦН</v>
          </cell>
          <cell r="E1202" t="str">
            <v>Ставропольский Край, Петровский Район, Пшеничный Поселок, Зеленая Улица, дом 44\50 м по направлению на юго-запад</v>
          </cell>
          <cell r="F1202">
            <v>3.36</v>
          </cell>
          <cell r="G1202" t="str">
            <v>Осн.</v>
          </cell>
          <cell r="H1202" t="str">
            <v>Ростовская</v>
          </cell>
          <cell r="I1202">
            <v>118</v>
          </cell>
        </row>
        <row r="1203">
          <cell r="C1203" t="str">
            <v>ST2116</v>
          </cell>
          <cell r="D1203" t="str">
            <v>42:металлический столб - проект УЦН</v>
          </cell>
          <cell r="E1203" t="str">
            <v>Ставропольский Край, Район Петровский, Село Кугуты, Улица Железнодорожная, Земельный участок 250\173 м по направлению на восток</v>
          </cell>
          <cell r="F1203">
            <v>2.48</v>
          </cell>
          <cell r="G1203" t="str">
            <v>Осн.</v>
          </cell>
          <cell r="H1203" t="str">
            <v>Ростовская</v>
          </cell>
          <cell r="I1203">
            <v>74</v>
          </cell>
        </row>
        <row r="1204">
          <cell r="C1204" t="str">
            <v>ST2117</v>
          </cell>
          <cell r="D1204" t="str">
            <v>42:металлический столб - проект УЦН</v>
          </cell>
          <cell r="E1204" t="str">
            <v>Ставропольский Край, Петровский Район, Мартыновка Село, Новая Улица, дом 31\70 м по направлению на юго-восток</v>
          </cell>
          <cell r="F1204">
            <v>3.36</v>
          </cell>
          <cell r="G1204" t="str">
            <v>Осн.</v>
          </cell>
          <cell r="H1204" t="str">
            <v>Ростовская</v>
          </cell>
          <cell r="I1204">
            <v>118</v>
          </cell>
        </row>
        <row r="1205">
          <cell r="C1205" t="str">
            <v>ST2118</v>
          </cell>
          <cell r="D1205" t="str">
            <v>42:металлический столб - проект УЦН</v>
          </cell>
          <cell r="E1205" t="str">
            <v>Ставропольский Край, Район Советский, Хутор Кононов, Улица Школьная</v>
          </cell>
          <cell r="F1205">
            <v>6.34</v>
          </cell>
          <cell r="G1205" t="str">
            <v>Осн.</v>
          </cell>
          <cell r="H1205" t="str">
            <v>Ростовская</v>
          </cell>
          <cell r="I1205">
            <v>267</v>
          </cell>
        </row>
        <row r="1206">
          <cell r="C1206" t="str">
            <v>ST2119</v>
          </cell>
          <cell r="D1206" t="str">
            <v>42:металлический столб - проект УЦН</v>
          </cell>
          <cell r="E1206" t="str">
            <v>Ставропольский Край, Район Шпаковский, Поселок Приозерный, Улица Шоссейная, Домовладение 3\35 м по направлению на север</v>
          </cell>
          <cell r="F1206">
            <v>1.7</v>
          </cell>
          <cell r="G1206" t="str">
            <v>Осн.</v>
          </cell>
          <cell r="H1206" t="str">
            <v>Ростовская</v>
          </cell>
          <cell r="I1206">
            <v>35</v>
          </cell>
        </row>
        <row r="1207">
          <cell r="C1207" t="str">
            <v>ST2120</v>
          </cell>
          <cell r="D1207" t="str">
            <v>42:металлический столб - проект УЦН</v>
          </cell>
          <cell r="E1207" t="str">
            <v>Ставропольский Край, Шпаковский Район, Кожевников Хутор, Горькая Улица, дом 23\53 м на юг</v>
          </cell>
          <cell r="F1207">
            <v>1.54</v>
          </cell>
          <cell r="G1207" t="str">
            <v>Осн.</v>
          </cell>
          <cell r="H1207" t="str">
            <v>Ростовская</v>
          </cell>
          <cell r="I1207">
            <v>27</v>
          </cell>
        </row>
        <row r="1208">
          <cell r="C1208" t="str">
            <v>RO0305</v>
          </cell>
          <cell r="D1208" t="str">
            <v>22:собст. АМС выше 10 м на крыше</v>
          </cell>
          <cell r="E1208" t="str">
            <v>Ростовская Область, Егорлыкский Район, Егорлыкская Станица, Чапаева Переулок, дом 144</v>
          </cell>
          <cell r="F1208">
            <v>2.62</v>
          </cell>
          <cell r="G1208" t="str">
            <v>Доп.</v>
          </cell>
          <cell r="H1208" t="str">
            <v>Сальская</v>
          </cell>
          <cell r="I1208">
            <v>81</v>
          </cell>
        </row>
        <row r="1209">
          <cell r="C1209" t="str">
            <v>RO0306</v>
          </cell>
          <cell r="D1209" t="str">
            <v>21:собст. АМС до 10 м на крыше</v>
          </cell>
          <cell r="E1209" t="str">
            <v>Ростовская Область, Целинский Район, Целина Поселок, 1-я линия Улица, дом 1</v>
          </cell>
          <cell r="F1209">
            <v>1.94</v>
          </cell>
          <cell r="G1209" t="str">
            <v>Доп.</v>
          </cell>
          <cell r="H1209" t="str">
            <v>Сальская</v>
          </cell>
          <cell r="I1209">
            <v>47</v>
          </cell>
        </row>
        <row r="1210">
          <cell r="C1210" t="str">
            <v>RO0307</v>
          </cell>
          <cell r="D1210" t="str">
            <v>21:собст. АМС до 10 м на крыше</v>
          </cell>
          <cell r="E1210" t="str">
            <v>Ростовская Область, Сальский Район, Сальск Город, Промышленная Улица, дом 1</v>
          </cell>
          <cell r="F1210">
            <v>1.22</v>
          </cell>
          <cell r="G1210" t="str">
            <v>Доп.</v>
          </cell>
          <cell r="H1210" t="str">
            <v>Сальская</v>
          </cell>
          <cell r="I1210">
            <v>11</v>
          </cell>
        </row>
        <row r="1211">
          <cell r="C1211" t="str">
            <v>RO0308</v>
          </cell>
          <cell r="D1211" t="str">
            <v>32:трубостойки/АМС на: трубе, элеваторе, водонап.башне</v>
          </cell>
          <cell r="E1211" t="str">
            <v>Ростовская Область, Сальский Район, Сальск Город, Фабричная Улица\4</v>
          </cell>
          <cell r="F1211">
            <v>1.28</v>
          </cell>
          <cell r="G1211" t="str">
            <v>Доп.</v>
          </cell>
          <cell r="H1211" t="str">
            <v>Сальская</v>
          </cell>
          <cell r="I1211">
            <v>14</v>
          </cell>
        </row>
        <row r="1212">
          <cell r="C1212" t="str">
            <v>RO0309</v>
          </cell>
          <cell r="D1212" t="str">
            <v>31:трубостойки на чужой АМС на земле/крыше</v>
          </cell>
          <cell r="E1212" t="str">
            <v>Ростовская Область, Сальский Район, Конезавод имени Буденного Поселок, Сальская Улица\53</v>
          </cell>
          <cell r="F1212">
            <v>1</v>
          </cell>
          <cell r="G1212" t="str">
            <v>Доп.</v>
          </cell>
          <cell r="H1212" t="str">
            <v>Сальская</v>
          </cell>
          <cell r="I1212">
            <v>0</v>
          </cell>
        </row>
        <row r="1213">
          <cell r="C1213" t="str">
            <v>RO0310</v>
          </cell>
          <cell r="D1213" t="str">
            <v>21:собст. АМС до 10 м на крыше</v>
          </cell>
          <cell r="E1213" t="str">
            <v>Ростовская Область, Пролетарский Район, Пролетарск Город, Чкалова Переулок, дом 12</v>
          </cell>
          <cell r="F1213">
            <v>1.48</v>
          </cell>
          <cell r="G1213" t="str">
            <v>Доп.</v>
          </cell>
          <cell r="H1213" t="str">
            <v>Сальская</v>
          </cell>
          <cell r="I1213">
            <v>24</v>
          </cell>
        </row>
        <row r="1214">
          <cell r="C1214" t="str">
            <v>RO0311</v>
          </cell>
          <cell r="D1214" t="str">
            <v>31:трубостойки на чужой АМС на земле/крыше</v>
          </cell>
          <cell r="E1214" t="str">
            <v>Ростовская Область, Сальский Район, Гигант Поселок, Автодорожная Улица\66</v>
          </cell>
          <cell r="F1214">
            <v>1.46</v>
          </cell>
          <cell r="G1214" t="str">
            <v>Доп.</v>
          </cell>
          <cell r="H1214" t="str">
            <v>Сальская</v>
          </cell>
          <cell r="I1214">
            <v>23</v>
          </cell>
        </row>
        <row r="1215">
          <cell r="C1215" t="str">
            <v>RO0312</v>
          </cell>
          <cell r="D1215" t="str">
            <v>31:трубостойки на чужой АМС на земле/крыше</v>
          </cell>
          <cell r="E1215" t="str">
            <v>Ростовская Область, Сальский Район, Новый Егорлык Село, Советская Улица, дом 17а</v>
          </cell>
          <cell r="F1215">
            <v>1.78</v>
          </cell>
          <cell r="G1215" t="str">
            <v>Доп.</v>
          </cell>
          <cell r="H1215" t="str">
            <v>Сальская</v>
          </cell>
          <cell r="I1215">
            <v>39</v>
          </cell>
        </row>
        <row r="1216">
          <cell r="C1216" t="str">
            <v>RO0313</v>
          </cell>
          <cell r="D1216" t="str">
            <v>31:трубостойки на чужой АМС на земле/крыше</v>
          </cell>
          <cell r="E1216" t="str">
            <v>Ростовская Область, Орловский Район, Орловский Поселок, Ленина Улица, дом 252\АМС ФГУП "РТРС"</v>
          </cell>
          <cell r="F1216">
            <v>2.2400000000000002</v>
          </cell>
          <cell r="G1216" t="str">
            <v>Доп.</v>
          </cell>
          <cell r="H1216" t="str">
            <v>Сальская</v>
          </cell>
          <cell r="I1216">
            <v>62</v>
          </cell>
        </row>
        <row r="1217">
          <cell r="C1217" t="str">
            <v>RO0317</v>
          </cell>
          <cell r="D1217" t="str">
            <v>13:собст. железобетонный столб с заглубленным фундаментом</v>
          </cell>
          <cell r="E1217" t="str">
            <v>Ростовская Область, Сальский Район, Сальск Город, Павлова Улица, дом 2</v>
          </cell>
          <cell r="F1217">
            <v>1.22</v>
          </cell>
          <cell r="G1217" t="str">
            <v>Доп.</v>
          </cell>
          <cell r="H1217" t="str">
            <v>Сальская</v>
          </cell>
          <cell r="I1217">
            <v>11</v>
          </cell>
        </row>
        <row r="1218">
          <cell r="C1218" t="str">
            <v>RO0318</v>
          </cell>
          <cell r="D1218" t="str">
            <v>13:собст. железобетонный столб с заглубленным фундаментом</v>
          </cell>
          <cell r="E1218" t="str">
            <v>Ростовская Область, Сальский Район, Сальск Город, Юннатов Улица, дом 3/2</v>
          </cell>
          <cell r="F1218">
            <v>1.18</v>
          </cell>
          <cell r="G1218" t="str">
            <v>Доп.</v>
          </cell>
          <cell r="H1218" t="str">
            <v>Сальская</v>
          </cell>
          <cell r="I1218">
            <v>9</v>
          </cell>
        </row>
        <row r="1219">
          <cell r="C1219" t="str">
            <v>RO0319</v>
          </cell>
          <cell r="D1219" t="str">
            <v>13:собст. железобетонный столб с заглубленным фундаментом</v>
          </cell>
          <cell r="E1219" t="str">
            <v>Ростовская Область, Пролетарский Район, Пролетарск Город, 50 лет Октября Проспект\24</v>
          </cell>
          <cell r="F1219">
            <v>1.5</v>
          </cell>
          <cell r="G1219" t="str">
            <v>Доп.</v>
          </cell>
          <cell r="H1219" t="str">
            <v>Сальская</v>
          </cell>
          <cell r="I1219">
            <v>25</v>
          </cell>
        </row>
        <row r="1220">
          <cell r="C1220" t="str">
            <v>RO0321</v>
          </cell>
          <cell r="D1220" t="str">
            <v>13:собст. железобетонный столб с заглубленным фундаментом</v>
          </cell>
          <cell r="E1220" t="str">
            <v>Ростовская Область, Сальский Район, Сальск Город, Свободы Улица, дом 302а/2</v>
          </cell>
          <cell r="F1220">
            <v>1.3</v>
          </cell>
          <cell r="G1220" t="str">
            <v>Доп.</v>
          </cell>
          <cell r="H1220" t="str">
            <v>Сальская</v>
          </cell>
          <cell r="I1220">
            <v>15</v>
          </cell>
        </row>
        <row r="1221">
          <cell r="C1221" t="str">
            <v>RO0322</v>
          </cell>
          <cell r="D1221" t="str">
            <v>13:собст. железобетонный столб с заглубленным фундаментом</v>
          </cell>
          <cell r="E1221" t="str">
            <v>Ростовская Область, Сальский Район, Гигант Поселок, Красная Улица, дом 13\а</v>
          </cell>
          <cell r="F1221">
            <v>1.5</v>
          </cell>
          <cell r="G1221" t="str">
            <v>Доп.</v>
          </cell>
          <cell r="H1221" t="str">
            <v>Сальская</v>
          </cell>
          <cell r="I1221">
            <v>25</v>
          </cell>
        </row>
        <row r="1222">
          <cell r="C1222" t="str">
            <v>RO0323</v>
          </cell>
          <cell r="D1222" t="str">
            <v>13:собст. железобетонный столб с заглубленным фундаментом</v>
          </cell>
          <cell r="E1222" t="str">
            <v>Ростовская Область, Егорлыкский Район, Егорлыкская Станица, Ворошилова Улица, дом 69а</v>
          </cell>
          <cell r="F1222">
            <v>2.58</v>
          </cell>
          <cell r="G1222" t="str">
            <v>Доп.</v>
          </cell>
          <cell r="H1222" t="str">
            <v>Сальская</v>
          </cell>
          <cell r="I1222">
            <v>79</v>
          </cell>
        </row>
        <row r="1223">
          <cell r="C1223" t="str">
            <v>RO0324</v>
          </cell>
          <cell r="D1223" t="str">
            <v>13:собст. железобетонный столб с заглубленным фундаментом</v>
          </cell>
          <cell r="E1223" t="str">
            <v>Ростовская Область, Целинский Район, Целина Поселок, Калинина Улица, дом 18</v>
          </cell>
          <cell r="F1223">
            <v>1.98</v>
          </cell>
          <cell r="G1223" t="str">
            <v>Доп.</v>
          </cell>
          <cell r="H1223" t="str">
            <v>Сальская</v>
          </cell>
          <cell r="I1223">
            <v>49</v>
          </cell>
        </row>
        <row r="1224">
          <cell r="C1224" t="str">
            <v>RO0327</v>
          </cell>
          <cell r="D1224" t="str">
            <v>31:трубостойки на чужой АМС на земле/крыше</v>
          </cell>
          <cell r="E1224" t="str">
            <v>Ростовская Область, Пролетарский Район, Пролетарск Город, Московская Улица\ул. Московская № 2Б</v>
          </cell>
          <cell r="F1224">
            <v>1.46</v>
          </cell>
          <cell r="G1224" t="str">
            <v>Доп.</v>
          </cell>
          <cell r="H1224" t="str">
            <v>Сальская</v>
          </cell>
          <cell r="I1224">
            <v>23</v>
          </cell>
        </row>
        <row r="1225">
          <cell r="C1225" t="str">
            <v>RO0331</v>
          </cell>
          <cell r="D1225" t="str">
            <v>15:собст. башня с заглубленным фундаментом до 61м</v>
          </cell>
          <cell r="E1225" t="str">
            <v>Ростовская Область, Егорлыкский Район, Изобильный Хутор, Ростовская Улица\14а</v>
          </cell>
          <cell r="F1225">
            <v>2.58</v>
          </cell>
          <cell r="G1225" t="str">
            <v>Доп.</v>
          </cell>
          <cell r="H1225" t="str">
            <v>Сальская</v>
          </cell>
          <cell r="I1225">
            <v>79</v>
          </cell>
        </row>
        <row r="1226">
          <cell r="C1226" t="str">
            <v>RO0332</v>
          </cell>
          <cell r="D1226" t="str">
            <v>31:трубостойки на чужой АМС на земле/крыше</v>
          </cell>
          <cell r="E1226" t="str">
            <v>Ростовская Область, Песчанокопский Район, Жуковское Село, Карла Маркса Улица, дом 134\А</v>
          </cell>
          <cell r="F1226">
            <v>2.82</v>
          </cell>
          <cell r="G1226" t="str">
            <v>Доп.</v>
          </cell>
          <cell r="H1226" t="str">
            <v>Сальская</v>
          </cell>
          <cell r="I1226">
            <v>91</v>
          </cell>
        </row>
        <row r="1227">
          <cell r="C1227" t="str">
            <v>RO0334</v>
          </cell>
          <cell r="D1227" t="str">
            <v>31:трубостойки на чужой АМС на земле/крыше</v>
          </cell>
          <cell r="E1227" t="str">
            <v>Ростовская Область, Егорлыкский Район, Шаумяновский Хутор, Шаумяна Улица\21</v>
          </cell>
          <cell r="F1227">
            <v>3.14</v>
          </cell>
          <cell r="G1227" t="str">
            <v>Доп.</v>
          </cell>
          <cell r="H1227" t="str">
            <v>Сальская</v>
          </cell>
          <cell r="I1227">
            <v>107</v>
          </cell>
        </row>
        <row r="1228">
          <cell r="C1228" t="str">
            <v>RO0336</v>
          </cell>
          <cell r="D1228" t="str">
            <v>31:трубостойки на чужой АМС на земле/крыше</v>
          </cell>
          <cell r="E1228" t="str">
            <v>Ростовская Область, Песчанокопский Район, Песчанокопское Село, Энгельса Улица, дом 222\а</v>
          </cell>
          <cell r="F1228">
            <v>2.2999999999999998</v>
          </cell>
          <cell r="G1228" t="str">
            <v>Доп.</v>
          </cell>
          <cell r="H1228" t="str">
            <v>Сальская</v>
          </cell>
          <cell r="I1228">
            <v>65</v>
          </cell>
        </row>
        <row r="1229">
          <cell r="C1229" t="str">
            <v>RO0337</v>
          </cell>
          <cell r="D1229" t="str">
            <v>21:собст. АМС до 10 м на крыше</v>
          </cell>
          <cell r="E1229" t="str">
            <v>Ростовская Область, Песчанокопский Район, Развильное Село, Шоссейная Улица\1</v>
          </cell>
          <cell r="F1229">
            <v>1.92</v>
          </cell>
          <cell r="G1229" t="str">
            <v>Доп.</v>
          </cell>
          <cell r="H1229" t="str">
            <v>Сальская</v>
          </cell>
          <cell r="I1229">
            <v>46</v>
          </cell>
        </row>
        <row r="1230">
          <cell r="C1230" t="str">
            <v>RO0339</v>
          </cell>
          <cell r="D1230" t="str">
            <v>31:трубостойки на чужой АМС на земле/крыше</v>
          </cell>
          <cell r="E1230" t="str">
            <v>Ростовская Область, Целинский Район, Средний Егорлык Село, Советская Улица, дом 71</v>
          </cell>
          <cell r="F1230">
            <v>2.8</v>
          </cell>
          <cell r="G1230" t="str">
            <v>Доп.</v>
          </cell>
          <cell r="H1230" t="str">
            <v>Сальская</v>
          </cell>
          <cell r="I1230">
            <v>90</v>
          </cell>
        </row>
        <row r="1231">
          <cell r="C1231" t="str">
            <v>RO0342</v>
          </cell>
          <cell r="D1231" t="str">
            <v>13:собст. железобетонный столб с заглубленным фундаментом</v>
          </cell>
          <cell r="E1231" t="str">
            <v>Ростовская Область, Сальский Район, Сальск Город, Октябрьская Улица\5</v>
          </cell>
          <cell r="F1231">
            <v>1.2</v>
          </cell>
          <cell r="G1231" t="str">
            <v>Доп.</v>
          </cell>
          <cell r="H1231" t="str">
            <v>Сальская</v>
          </cell>
          <cell r="I1231">
            <v>10</v>
          </cell>
        </row>
        <row r="1232">
          <cell r="C1232" t="str">
            <v>RO0343</v>
          </cell>
          <cell r="D1232" t="str">
            <v>13:собст. железобетонный столб с заглубленным фундаментом</v>
          </cell>
          <cell r="E1232" t="str">
            <v>Ростовская Область, Сальский Район, Сальск Город, Смирнова Улица\43</v>
          </cell>
          <cell r="F1232">
            <v>1.18</v>
          </cell>
          <cell r="G1232" t="str">
            <v>Доп.</v>
          </cell>
          <cell r="H1232" t="str">
            <v>Сальская</v>
          </cell>
          <cell r="I1232">
            <v>9</v>
          </cell>
        </row>
        <row r="1233">
          <cell r="C1233" t="str">
            <v>RO0344</v>
          </cell>
          <cell r="D1233" t="str">
            <v>13:собст. железобетонный столб с заглубленным фундаментом</v>
          </cell>
          <cell r="E1233" t="str">
            <v>Ростовская Область, Пролетарский Район, Пролетарск Город, Мира Улица, дом 7/1</v>
          </cell>
          <cell r="F1233">
            <v>1.44</v>
          </cell>
          <cell r="G1233" t="str">
            <v>Доп.</v>
          </cell>
          <cell r="H1233" t="str">
            <v>Сальская</v>
          </cell>
          <cell r="I1233">
            <v>22</v>
          </cell>
        </row>
        <row r="1234">
          <cell r="C1234" t="str">
            <v>RO0345</v>
          </cell>
          <cell r="D1234" t="str">
            <v>31:трубостойки на чужой АМС на земле/крыше</v>
          </cell>
          <cell r="E1234" t="str">
            <v>Ростовская Область, Пролетарский Район, Пролетарск Город, Промышленное Шоссе Улица, дом 39\А</v>
          </cell>
          <cell r="F1234">
            <v>1.5</v>
          </cell>
          <cell r="G1234" t="str">
            <v>Доп.</v>
          </cell>
          <cell r="H1234" t="str">
            <v>Сальская</v>
          </cell>
          <cell r="I1234">
            <v>25</v>
          </cell>
        </row>
        <row r="1235">
          <cell r="C1235" t="str">
            <v>RO0347</v>
          </cell>
          <cell r="D1235" t="str">
            <v>31:трубостойки на чужой АМС на земле/крыше</v>
          </cell>
          <cell r="E1235" t="str">
            <v>Ростовская Область, Орловский Район, Красноармейский Поселок\на западной окраине</v>
          </cell>
          <cell r="F1235">
            <v>2.54</v>
          </cell>
          <cell r="G1235" t="str">
            <v>Доп.</v>
          </cell>
          <cell r="H1235" t="str">
            <v>Сальская</v>
          </cell>
          <cell r="I1235">
            <v>77</v>
          </cell>
        </row>
        <row r="1236">
          <cell r="C1236" t="str">
            <v>RO0351</v>
          </cell>
          <cell r="D1236" t="str">
            <v>31:трубостойки на чужой АМС на земле/крыше</v>
          </cell>
          <cell r="E1236" t="str">
            <v>Ростовская Область, Песчанокопский Район, Красная Поляна Село, Северная Улица, дом 78\а</v>
          </cell>
          <cell r="F1236">
            <v>2.34</v>
          </cell>
          <cell r="G1236" t="str">
            <v>Доп.</v>
          </cell>
          <cell r="H1236" t="str">
            <v>Сальская</v>
          </cell>
          <cell r="I1236">
            <v>67</v>
          </cell>
        </row>
        <row r="1237">
          <cell r="C1237" t="str">
            <v>RO0352</v>
          </cell>
          <cell r="D1237" t="str">
            <v>31:трубостойки на чужой АМС на земле/крыше</v>
          </cell>
          <cell r="E1237" t="str">
            <v>Ростовская Область, Сальский Район, Сандата Село, Путилина Улица\2</v>
          </cell>
          <cell r="F1237">
            <v>1.8</v>
          </cell>
          <cell r="G1237" t="str">
            <v>Доп.</v>
          </cell>
          <cell r="H1237" t="str">
            <v>Сальская</v>
          </cell>
          <cell r="I1237">
            <v>40</v>
          </cell>
        </row>
        <row r="1238">
          <cell r="C1238" t="str">
            <v>RO0353</v>
          </cell>
          <cell r="D1238" t="str">
            <v>13:собст. железобетонный столб с заглубленным фундаментом</v>
          </cell>
          <cell r="E1238" t="str">
            <v>Ростовская Область, Сальский Район, Екатериновка Село, Мира Улица, дом 28</v>
          </cell>
          <cell r="F1238">
            <v>1.24</v>
          </cell>
          <cell r="G1238" t="str">
            <v>Доп.</v>
          </cell>
          <cell r="H1238" t="str">
            <v>Сальская</v>
          </cell>
          <cell r="I1238">
            <v>12</v>
          </cell>
        </row>
        <row r="1239">
          <cell r="C1239" t="str">
            <v>RO0358</v>
          </cell>
          <cell r="D1239" t="str">
            <v>31:трубостойки на чужой АМС на земле/крыше</v>
          </cell>
          <cell r="E1239" t="str">
            <v>Ростовская Область, Егорлыкский Район, Новороговская Станица, Перворевкомовцев Улица\41а</v>
          </cell>
          <cell r="F1239">
            <v>3.14</v>
          </cell>
          <cell r="G1239" t="str">
            <v>Доп.</v>
          </cell>
          <cell r="H1239" t="str">
            <v>Сальская</v>
          </cell>
          <cell r="I1239">
            <v>107</v>
          </cell>
        </row>
        <row r="1240">
          <cell r="C1240" t="str">
            <v>RO0359</v>
          </cell>
          <cell r="D1240" t="str">
            <v>31:трубостойки на чужой АМС на земле/крыше</v>
          </cell>
          <cell r="E1240" t="str">
            <v>Ростовская Область, Пролетарский Район, Буденновская Станица, Комсомольская Улица\67</v>
          </cell>
          <cell r="F1240">
            <v>2.04</v>
          </cell>
          <cell r="G1240" t="str">
            <v>Доп.</v>
          </cell>
          <cell r="H1240" t="str">
            <v>Сальская</v>
          </cell>
          <cell r="I1240">
            <v>52</v>
          </cell>
        </row>
        <row r="1241">
          <cell r="C1241" t="str">
            <v>RO0365</v>
          </cell>
          <cell r="D1241" t="str">
            <v>31:трубостойки на чужой АМС на земле/крыше</v>
          </cell>
          <cell r="E1241" t="str">
            <v>Ростовская Область, Пролетарский Район, Сухой Хутор, Советская Улица, дом 6</v>
          </cell>
          <cell r="F1241">
            <v>2.64</v>
          </cell>
          <cell r="G1241" t="str">
            <v>Доп.</v>
          </cell>
          <cell r="H1241" t="str">
            <v>Сальская</v>
          </cell>
          <cell r="I1241">
            <v>82</v>
          </cell>
        </row>
        <row r="1242">
          <cell r="C1242" t="str">
            <v>RO0366</v>
          </cell>
          <cell r="D1242" t="str">
            <v>31:трубостойки на чужой АМС на земле/крыше</v>
          </cell>
          <cell r="E1242" t="str">
            <v>Ростовская Область, Сальский Район, Юловский Поселок, Западная Улица\27-а</v>
          </cell>
          <cell r="F1242">
            <v>1.62</v>
          </cell>
          <cell r="G1242" t="str">
            <v>Доп.</v>
          </cell>
          <cell r="H1242" t="str">
            <v>Сальская</v>
          </cell>
          <cell r="I1242">
            <v>31</v>
          </cell>
        </row>
        <row r="1243">
          <cell r="C1243" t="str">
            <v>RO0368</v>
          </cell>
          <cell r="D1243" t="str">
            <v>13:собст. железобетонный столб с заглубленным фундаментом</v>
          </cell>
          <cell r="E1243" t="str">
            <v>Ростовская Область, Песчанокопский Район, Летник Село, Пушкина Улица, дом 1\а</v>
          </cell>
          <cell r="F1243">
            <v>2.78</v>
          </cell>
          <cell r="G1243" t="str">
            <v>Доп.</v>
          </cell>
          <cell r="H1243" t="str">
            <v>Сальская</v>
          </cell>
          <cell r="I1243">
            <v>89</v>
          </cell>
        </row>
        <row r="1244">
          <cell r="C1244" t="str">
            <v>RO0369</v>
          </cell>
          <cell r="D1244" t="str">
            <v>31:трубостойки на чужой АМС на земле/крыше</v>
          </cell>
          <cell r="E1244" t="str">
            <v>Ростовская Область, Целинский Район, Вороново Поселок, 6-я Линия, дом 6</v>
          </cell>
          <cell r="F1244">
            <v>2.36</v>
          </cell>
          <cell r="G1244" t="str">
            <v>Доп.</v>
          </cell>
          <cell r="H1244" t="str">
            <v>Сальская</v>
          </cell>
          <cell r="I1244">
            <v>68</v>
          </cell>
        </row>
        <row r="1245">
          <cell r="C1245" t="str">
            <v>RO0373</v>
          </cell>
          <cell r="D1245" t="str">
            <v>21:собст. АМС до 10 м на крыше</v>
          </cell>
          <cell r="E1245" t="str">
            <v>Ростовская Область, Орловский Район, Орловский Поселок, Кировский Переулок, дом 2</v>
          </cell>
          <cell r="F1245">
            <v>2.1</v>
          </cell>
          <cell r="G1245" t="str">
            <v>Доп.</v>
          </cell>
          <cell r="H1245" t="str">
            <v>Сальская</v>
          </cell>
          <cell r="I1245">
            <v>55</v>
          </cell>
        </row>
        <row r="1246">
          <cell r="C1246" t="str">
            <v>RO0384</v>
          </cell>
          <cell r="D1246" t="str">
            <v>31:трубостойки на чужой АМС на земле/крыше</v>
          </cell>
          <cell r="E1246" t="str">
            <v>Ростовская Область, Орловский Район, Островянский Хутор, Молодежный Переулок, дом 2\а</v>
          </cell>
          <cell r="F1246">
            <v>2.54</v>
          </cell>
          <cell r="G1246" t="str">
            <v>Доп.</v>
          </cell>
          <cell r="H1246" t="str">
            <v>Сальская</v>
          </cell>
          <cell r="I1246">
            <v>77</v>
          </cell>
        </row>
        <row r="1247">
          <cell r="C1247" t="str">
            <v>RO0386</v>
          </cell>
          <cell r="D1247" t="str">
            <v>31:трубостойки на чужой АМС на земле/крыше</v>
          </cell>
          <cell r="E1247" t="str">
            <v>Ростовская Область, Пролетарский Район, Вербный Поселок, Угловой Переулок, дом 1\Б</v>
          </cell>
          <cell r="F1247">
            <v>1.82</v>
          </cell>
          <cell r="G1247" t="str">
            <v>Доп.</v>
          </cell>
          <cell r="H1247" t="str">
            <v>Сальская</v>
          </cell>
          <cell r="I1247">
            <v>41</v>
          </cell>
        </row>
        <row r="1248">
          <cell r="C1248" t="str">
            <v>RO0389</v>
          </cell>
          <cell r="D1248" t="str">
            <v>31:трубостойки на чужой АМС на земле/крыше</v>
          </cell>
          <cell r="E1248" t="str">
            <v>Ростовская Область, Сальский Район, Ивановка Село</v>
          </cell>
          <cell r="F1248">
            <v>1.96</v>
          </cell>
          <cell r="G1248" t="str">
            <v>Доп.</v>
          </cell>
          <cell r="H1248" t="str">
            <v>Сальская</v>
          </cell>
          <cell r="I1248">
            <v>48</v>
          </cell>
        </row>
        <row r="1249">
          <cell r="C1249" t="str">
            <v>RO0395</v>
          </cell>
          <cell r="D1249" t="str">
            <v>31:трубостойки на чужой АМС на земле/крыше</v>
          </cell>
          <cell r="E1249" t="str">
            <v>Ростовская Область, Сальский Район, Белозерный Поселок, Центральная площадь Улица, дом 9</v>
          </cell>
          <cell r="F1249">
            <v>1.84</v>
          </cell>
          <cell r="G1249" t="str">
            <v>Доп.</v>
          </cell>
          <cell r="H1249" t="str">
            <v>Сальская</v>
          </cell>
          <cell r="I1249">
            <v>42</v>
          </cell>
        </row>
        <row r="1250">
          <cell r="C1250" t="str">
            <v>RO0401</v>
          </cell>
          <cell r="D1250" t="str">
            <v>21:собст. АМС до 10 м на крыше</v>
          </cell>
          <cell r="E1250" t="str">
            <v>Ростовская Область, Таганрог Город, Петровская Улица, дом 73</v>
          </cell>
          <cell r="F1250">
            <v>1.08</v>
          </cell>
          <cell r="G1250" t="str">
            <v>Доп.</v>
          </cell>
          <cell r="H1250" t="str">
            <v>Таганрогская</v>
          </cell>
          <cell r="I1250">
            <v>4</v>
          </cell>
        </row>
        <row r="1251">
          <cell r="C1251" t="str">
            <v>RO0402</v>
          </cell>
          <cell r="D1251" t="str">
            <v>22:собст. АМС выше 10 м на крыше</v>
          </cell>
          <cell r="E1251" t="str">
            <v>Ростовская Область, Таганрог Город, Химическая Улица, дом 10</v>
          </cell>
          <cell r="F1251">
            <v>1.1000000000000001</v>
          </cell>
          <cell r="G1251" t="str">
            <v>Доп.</v>
          </cell>
          <cell r="H1251" t="str">
            <v>Таганрогская</v>
          </cell>
          <cell r="I1251">
            <v>5</v>
          </cell>
        </row>
        <row r="1252">
          <cell r="C1252" t="str">
            <v>RO0403</v>
          </cell>
          <cell r="D1252" t="str">
            <v>22:собст. АМС выше 10 м на крыше</v>
          </cell>
          <cell r="E1252" t="str">
            <v>Ростовская Область, Таганрог Город, Сергея Шило Улица, дом 243</v>
          </cell>
          <cell r="F1252">
            <v>1.1599999999999999</v>
          </cell>
          <cell r="G1252" t="str">
            <v>Доп.</v>
          </cell>
          <cell r="H1252" t="str">
            <v>Таганрогская</v>
          </cell>
          <cell r="I1252">
            <v>8</v>
          </cell>
        </row>
        <row r="1253">
          <cell r="C1253" t="str">
            <v>RO0404</v>
          </cell>
          <cell r="D1253" t="str">
            <v>22:собст. АМС выше 10 м на крыше</v>
          </cell>
          <cell r="E1253" t="str">
            <v>Ростовская Область, Таганрог Город, Инструментальная Улица, дом 2\10</v>
          </cell>
          <cell r="F1253">
            <v>1.1399999999999999</v>
          </cell>
          <cell r="G1253" t="str">
            <v>Доп.</v>
          </cell>
          <cell r="H1253" t="str">
            <v>Таганрогская</v>
          </cell>
          <cell r="I1253">
            <v>7</v>
          </cell>
        </row>
        <row r="1254">
          <cell r="C1254" t="str">
            <v>RO0405</v>
          </cell>
          <cell r="D1254" t="str">
            <v>22:собст. АМС выше 10 м на крыше</v>
          </cell>
          <cell r="E1254" t="str">
            <v>Ростовская Область, Таганрог Город, Некрасовский Переулок, дом 44\литер Д</v>
          </cell>
          <cell r="F1254">
            <v>1.1200000000000001</v>
          </cell>
          <cell r="G1254" t="str">
            <v>Доп.</v>
          </cell>
          <cell r="H1254" t="str">
            <v>Таганрогская</v>
          </cell>
          <cell r="I1254">
            <v>6</v>
          </cell>
        </row>
        <row r="1255">
          <cell r="C1255" t="str">
            <v>RO0406</v>
          </cell>
          <cell r="D1255" t="str">
            <v>22:собст. АМС выше 10 м на крыше</v>
          </cell>
          <cell r="E1255" t="str">
            <v>Ростовская Область, Таганрог Город, Александровская Улица, дом 160</v>
          </cell>
          <cell r="F1255">
            <v>1.08</v>
          </cell>
          <cell r="G1255" t="str">
            <v>Доп.</v>
          </cell>
          <cell r="H1255" t="str">
            <v>Таганрогская</v>
          </cell>
          <cell r="I1255">
            <v>4</v>
          </cell>
        </row>
        <row r="1256">
          <cell r="C1256" t="str">
            <v>RO0407</v>
          </cell>
          <cell r="D1256" t="str">
            <v>21:собст. АМС до 10 м на крыше</v>
          </cell>
          <cell r="E1256" t="str">
            <v>Ростовская Область, Таганрог Город, Дзержинского Улица, дом 161</v>
          </cell>
          <cell r="F1256">
            <v>1.02</v>
          </cell>
          <cell r="G1256" t="str">
            <v>Доп.</v>
          </cell>
          <cell r="H1256" t="str">
            <v>Таганрогская</v>
          </cell>
          <cell r="I1256">
            <v>1</v>
          </cell>
        </row>
        <row r="1257">
          <cell r="C1257" t="str">
            <v>RO0408</v>
          </cell>
          <cell r="D1257" t="str">
            <v>21:собст. АМС до 10 м на крыше</v>
          </cell>
          <cell r="E1257" t="str">
            <v>Ростовская Область, Таганрог Город, Инициативная Улица, дом 54</v>
          </cell>
          <cell r="F1257">
            <v>1.1200000000000001</v>
          </cell>
          <cell r="G1257" t="str">
            <v>Доп.</v>
          </cell>
          <cell r="H1257" t="str">
            <v>Таганрогская</v>
          </cell>
          <cell r="I1257">
            <v>6</v>
          </cell>
        </row>
        <row r="1258">
          <cell r="C1258" t="str">
            <v>RO0409</v>
          </cell>
          <cell r="D1258" t="str">
            <v>22:собст. АМС выше 10 м на крыше</v>
          </cell>
          <cell r="E1258" t="str">
            <v>Ростовская Область, Таганрог Город, Новый 1-й Переулок, дом 8</v>
          </cell>
          <cell r="F1258">
            <v>1.1000000000000001</v>
          </cell>
          <cell r="G1258" t="str">
            <v>Доп.</v>
          </cell>
          <cell r="H1258" t="str">
            <v>Таганрогская</v>
          </cell>
          <cell r="I1258">
            <v>5</v>
          </cell>
        </row>
        <row r="1259">
          <cell r="C1259" t="str">
            <v>RO0410</v>
          </cell>
          <cell r="D1259" t="str">
            <v>22:собст. АМС выше 10 м на крыше</v>
          </cell>
          <cell r="E1259" t="str">
            <v>Ростовская Область, Таганрог Город, Северная Площадь, дом 3</v>
          </cell>
          <cell r="F1259">
            <v>1.1000000000000001</v>
          </cell>
          <cell r="G1259" t="str">
            <v>Доп.</v>
          </cell>
          <cell r="H1259" t="str">
            <v>Таганрогская</v>
          </cell>
          <cell r="I1259">
            <v>5</v>
          </cell>
        </row>
        <row r="1260">
          <cell r="C1260" t="str">
            <v>RO0411</v>
          </cell>
          <cell r="D1260" t="str">
            <v>22:собст. АМС выше 10 м на крыше</v>
          </cell>
          <cell r="E1260" t="str">
            <v>Ростовская Область, Таганрог Город, Добролюбовский Переулок, дом 11</v>
          </cell>
          <cell r="F1260">
            <v>1.1000000000000001</v>
          </cell>
          <cell r="G1260" t="str">
            <v>Доп.</v>
          </cell>
          <cell r="H1260" t="str">
            <v>Таганрогская</v>
          </cell>
          <cell r="I1260">
            <v>5</v>
          </cell>
        </row>
        <row r="1261">
          <cell r="C1261" t="str">
            <v>RO0412</v>
          </cell>
          <cell r="D1261" t="str">
            <v>13:собст. железобетонный столб с заглубленным фундаментом</v>
          </cell>
          <cell r="E1261" t="str">
            <v>Ростовская Область, Таганрог Город, 20-й Переулок, дом 50</v>
          </cell>
          <cell r="F1261">
            <v>1.1200000000000001</v>
          </cell>
          <cell r="G1261" t="str">
            <v>Доп.</v>
          </cell>
          <cell r="H1261" t="str">
            <v>Таганрогская</v>
          </cell>
          <cell r="I1261">
            <v>6</v>
          </cell>
        </row>
        <row r="1262">
          <cell r="C1262" t="str">
            <v>RO0413</v>
          </cell>
          <cell r="D1262" t="str">
            <v>22:собст. АМС выше 10 м на крыше</v>
          </cell>
          <cell r="E1262" t="str">
            <v>Ростовская Область, Таганрог Город, Заводская Улица, дом 20\3</v>
          </cell>
          <cell r="F1262">
            <v>1.04</v>
          </cell>
          <cell r="G1262" t="str">
            <v>Доп.</v>
          </cell>
          <cell r="H1262" t="str">
            <v>Таганрогская</v>
          </cell>
          <cell r="I1262">
            <v>2</v>
          </cell>
        </row>
        <row r="1263">
          <cell r="C1263" t="str">
            <v>RO0414</v>
          </cell>
          <cell r="D1263" t="str">
            <v>22:собст. АМС выше 10 м на крыше</v>
          </cell>
          <cell r="E1263" t="str">
            <v>Ростовская Область, Таганрог Город, Ломоносова Улица, дом 65</v>
          </cell>
          <cell r="F1263">
            <v>1.1399999999999999</v>
          </cell>
          <cell r="G1263" t="str">
            <v>Доп.</v>
          </cell>
          <cell r="H1263" t="str">
            <v>Таганрогская</v>
          </cell>
          <cell r="I1263">
            <v>7</v>
          </cell>
        </row>
        <row r="1264">
          <cell r="C1264" t="str">
            <v>RO0415</v>
          </cell>
          <cell r="D1264" t="str">
            <v>13:собст. железобетонный столб с заглубленным фундаментом</v>
          </cell>
          <cell r="E1264" t="str">
            <v>Ростовская Область, Таганрог Город, Александровская Улица, дом 85-Б</v>
          </cell>
          <cell r="F1264">
            <v>1.08</v>
          </cell>
          <cell r="G1264" t="str">
            <v>Доп.</v>
          </cell>
          <cell r="H1264" t="str">
            <v>Таганрогская</v>
          </cell>
          <cell r="I1264">
            <v>4</v>
          </cell>
        </row>
        <row r="1265">
          <cell r="C1265" t="str">
            <v>RO0416</v>
          </cell>
          <cell r="D1265" t="str">
            <v>13:собст. железобетонный столб с заглубленным фундаментом</v>
          </cell>
          <cell r="E1265" t="str">
            <v>Ростовская Область, Неклиновский Район, Дарагановка Хутор, Центральная Улица, дом 12</v>
          </cell>
          <cell r="F1265">
            <v>1.34</v>
          </cell>
          <cell r="G1265" t="str">
            <v>Доп.</v>
          </cell>
          <cell r="H1265" t="str">
            <v>Таганрогская</v>
          </cell>
          <cell r="I1265">
            <v>17</v>
          </cell>
        </row>
        <row r="1266">
          <cell r="C1266" t="str">
            <v>RO0417</v>
          </cell>
          <cell r="D1266" t="str">
            <v>31:трубостойки на чужой АМС на земле/крыше</v>
          </cell>
          <cell r="E1266" t="str">
            <v>Ростовская Область, Таганрог Город, Новый 7-й Переулок, дом 108</v>
          </cell>
          <cell r="F1266">
            <v>1.1200000000000001</v>
          </cell>
          <cell r="G1266" t="str">
            <v>Доп.</v>
          </cell>
          <cell r="H1266" t="str">
            <v>Таганрогская</v>
          </cell>
          <cell r="I1266">
            <v>6</v>
          </cell>
        </row>
        <row r="1267">
          <cell r="C1267" t="str">
            <v>RO0418</v>
          </cell>
          <cell r="D1267" t="str">
            <v>13:собст. железобетонный столб с заглубленным фундаментом</v>
          </cell>
          <cell r="E1267" t="str">
            <v>Ростовская Область, Неклиновский Район, Самбек Село, Первомайская Улица\33</v>
          </cell>
          <cell r="F1267">
            <v>1.4</v>
          </cell>
          <cell r="G1267" t="str">
            <v>Доп.</v>
          </cell>
          <cell r="H1267" t="str">
            <v>Таганрогская</v>
          </cell>
          <cell r="I1267">
            <v>20</v>
          </cell>
        </row>
        <row r="1268">
          <cell r="C1268" t="str">
            <v>RO0419</v>
          </cell>
          <cell r="D1268" t="str">
            <v>21:собст. АМС до 10 м на крыше</v>
          </cell>
          <cell r="E1268" t="str">
            <v>Ростовская Область, Таганрог Город, Ломакина Улица, дом 57</v>
          </cell>
          <cell r="F1268">
            <v>1.1200000000000001</v>
          </cell>
          <cell r="G1268" t="str">
            <v>Доп.</v>
          </cell>
          <cell r="H1268" t="str">
            <v>Таганрогская</v>
          </cell>
          <cell r="I1268">
            <v>6</v>
          </cell>
        </row>
        <row r="1269">
          <cell r="C1269" t="str">
            <v>RO0420</v>
          </cell>
          <cell r="D1269" t="str">
            <v>13:собст. железобетонный столб с заглубленным фундаментом</v>
          </cell>
          <cell r="E1269" t="str">
            <v>Ростовская Область, Таганрог Город, Поляковское Шоссе Улица, дом 30</v>
          </cell>
          <cell r="F1269">
            <v>1.18</v>
          </cell>
          <cell r="G1269" t="str">
            <v>Доп.</v>
          </cell>
          <cell r="H1269" t="str">
            <v>Таганрогская</v>
          </cell>
          <cell r="I1269">
            <v>9</v>
          </cell>
        </row>
        <row r="1270">
          <cell r="C1270" t="str">
            <v>RO0421</v>
          </cell>
          <cell r="D1270" t="str">
            <v>13:собст. железобетонный столб с заглубленным фундаментом</v>
          </cell>
          <cell r="E1270" t="str">
            <v>Ростовская Область, Таганрог Город, Большой Проспект, дом 16</v>
          </cell>
          <cell r="F1270">
            <v>1.1200000000000001</v>
          </cell>
          <cell r="G1270" t="str">
            <v>Доп.</v>
          </cell>
          <cell r="H1270" t="str">
            <v>Таганрогская</v>
          </cell>
          <cell r="I1270">
            <v>6</v>
          </cell>
        </row>
        <row r="1271">
          <cell r="C1271" t="str">
            <v>RO0422</v>
          </cell>
          <cell r="D1271" t="str">
            <v>13:собст. железобетонный столб с заглубленным фундаментом</v>
          </cell>
          <cell r="E1271" t="str">
            <v>Ростовская Область, Таганрог Город, Михайловская Улица, дом 78-Б</v>
          </cell>
          <cell r="F1271">
            <v>1.1000000000000001</v>
          </cell>
          <cell r="G1271" t="str">
            <v>Доп.</v>
          </cell>
          <cell r="H1271" t="str">
            <v>Таганрогская</v>
          </cell>
          <cell r="I1271">
            <v>5</v>
          </cell>
        </row>
        <row r="1272">
          <cell r="C1272" t="str">
            <v>RO0423</v>
          </cell>
          <cell r="D1272" t="str">
            <v>21:собст. АМС до 10 м на крыше</v>
          </cell>
          <cell r="E1272" t="str">
            <v>Ростовская Область, Таганрог Город, Социалистическая Улица, дом 2</v>
          </cell>
          <cell r="F1272">
            <v>1.08</v>
          </cell>
          <cell r="G1272" t="str">
            <v>Доп.</v>
          </cell>
          <cell r="H1272" t="str">
            <v>Таганрогская</v>
          </cell>
          <cell r="I1272">
            <v>4</v>
          </cell>
        </row>
        <row r="1273">
          <cell r="C1273" t="str">
            <v>RO0424</v>
          </cell>
          <cell r="D1273" t="str">
            <v>13:собст. железобетонный столб с заглубленным фундаментом</v>
          </cell>
          <cell r="E1273" t="str">
            <v>Ростовская Область, Таганрог Город, Мало-Почтовая Улица, дом 54-А</v>
          </cell>
          <cell r="F1273">
            <v>1.02</v>
          </cell>
          <cell r="G1273" t="str">
            <v>Доп.</v>
          </cell>
          <cell r="H1273" t="str">
            <v>Таганрогская</v>
          </cell>
          <cell r="I1273">
            <v>1</v>
          </cell>
        </row>
        <row r="1274">
          <cell r="C1274" t="str">
            <v>RO0425</v>
          </cell>
          <cell r="D1274" t="str">
            <v>31:трубостойки на чужой АМС на земле/крыше</v>
          </cell>
          <cell r="E1274" t="str">
            <v>Ростовская Область, Неклиновский Район, Приморка Село</v>
          </cell>
          <cell r="F1274">
            <v>1.58</v>
          </cell>
          <cell r="G1274" t="str">
            <v>Доп.</v>
          </cell>
          <cell r="H1274" t="str">
            <v>Таганрогская</v>
          </cell>
          <cell r="I1274">
            <v>29</v>
          </cell>
        </row>
        <row r="1275">
          <cell r="C1275" t="str">
            <v>RO0426</v>
          </cell>
          <cell r="D1275" t="str">
            <v>13:собст. железобетонный столб с заглубленным фундаментом</v>
          </cell>
          <cell r="E1275" t="str">
            <v>Ростовская Область, Неклиновский Район, Натальевка Село, Мечникова Улица\12</v>
          </cell>
          <cell r="F1275">
            <v>1.8</v>
          </cell>
          <cell r="G1275" t="str">
            <v>Доп.</v>
          </cell>
          <cell r="H1275" t="str">
            <v>Таганрогская</v>
          </cell>
          <cell r="I1275">
            <v>40</v>
          </cell>
        </row>
        <row r="1276">
          <cell r="C1276" t="str">
            <v>RO0427</v>
          </cell>
          <cell r="D1276" t="str">
            <v>15:собст. башня с заглубленным фундаментом до 61м</v>
          </cell>
          <cell r="E1276" t="str">
            <v>Ростовская Область, Неклиновский Район, Александрова Коса Село, Смирнова Улица\8</v>
          </cell>
          <cell r="F1276">
            <v>1.38</v>
          </cell>
          <cell r="G1276" t="str">
            <v>Доп.</v>
          </cell>
          <cell r="H1276" t="str">
            <v>Таганрогская</v>
          </cell>
          <cell r="I1276">
            <v>19</v>
          </cell>
        </row>
        <row r="1277">
          <cell r="C1277" t="str">
            <v>RO0428</v>
          </cell>
          <cell r="D1277" t="str">
            <v>13:собст. железобетонный столб с заглубленным фундаментом</v>
          </cell>
          <cell r="E1277" t="str">
            <v>Ростовская Область, Таганрог Город, Прохладная Улица, дом 2</v>
          </cell>
          <cell r="F1277">
            <v>1.1200000000000001</v>
          </cell>
          <cell r="G1277" t="str">
            <v>Доп.</v>
          </cell>
          <cell r="H1277" t="str">
            <v>Таганрогская</v>
          </cell>
          <cell r="I1277">
            <v>6</v>
          </cell>
        </row>
        <row r="1278">
          <cell r="C1278" t="str">
            <v>RO0429</v>
          </cell>
          <cell r="D1278" t="str">
            <v>32:трубостойки/АМС на: трубе, элеваторе, водонап.башне</v>
          </cell>
          <cell r="E1278" t="str">
            <v>Ростовская Область, Таганрог Город, Широкая 1-я Улица, дом 1</v>
          </cell>
          <cell r="F1278">
            <v>1.08</v>
          </cell>
          <cell r="G1278" t="str">
            <v>Доп.</v>
          </cell>
          <cell r="H1278" t="str">
            <v>Таганрогская</v>
          </cell>
          <cell r="I1278">
            <v>4</v>
          </cell>
        </row>
        <row r="1279">
          <cell r="C1279" t="str">
            <v>RO0430</v>
          </cell>
          <cell r="D1279" t="str">
            <v>21:собст. АМС до 10 м на крыше</v>
          </cell>
          <cell r="E1279" t="str">
            <v>Ростовская Область, Таганрог Город, Тургеневский Переулок, дом 44</v>
          </cell>
          <cell r="F1279">
            <v>1.1000000000000001</v>
          </cell>
          <cell r="G1279" t="str">
            <v>Доп.</v>
          </cell>
          <cell r="H1279" t="str">
            <v>Таганрогская</v>
          </cell>
          <cell r="I1279">
            <v>5</v>
          </cell>
        </row>
        <row r="1280">
          <cell r="C1280" t="str">
            <v>RO0431</v>
          </cell>
          <cell r="D1280" t="str">
            <v>22:собст. АМС выше 10 м на крыше</v>
          </cell>
          <cell r="E1280" t="str">
            <v>Ростовская Область, Таганрог Город, Поляковское Шоссе Улица, дом 16</v>
          </cell>
          <cell r="F1280">
            <v>1.1599999999999999</v>
          </cell>
          <cell r="G1280" t="str">
            <v>Доп.</v>
          </cell>
          <cell r="H1280" t="str">
            <v>Таганрогская</v>
          </cell>
          <cell r="I1280">
            <v>8</v>
          </cell>
        </row>
        <row r="1281">
          <cell r="C1281" t="str">
            <v>RO0432</v>
          </cell>
          <cell r="D1281" t="str">
            <v>13:собст. железобетонный столб с заглубленным фундаментом</v>
          </cell>
          <cell r="E1281" t="str">
            <v>Ростовская Область, Таганрог Город, Седова Улица\4-1, литер Б</v>
          </cell>
          <cell r="F1281">
            <v>1.08</v>
          </cell>
          <cell r="G1281" t="str">
            <v>Доп.</v>
          </cell>
          <cell r="H1281" t="str">
            <v>Таганрогская</v>
          </cell>
          <cell r="I1281">
            <v>4</v>
          </cell>
        </row>
        <row r="1282">
          <cell r="C1282" t="str">
            <v>RO0433</v>
          </cell>
          <cell r="D1282" t="str">
            <v>13:собст. железобетонный столб с заглубленным фундаментом</v>
          </cell>
          <cell r="E1282" t="str">
            <v>Ростовская Область, Таганрог Город, Маршала Жукова Улица, дом 221</v>
          </cell>
          <cell r="F1282">
            <v>1.1399999999999999</v>
          </cell>
          <cell r="G1282" t="str">
            <v>Доп.</v>
          </cell>
          <cell r="H1282" t="str">
            <v>Таганрогская</v>
          </cell>
          <cell r="I1282">
            <v>7</v>
          </cell>
        </row>
        <row r="1283">
          <cell r="C1283" t="str">
            <v>RO0434</v>
          </cell>
          <cell r="D1283" t="str">
            <v>13:собст. железобетонный столб с заглубленным фундаментом</v>
          </cell>
          <cell r="E1283" t="str">
            <v>Ростовская Область, Таганрог Город, Поселковая Улица, дом 56</v>
          </cell>
          <cell r="F1283">
            <v>1.1200000000000001</v>
          </cell>
          <cell r="G1283" t="str">
            <v>Доп.</v>
          </cell>
          <cell r="H1283" t="str">
            <v>Таганрогская</v>
          </cell>
          <cell r="I1283">
            <v>6</v>
          </cell>
        </row>
        <row r="1284">
          <cell r="C1284" t="str">
            <v>RO0435</v>
          </cell>
          <cell r="D1284" t="str">
            <v>13:собст. железобетонный столб с заглубленным фундаментом</v>
          </cell>
          <cell r="E1284" t="str">
            <v>Ростовская Область, Неклиновский Район, Новобессергеневка Село, Горького Улица, дом 2</v>
          </cell>
          <cell r="F1284">
            <v>1.34</v>
          </cell>
          <cell r="G1284" t="str">
            <v>Доп.</v>
          </cell>
          <cell r="H1284" t="str">
            <v>Таганрогская</v>
          </cell>
          <cell r="I1284">
            <v>17</v>
          </cell>
        </row>
        <row r="1285">
          <cell r="C1285" t="str">
            <v>RO0436</v>
          </cell>
          <cell r="D1285" t="str">
            <v>13:собст. железобетонный столб с заглубленным фундаментом</v>
          </cell>
          <cell r="E1285" t="str">
            <v>Ростовская Область, Таганрог Город, Щаденко Улица\62</v>
          </cell>
          <cell r="F1285">
            <v>1.06</v>
          </cell>
          <cell r="G1285" t="str">
            <v>Доп.</v>
          </cell>
          <cell r="H1285" t="str">
            <v>Таганрогская</v>
          </cell>
          <cell r="I1285">
            <v>3</v>
          </cell>
        </row>
        <row r="1286">
          <cell r="C1286" t="str">
            <v>RO0437</v>
          </cell>
          <cell r="D1286" t="str">
            <v>13:собст. железобетонный столб с заглубленным фундаментом</v>
          </cell>
          <cell r="E1286" t="str">
            <v>Ростовская Область, Таганрог Город, Базарная Улица, дом 25</v>
          </cell>
          <cell r="F1286">
            <v>1.04</v>
          </cell>
          <cell r="G1286" t="str">
            <v>Доп.</v>
          </cell>
          <cell r="H1286" t="str">
            <v>Таганрогская</v>
          </cell>
          <cell r="I1286">
            <v>2</v>
          </cell>
        </row>
        <row r="1287">
          <cell r="C1287" t="str">
            <v>RO0438</v>
          </cell>
          <cell r="D1287" t="str">
            <v>13:собст. железобетонный столб с заглубленным фундаментом</v>
          </cell>
          <cell r="E1287" t="str">
            <v>Ростовская Область, Таганрог Город, Чехова Улица, дом 182</v>
          </cell>
          <cell r="F1287">
            <v>1.1000000000000001</v>
          </cell>
          <cell r="G1287" t="str">
            <v>Доп.</v>
          </cell>
          <cell r="H1287" t="str">
            <v>Таганрогская</v>
          </cell>
          <cell r="I1287">
            <v>5</v>
          </cell>
        </row>
        <row r="1288">
          <cell r="C1288" t="str">
            <v>RO0439</v>
          </cell>
          <cell r="D1288" t="str">
            <v>13:собст. железобетонный столб с заглубленным фундаментом</v>
          </cell>
          <cell r="E1288" t="str">
            <v>Ростовская Область, Таганрог Город, Мариупольское Шоссе Улица, дом 21</v>
          </cell>
          <cell r="F1288">
            <v>1.1399999999999999</v>
          </cell>
          <cell r="G1288" t="str">
            <v>Доп.</v>
          </cell>
          <cell r="H1288" t="str">
            <v>Таганрогская</v>
          </cell>
          <cell r="I1288">
            <v>7</v>
          </cell>
        </row>
        <row r="1289">
          <cell r="C1289" t="str">
            <v>RO0440</v>
          </cell>
          <cell r="D1289" t="str">
            <v>31:трубостойки на чужой АМС на земле/крыше</v>
          </cell>
          <cell r="E1289" t="str">
            <v>Ростовская Область, Таганрог Город, Кольцовская Улица, дом 52</v>
          </cell>
          <cell r="F1289">
            <v>1.1200000000000001</v>
          </cell>
          <cell r="G1289" t="str">
            <v>Доп.</v>
          </cell>
          <cell r="H1289" t="str">
            <v>Таганрогская</v>
          </cell>
          <cell r="I1289">
            <v>6</v>
          </cell>
        </row>
        <row r="1290">
          <cell r="C1290" t="str">
            <v>RO0441</v>
          </cell>
          <cell r="D1290" t="str">
            <v>22:собст. АМС выше 10 м на крыше</v>
          </cell>
          <cell r="E1290" t="str">
            <v>Ростовская Область, Таганрог Город, Чехова Улица, дом 2</v>
          </cell>
          <cell r="F1290">
            <v>1.1200000000000001</v>
          </cell>
          <cell r="G1290" t="str">
            <v>Доп.</v>
          </cell>
          <cell r="H1290" t="str">
            <v>Таганрогская</v>
          </cell>
          <cell r="I1290">
            <v>6</v>
          </cell>
        </row>
        <row r="1291">
          <cell r="C1291" t="str">
            <v>RO0442</v>
          </cell>
          <cell r="D1291" t="str">
            <v>31:трубостойки на чужой АМС на земле/крыше</v>
          </cell>
          <cell r="E1291" t="str">
            <v>Ростовская Область, Матвеево-Курганский Район, Латоново Село</v>
          </cell>
          <cell r="F1291">
            <v>2.34</v>
          </cell>
          <cell r="G1291" t="str">
            <v>Доп.</v>
          </cell>
          <cell r="H1291" t="str">
            <v>Таганрогская</v>
          </cell>
          <cell r="I1291">
            <v>67</v>
          </cell>
        </row>
        <row r="1292">
          <cell r="C1292" t="str">
            <v>RO0443</v>
          </cell>
          <cell r="D1292" t="str">
            <v>31:трубостойки на чужой АМС на земле/крыше</v>
          </cell>
          <cell r="E1292" t="str">
            <v>Ростовская Область, Неклиновский Район, Новоприморский Поселок\Транспортная улица, дом 1</v>
          </cell>
          <cell r="F1292">
            <v>1.38</v>
          </cell>
          <cell r="G1292" t="str">
            <v>Доп.</v>
          </cell>
          <cell r="H1292" t="str">
            <v>Таганрогская</v>
          </cell>
          <cell r="I1292">
            <v>19</v>
          </cell>
        </row>
        <row r="1293">
          <cell r="C1293" t="str">
            <v>RO0444</v>
          </cell>
          <cell r="D1293" t="str">
            <v>16:собст. башня с заглубленным фундаментом выше 61м</v>
          </cell>
          <cell r="E1293" t="str">
            <v>Ростовская Область, Неклиновский Район, Синявское Село, Первомайская Улица, дом 42</v>
          </cell>
          <cell r="F1293">
            <v>1.72</v>
          </cell>
          <cell r="G1293" t="str">
            <v>Доп.</v>
          </cell>
          <cell r="H1293" t="str">
            <v>Таганрогская</v>
          </cell>
          <cell r="I1293">
            <v>36</v>
          </cell>
        </row>
        <row r="1294">
          <cell r="C1294" t="str">
            <v>RO0445</v>
          </cell>
          <cell r="D1294" t="str">
            <v>22:собст. АМС выше 10 м на крыше</v>
          </cell>
          <cell r="E1294" t="str">
            <v>Ростовская Область, Таганрог Город, Пальмиро Тольятти Улица, дом 32</v>
          </cell>
          <cell r="F1294">
            <v>1.04</v>
          </cell>
          <cell r="G1294" t="str">
            <v>Доп.</v>
          </cell>
          <cell r="H1294" t="str">
            <v>Таганрогская</v>
          </cell>
          <cell r="I1294">
            <v>2</v>
          </cell>
        </row>
        <row r="1295">
          <cell r="C1295" t="str">
            <v>RO0446</v>
          </cell>
          <cell r="D1295" t="str">
            <v>31:трубостойки на чужой АМС на земле/крыше</v>
          </cell>
          <cell r="E1295" t="str">
            <v>Ростовская Область, Таганрог Город, Инструментальная Улица, дом 45</v>
          </cell>
          <cell r="F1295">
            <v>1.1200000000000001</v>
          </cell>
          <cell r="G1295" t="str">
            <v>Доп.</v>
          </cell>
          <cell r="H1295" t="str">
            <v>Таганрогская</v>
          </cell>
          <cell r="I1295">
            <v>6</v>
          </cell>
        </row>
        <row r="1296">
          <cell r="C1296" t="str">
            <v>RO0447</v>
          </cell>
          <cell r="D1296" t="str">
            <v>31:трубостойки на чужой АМС на земле/крыше</v>
          </cell>
          <cell r="E1296" t="str">
            <v>Ростовская Область, Таганрог Город, Красная Площадь\26а</v>
          </cell>
          <cell r="F1296">
            <v>1.1000000000000001</v>
          </cell>
          <cell r="G1296" t="str">
            <v>Доп.</v>
          </cell>
          <cell r="H1296" t="str">
            <v>Таганрогская</v>
          </cell>
          <cell r="I1296">
            <v>5</v>
          </cell>
        </row>
        <row r="1297">
          <cell r="C1297" t="str">
            <v>RO0449</v>
          </cell>
          <cell r="D1297" t="str">
            <v>13:собст. железобетонный столб с заглубленным фундаментом</v>
          </cell>
          <cell r="E1297" t="str">
            <v>Ростовская Область, Таганрог Город, Сергея Шило Улица, дом 182</v>
          </cell>
          <cell r="F1297">
            <v>1.1399999999999999</v>
          </cell>
          <cell r="G1297" t="str">
            <v>Доп.</v>
          </cell>
          <cell r="H1297" t="str">
            <v>Таганрогская</v>
          </cell>
          <cell r="I1297">
            <v>7</v>
          </cell>
        </row>
        <row r="1298">
          <cell r="C1298" t="str">
            <v>RO0450</v>
          </cell>
          <cell r="D1298" t="str">
            <v>13:собст. железобетонный столб с заглубленным фундаментом</v>
          </cell>
          <cell r="E1298" t="str">
            <v>Ростовская Область, Таганрог Город, Октябрьская Улица, дом 24к2</v>
          </cell>
          <cell r="F1298">
            <v>1.04</v>
          </cell>
          <cell r="G1298" t="str">
            <v>Доп.</v>
          </cell>
          <cell r="H1298" t="str">
            <v>Таганрогская</v>
          </cell>
          <cell r="I1298">
            <v>2</v>
          </cell>
        </row>
        <row r="1299">
          <cell r="C1299" t="str">
            <v>RO0451</v>
          </cell>
          <cell r="D1299" t="str">
            <v>13:собст. железобетонный столб с заглубленным фундаментом</v>
          </cell>
          <cell r="E1299" t="str">
            <v>Ростовская Область, Неклиновский Район, Николаевка Село, Таганская Улица\22а</v>
          </cell>
          <cell r="F1299">
            <v>1.24</v>
          </cell>
          <cell r="G1299" t="str">
            <v>Доп.</v>
          </cell>
          <cell r="H1299" t="str">
            <v>Таганрогская</v>
          </cell>
          <cell r="I1299">
            <v>12</v>
          </cell>
        </row>
        <row r="1300">
          <cell r="C1300" t="str">
            <v>RO0452</v>
          </cell>
          <cell r="D1300" t="str">
            <v>13:собст. железобетонный столб с заглубленным фундаментом</v>
          </cell>
          <cell r="E1300" t="str">
            <v>Ростовская Область, Таганрог Город, Морозова Улица\35</v>
          </cell>
          <cell r="F1300">
            <v>1.04</v>
          </cell>
          <cell r="G1300" t="str">
            <v>Доп.</v>
          </cell>
          <cell r="H1300" t="str">
            <v>Таганрогская</v>
          </cell>
          <cell r="I1300">
            <v>2</v>
          </cell>
        </row>
        <row r="1301">
          <cell r="C1301" t="str">
            <v>RO0453</v>
          </cell>
          <cell r="D1301" t="str">
            <v>13:собст. железобетонный столб с заглубленным фундаментом</v>
          </cell>
          <cell r="E1301" t="str">
            <v>Ростовская Область, Таганрог Город, Маршала Жукова Улица, дом 53\Г</v>
          </cell>
          <cell r="F1301">
            <v>1.08</v>
          </cell>
          <cell r="G1301" t="str">
            <v>Доп.</v>
          </cell>
          <cell r="H1301" t="str">
            <v>Таганрогская</v>
          </cell>
          <cell r="I1301">
            <v>4</v>
          </cell>
        </row>
        <row r="1302">
          <cell r="C1302" t="str">
            <v>RO0454</v>
          </cell>
          <cell r="D1302" t="str">
            <v>22:собст. АМС выше 10 м на крыше</v>
          </cell>
          <cell r="E1302" t="str">
            <v>Ростовская Область, Таганрог Город, Вишневая Улица, дом 21-А</v>
          </cell>
          <cell r="F1302">
            <v>1.1200000000000001</v>
          </cell>
          <cell r="G1302" t="str">
            <v>Доп.</v>
          </cell>
          <cell r="H1302" t="str">
            <v>Таганрогская</v>
          </cell>
          <cell r="I1302">
            <v>6</v>
          </cell>
        </row>
        <row r="1303">
          <cell r="C1303" t="str">
            <v>RO0455</v>
          </cell>
          <cell r="D1303" t="str">
            <v>13:собст. железобетонный столб с заглубленным фундаментом</v>
          </cell>
          <cell r="E1303" t="str">
            <v>Ростовская Область, Неклиновский Район, Петрушино Село, Энгельса Улица\35</v>
          </cell>
          <cell r="F1303">
            <v>1.38</v>
          </cell>
          <cell r="G1303" t="str">
            <v>Доп.</v>
          </cell>
          <cell r="H1303" t="str">
            <v>Таганрогская</v>
          </cell>
          <cell r="I1303">
            <v>19</v>
          </cell>
        </row>
        <row r="1304">
          <cell r="C1304" t="str">
            <v>RO0456</v>
          </cell>
          <cell r="D1304" t="str">
            <v>13:собст. железобетонный столб с заглубленным фундаментом</v>
          </cell>
          <cell r="E1304" t="str">
            <v>Ростовская Область, Неклиновский Район, Весело-Вознесенка Село, Советская Улица\1в</v>
          </cell>
          <cell r="F1304">
            <v>2.08</v>
          </cell>
          <cell r="G1304" t="str">
            <v>Доп.</v>
          </cell>
          <cell r="H1304" t="str">
            <v>Таганрогская</v>
          </cell>
          <cell r="I1304">
            <v>54</v>
          </cell>
        </row>
        <row r="1305">
          <cell r="C1305" t="str">
            <v>RO0457</v>
          </cell>
          <cell r="D1305" t="str">
            <v>31:трубостойки на чужой АМС на земле/крыше</v>
          </cell>
          <cell r="E1305" t="str">
            <v>Ростовская Область, Неклиновский Район, Христофоровка Село, Октябрьская Улица\26д</v>
          </cell>
          <cell r="F1305">
            <v>1.52</v>
          </cell>
          <cell r="G1305" t="str">
            <v>Доп.</v>
          </cell>
          <cell r="H1305" t="str">
            <v>Таганрогская</v>
          </cell>
          <cell r="I1305">
            <v>26</v>
          </cell>
        </row>
        <row r="1306">
          <cell r="C1306" t="str">
            <v>RO0458</v>
          </cell>
          <cell r="D1306" t="str">
            <v>21:собст. АМС до 10 м на крыше</v>
          </cell>
          <cell r="E1306" t="str">
            <v>Ростовская Область, Таганрог Город, Чехова Улица, дом 346</v>
          </cell>
          <cell r="F1306">
            <v>1.18</v>
          </cell>
          <cell r="G1306" t="str">
            <v>Доп.</v>
          </cell>
          <cell r="H1306" t="str">
            <v>Таганрогская</v>
          </cell>
          <cell r="I1306">
            <v>9</v>
          </cell>
        </row>
        <row r="1307">
          <cell r="C1307" t="str">
            <v>RO0460</v>
          </cell>
          <cell r="D1307" t="str">
            <v>13:собст. железобетонный столб с заглубленным фундаментом</v>
          </cell>
          <cell r="E1307" t="str">
            <v>Ростовская Область, Таганрог Город\1-я Котельная 79а</v>
          </cell>
          <cell r="F1307">
            <v>1.04</v>
          </cell>
          <cell r="G1307" t="str">
            <v>Доп.</v>
          </cell>
          <cell r="H1307" t="str">
            <v>Таганрогская</v>
          </cell>
          <cell r="I1307">
            <v>2</v>
          </cell>
        </row>
        <row r="1308">
          <cell r="C1308" t="str">
            <v>RO0461</v>
          </cell>
          <cell r="D1308" t="str">
            <v>33:трубостойки, АМС инфраструктурного оператора</v>
          </cell>
          <cell r="E1308" t="str">
            <v>Ростовская Область, Неклиновский Район, Федоровка Село</v>
          </cell>
          <cell r="F1308">
            <v>2.02</v>
          </cell>
          <cell r="G1308" t="str">
            <v>Доп.</v>
          </cell>
          <cell r="H1308" t="str">
            <v>Таганрогская</v>
          </cell>
          <cell r="I1308">
            <v>51</v>
          </cell>
        </row>
        <row r="1309">
          <cell r="C1309" t="str">
            <v>RO0462</v>
          </cell>
          <cell r="D1309" t="str">
            <v>15:собст. башня с заглубленным фундаментом до 61м</v>
          </cell>
          <cell r="E1309" t="str">
            <v>Ростовская Область, Неклиновский Район, Золотая Коса Поселок, Октябрьская Улица\126</v>
          </cell>
          <cell r="F1309">
            <v>1.62</v>
          </cell>
          <cell r="G1309" t="str">
            <v>Доп.</v>
          </cell>
          <cell r="H1309" t="str">
            <v>Таганрогская</v>
          </cell>
          <cell r="I1309">
            <v>31</v>
          </cell>
        </row>
        <row r="1310">
          <cell r="C1310" t="str">
            <v>RO0463</v>
          </cell>
          <cell r="D1310" t="str">
            <v>31:трубостойки на чужой АМС на земле/крыше</v>
          </cell>
          <cell r="E1310" t="str">
            <v>Ростовская Область, Матвеево-Курганский Район, Екатериновка Село</v>
          </cell>
          <cell r="F1310">
            <v>2.48</v>
          </cell>
          <cell r="G1310" t="str">
            <v>Доп.</v>
          </cell>
          <cell r="H1310" t="str">
            <v>Таганрогская</v>
          </cell>
          <cell r="I1310">
            <v>74</v>
          </cell>
        </row>
        <row r="1311">
          <cell r="C1311" t="str">
            <v>RO0464</v>
          </cell>
          <cell r="D1311" t="str">
            <v>13:собст. железобетонный столб с заглубленным фундаментом</v>
          </cell>
          <cell r="E1311" t="str">
            <v>Ростовская Область, Мясниковский Район, Недвиговка Хутор, Октябрьская Улица, дом 98\/3</v>
          </cell>
          <cell r="F1311">
            <v>1.8</v>
          </cell>
          <cell r="G1311" t="str">
            <v>Доп.</v>
          </cell>
          <cell r="H1311" t="str">
            <v>Таганрогская</v>
          </cell>
          <cell r="I1311">
            <v>40</v>
          </cell>
        </row>
        <row r="1312">
          <cell r="C1312" t="str">
            <v>RO0465</v>
          </cell>
          <cell r="D1312" t="str">
            <v>15:собст. башня с заглубленным фундаментом до 61м</v>
          </cell>
          <cell r="E1312" t="str">
            <v>Ростовская Область, Неклиновский Район, Беглица Село</v>
          </cell>
          <cell r="F1312">
            <v>1.74</v>
          </cell>
          <cell r="G1312" t="str">
            <v>Доп.</v>
          </cell>
          <cell r="H1312" t="str">
            <v>Таганрогская</v>
          </cell>
          <cell r="I1312">
            <v>37</v>
          </cell>
        </row>
        <row r="1313">
          <cell r="C1313" t="str">
            <v>RO0468</v>
          </cell>
          <cell r="D1313" t="str">
            <v>31:трубостойки на чужой АМС на земле/крыше</v>
          </cell>
          <cell r="E1313" t="str">
            <v>Ростовская Область, Мясниковский Район, Петровка Слобода</v>
          </cell>
          <cell r="F1313">
            <v>2.2599999999999998</v>
          </cell>
          <cell r="G1313" t="str">
            <v>Доп.</v>
          </cell>
          <cell r="H1313" t="str">
            <v>Таганрогская</v>
          </cell>
          <cell r="I1313">
            <v>63</v>
          </cell>
        </row>
        <row r="1314">
          <cell r="C1314" t="str">
            <v>RO0470</v>
          </cell>
          <cell r="D1314" t="str">
            <v>31:трубостойки на чужой АМС на земле/крыше</v>
          </cell>
          <cell r="E1314" t="str">
            <v>Ростовская Область, Мясниковский Район, Чалтырь Село, Красноармейская Улица\63</v>
          </cell>
          <cell r="F1314">
            <v>1.96</v>
          </cell>
          <cell r="G1314" t="str">
            <v>Доп.</v>
          </cell>
          <cell r="H1314" t="str">
            <v>Таганрогская</v>
          </cell>
          <cell r="I1314">
            <v>48</v>
          </cell>
        </row>
        <row r="1315">
          <cell r="C1315" t="str">
            <v>RO0471</v>
          </cell>
          <cell r="D1315" t="str">
            <v>13:собст. железобетонный столб с заглубленным фундаментом</v>
          </cell>
          <cell r="E1315" t="str">
            <v>Ростовская Область, Мясниковский Район, Чалтырь Село, Новостроек Улица, дом 1</v>
          </cell>
          <cell r="F1315">
            <v>2.06</v>
          </cell>
          <cell r="G1315" t="str">
            <v>Доп.</v>
          </cell>
          <cell r="H1315" t="str">
            <v>Таганрогская</v>
          </cell>
          <cell r="I1315">
            <v>53</v>
          </cell>
        </row>
        <row r="1316">
          <cell r="C1316" t="str">
            <v>RO0472</v>
          </cell>
          <cell r="D1316" t="str">
            <v>13:собст. железобетонный столб с заглубленным фундаментом</v>
          </cell>
          <cell r="E1316" t="str">
            <v>Ростовская Область, Мясниковский Район, Крым Село, Крестьянская Улица, дом 1д</v>
          </cell>
          <cell r="F1316">
            <v>2.12</v>
          </cell>
          <cell r="G1316" t="str">
            <v>Доп.</v>
          </cell>
          <cell r="H1316" t="str">
            <v>Таганрогская</v>
          </cell>
          <cell r="I1316">
            <v>56</v>
          </cell>
        </row>
        <row r="1317">
          <cell r="C1317" t="str">
            <v>RO0473</v>
          </cell>
          <cell r="D1317" t="str">
            <v>31:трубостойки на чужой АМС на земле/крыше</v>
          </cell>
          <cell r="E1317" t="str">
            <v>Ростовская Область, Мясниковский Район, Чалтырь Село, Налбандяна Улица, дом 9</v>
          </cell>
          <cell r="F1317">
            <v>2</v>
          </cell>
          <cell r="G1317" t="str">
            <v>Доп.</v>
          </cell>
          <cell r="H1317" t="str">
            <v>Таганрогская</v>
          </cell>
          <cell r="I1317">
            <v>50</v>
          </cell>
        </row>
        <row r="1318">
          <cell r="C1318" t="str">
            <v>RO0474</v>
          </cell>
          <cell r="D1318" t="str">
            <v>15:собст. башня с заглубленным фундаментом до 61м</v>
          </cell>
          <cell r="E1318" t="str">
            <v>Ростовская Область, Мясниковский Район, Красный Крым Хутор\5-й км автодороги Ростов-Новошахтинск</v>
          </cell>
          <cell r="F1318">
            <v>2.2999999999999998</v>
          </cell>
          <cell r="G1318" t="str">
            <v>Доп.</v>
          </cell>
          <cell r="H1318" t="str">
            <v>Таганрогская</v>
          </cell>
          <cell r="I1318">
            <v>65</v>
          </cell>
        </row>
        <row r="1319">
          <cell r="C1319" t="str">
            <v>RO0475</v>
          </cell>
          <cell r="D1319" t="str">
            <v>13:собст. железобетонный столб с заглубленным фундаментом</v>
          </cell>
          <cell r="E1319" t="str">
            <v>Ростовская Область, Мясниковский Район, Большие Салы Село, Советская Улица, дом 17в</v>
          </cell>
          <cell r="F1319">
            <v>2.4</v>
          </cell>
          <cell r="G1319" t="str">
            <v>Доп.</v>
          </cell>
          <cell r="H1319" t="str">
            <v>Таганрогская</v>
          </cell>
          <cell r="I1319">
            <v>70</v>
          </cell>
        </row>
        <row r="1320">
          <cell r="C1320" t="str">
            <v>RO0478</v>
          </cell>
          <cell r="D1320" t="str">
            <v>32:трубостойки/АМС на: трубе, элеваторе, водонап.башне</v>
          </cell>
          <cell r="E1320" t="str">
            <v>Ростовская Область, Таганрог Город, Лесная Биржа Улица, дом 2</v>
          </cell>
          <cell r="F1320">
            <v>1.1000000000000001</v>
          </cell>
          <cell r="G1320" t="str">
            <v>Доп.</v>
          </cell>
          <cell r="H1320" t="str">
            <v>Таганрогская</v>
          </cell>
          <cell r="I1320">
            <v>5</v>
          </cell>
        </row>
        <row r="1321">
          <cell r="C1321" t="str">
            <v>RO0480</v>
          </cell>
          <cell r="D1321" t="str">
            <v>15:собст. башня с заглубленным фундаментом до 61м</v>
          </cell>
          <cell r="E1321" t="str">
            <v>Ростовская Область, Неклиновский Район, Покровское Село, Комсомольский Переулок\43/2</v>
          </cell>
          <cell r="F1321">
            <v>1.54</v>
          </cell>
          <cell r="G1321" t="str">
            <v>Доп.</v>
          </cell>
          <cell r="H1321" t="str">
            <v>Таганрогская</v>
          </cell>
          <cell r="I1321">
            <v>27</v>
          </cell>
        </row>
        <row r="1322">
          <cell r="C1322" t="str">
            <v>RO0481</v>
          </cell>
          <cell r="D1322" t="str">
            <v>13:собст. железобетонный столб с заглубленным фундаментом</v>
          </cell>
          <cell r="E1322" t="str">
            <v>Ростовская Область, Неклиновский Район, Покровское Село, О.Кошевого Улица\26</v>
          </cell>
          <cell r="F1322">
            <v>1.52</v>
          </cell>
          <cell r="G1322" t="str">
            <v>Доп.</v>
          </cell>
          <cell r="H1322" t="str">
            <v>Таганрогская</v>
          </cell>
          <cell r="I1322">
            <v>26</v>
          </cell>
        </row>
        <row r="1323">
          <cell r="C1323" t="str">
            <v>RO0482</v>
          </cell>
          <cell r="D1323" t="str">
            <v>15:собст. башня с заглубленным фундаментом до 61м</v>
          </cell>
          <cell r="E1323" t="str">
            <v>Ростовская Область, Матвеево-Курганский Район, Малокирсановка Село, Корниенко Улица\Северный пер.</v>
          </cell>
          <cell r="F1323">
            <v>2.5</v>
          </cell>
          <cell r="G1323" t="str">
            <v>Доп.</v>
          </cell>
          <cell r="H1323" t="str">
            <v>Таганрогская</v>
          </cell>
          <cell r="I1323">
            <v>75</v>
          </cell>
        </row>
        <row r="1324">
          <cell r="C1324" t="str">
            <v>RO0483</v>
          </cell>
          <cell r="D1324" t="str">
            <v>13:собст. железобетонный столб с заглубленным фундаментом</v>
          </cell>
          <cell r="E1324" t="str">
            <v>Ростовская Область, Неклиновский Район, Покровское Село, Степной Переулок, дом 21\А</v>
          </cell>
          <cell r="F1324">
            <v>1.6</v>
          </cell>
          <cell r="G1324" t="str">
            <v>Доп.</v>
          </cell>
          <cell r="H1324" t="str">
            <v>Таганрогская</v>
          </cell>
          <cell r="I1324">
            <v>30</v>
          </cell>
        </row>
        <row r="1325">
          <cell r="C1325" t="str">
            <v>RO0484</v>
          </cell>
          <cell r="D1325" t="str">
            <v>13:собст. железобетонный столб с заглубленным фундаментом</v>
          </cell>
          <cell r="E1325" t="str">
            <v>Ростовская Область, Неклиновский Район, Троицкое Село, Строителей Улица, дом 1</v>
          </cell>
          <cell r="F1325">
            <v>1.34</v>
          </cell>
          <cell r="G1325" t="str">
            <v>Доп.</v>
          </cell>
          <cell r="H1325" t="str">
            <v>Таганрогская</v>
          </cell>
          <cell r="I1325">
            <v>17</v>
          </cell>
        </row>
        <row r="1326">
          <cell r="C1326" t="str">
            <v>RO0485</v>
          </cell>
          <cell r="D1326" t="str">
            <v>15:собст. башня с заглубленным фундаментом до 61м</v>
          </cell>
          <cell r="E1326" t="str">
            <v>Ростовская Область, Неклиновский Район, Ефремовка Село\200 м юго-восточнее села</v>
          </cell>
          <cell r="F1326">
            <v>1.86</v>
          </cell>
          <cell r="G1326" t="str">
            <v>Доп.</v>
          </cell>
          <cell r="H1326" t="str">
            <v>Таганрогская</v>
          </cell>
          <cell r="I1326">
            <v>43</v>
          </cell>
        </row>
        <row r="1327">
          <cell r="C1327" t="str">
            <v>RO0486</v>
          </cell>
          <cell r="D1327" t="str">
            <v>33:трубостойки, АМС инфраструктурного оператора</v>
          </cell>
          <cell r="E1327" t="str">
            <v>Ростовская Область, Неклиновский Район, Носово Село</v>
          </cell>
          <cell r="F1327">
            <v>1.7</v>
          </cell>
          <cell r="G1327" t="str">
            <v>Доп.</v>
          </cell>
          <cell r="H1327" t="str">
            <v>Таганрогская</v>
          </cell>
          <cell r="I1327">
            <v>35</v>
          </cell>
        </row>
        <row r="1328">
          <cell r="C1328" t="str">
            <v>RO0487</v>
          </cell>
          <cell r="D1328" t="str">
            <v>22:собст. АМС выше 10 м на крыше</v>
          </cell>
          <cell r="E1328" t="str">
            <v>Ростовская Область, Неклиновский Район, Покровское Село, Ленина Улица, дом 276\а</v>
          </cell>
          <cell r="F1328">
            <v>1.54</v>
          </cell>
          <cell r="G1328" t="str">
            <v>Доп.</v>
          </cell>
          <cell r="H1328" t="str">
            <v>Таганрогская</v>
          </cell>
          <cell r="I1328">
            <v>27</v>
          </cell>
        </row>
        <row r="1329">
          <cell r="C1329" t="str">
            <v>RO0488</v>
          </cell>
          <cell r="D1329" t="str">
            <v>33:трубостойки, АМС инфраструктурного оператора</v>
          </cell>
          <cell r="E1329" t="str">
            <v>Ростовская Область, Матвеево-Курганский Район, Анастасиевка Село</v>
          </cell>
          <cell r="F1329">
            <v>2.78</v>
          </cell>
          <cell r="G1329" t="str">
            <v>Доп.</v>
          </cell>
          <cell r="H1329" t="str">
            <v>Таганрогская</v>
          </cell>
          <cell r="I1329">
            <v>89</v>
          </cell>
        </row>
        <row r="1330">
          <cell r="C1330" t="str">
            <v>RO0489</v>
          </cell>
          <cell r="D1330" t="str">
            <v>31:трубостойки на чужой АМС на земле/крыше</v>
          </cell>
          <cell r="E1330" t="str">
            <v>Ростовская Область, Матвеево-Курганский Район\3км восточнее поселка Матвеев Курган, башня РТПЦ</v>
          </cell>
          <cell r="F1330">
            <v>1.92</v>
          </cell>
          <cell r="G1330" t="str">
            <v>Доп.</v>
          </cell>
          <cell r="H1330" t="str">
            <v>Таганрогская</v>
          </cell>
          <cell r="I1330">
            <v>46</v>
          </cell>
        </row>
        <row r="1331">
          <cell r="C1331" t="str">
            <v>RO0490</v>
          </cell>
          <cell r="D1331" t="str">
            <v>21:собст. АМС до 10 м на крыше</v>
          </cell>
          <cell r="E1331" t="str">
            <v>Ростовская Область, Матвеево-Курганский Район, Матвеев Курган Поселок, Славы Улица\6</v>
          </cell>
          <cell r="F1331">
            <v>1.86</v>
          </cell>
          <cell r="G1331" t="str">
            <v>Доп.</v>
          </cell>
          <cell r="H1331" t="str">
            <v>Таганрогская</v>
          </cell>
          <cell r="I1331">
            <v>43</v>
          </cell>
        </row>
        <row r="1332">
          <cell r="C1332" t="str">
            <v>RO0491</v>
          </cell>
          <cell r="D1332" t="str">
            <v>13:собст. железобетонный столб с заглубленным фундаментом</v>
          </cell>
          <cell r="E1332" t="str">
            <v>Ростовская Область, Матвеево-Курганский Район, Матвеев Курган Поселок, Пугачева Улица\116</v>
          </cell>
          <cell r="F1332">
            <v>1.9</v>
          </cell>
          <cell r="G1332" t="str">
            <v>Доп.</v>
          </cell>
          <cell r="H1332" t="str">
            <v>Таганрогская</v>
          </cell>
          <cell r="I1332">
            <v>45</v>
          </cell>
        </row>
        <row r="1333">
          <cell r="C1333" t="str">
            <v>RO0492</v>
          </cell>
          <cell r="D1333" t="str">
            <v>31:трубостойки на чужой АМС на земле/крыше</v>
          </cell>
          <cell r="E1333" t="str">
            <v>Ростовская Область, Матвеево-Курганский Район, Матвеев Курган Поселок, Фрунзе Улица\57Б</v>
          </cell>
          <cell r="F1333">
            <v>1.92</v>
          </cell>
          <cell r="G1333" t="str">
            <v>Доп.</v>
          </cell>
          <cell r="H1333" t="str">
            <v>Таганрогская</v>
          </cell>
          <cell r="I1333">
            <v>46</v>
          </cell>
        </row>
        <row r="1334">
          <cell r="C1334" t="str">
            <v>RO0493</v>
          </cell>
          <cell r="D1334" t="str">
            <v>31:трубостойки на чужой АМС на земле/крыше</v>
          </cell>
          <cell r="E1334" t="str">
            <v>Ростовская Область, Куйбышевский Район\2,5 км юго-восточнее села Куйбышево, башня РТПЦ</v>
          </cell>
          <cell r="F1334">
            <v>2.58</v>
          </cell>
          <cell r="G1334" t="str">
            <v>Доп.</v>
          </cell>
          <cell r="H1334" t="str">
            <v>Таганрогская</v>
          </cell>
          <cell r="I1334">
            <v>79</v>
          </cell>
        </row>
        <row r="1335">
          <cell r="C1335" t="str">
            <v>RO0494</v>
          </cell>
          <cell r="D1335" t="str">
            <v>31:трубостойки на чужой АМС на земле/крыше</v>
          </cell>
          <cell r="E1335" t="str">
            <v>Ростовская Область, Куйбышевский Район, Лысогорка Село</v>
          </cell>
          <cell r="F1335">
            <v>2.62</v>
          </cell>
          <cell r="G1335" t="str">
            <v>Доп.</v>
          </cell>
          <cell r="H1335" t="str">
            <v>Таганрогская</v>
          </cell>
          <cell r="I1335">
            <v>81</v>
          </cell>
        </row>
        <row r="1336">
          <cell r="C1336" t="str">
            <v>RO0495</v>
          </cell>
          <cell r="D1336" t="str">
            <v>13:собст. железобетонный столб с заглубленным фундаментом</v>
          </cell>
          <cell r="E1336" t="str">
            <v>Ростовская Область, Матвеево-Курганский Район, Авило-Успенка Село, Ленина Улица\56</v>
          </cell>
          <cell r="F1336">
            <v>2.36</v>
          </cell>
          <cell r="G1336" t="str">
            <v>Доп.</v>
          </cell>
          <cell r="H1336" t="str">
            <v>Таганрогская</v>
          </cell>
          <cell r="I1336">
            <v>68</v>
          </cell>
        </row>
        <row r="1337">
          <cell r="C1337" t="str">
            <v>RO0496</v>
          </cell>
          <cell r="D1337" t="str">
            <v>22:собст. АМС выше 10 м на крыше</v>
          </cell>
          <cell r="E1337" t="str">
            <v>Ростовская Область, Таганрог Город, Бакинская Улица, дом 65</v>
          </cell>
          <cell r="F1337">
            <v>1.1000000000000001</v>
          </cell>
          <cell r="G1337" t="str">
            <v>Доп.</v>
          </cell>
          <cell r="H1337" t="str">
            <v>Таганрогская</v>
          </cell>
          <cell r="I1337">
            <v>5</v>
          </cell>
        </row>
        <row r="1338">
          <cell r="C1338" t="str">
            <v>RO0497</v>
          </cell>
          <cell r="D1338" t="str">
            <v>13:собст. железобетонный столб с заглубленным фундаментом</v>
          </cell>
          <cell r="E1338" t="str">
            <v>Ростовская Область, Куйбышевский Район, Куйбышево Село, Ростовская Улица\5</v>
          </cell>
          <cell r="F1338">
            <v>2.58</v>
          </cell>
          <cell r="G1338" t="str">
            <v>Доп.</v>
          </cell>
          <cell r="H1338" t="str">
            <v>Таганрогская</v>
          </cell>
          <cell r="I1338">
            <v>79</v>
          </cell>
        </row>
        <row r="1339">
          <cell r="C1339" t="str">
            <v>RO0499</v>
          </cell>
          <cell r="D1339" t="str">
            <v>31:трубостойки на чужой АМС на земле/крыше</v>
          </cell>
          <cell r="E1339" t="str">
            <v>Ростовская Область, Неклиновский Район, Андреево-Мелентьево Село</v>
          </cell>
          <cell r="F1339">
            <v>1.34</v>
          </cell>
          <cell r="G1339" t="str">
            <v>Доп.</v>
          </cell>
          <cell r="H1339" t="str">
            <v>Таганрогская</v>
          </cell>
          <cell r="I1339">
            <v>17</v>
          </cell>
        </row>
        <row r="1340">
          <cell r="C1340" t="str">
            <v>RO0820</v>
          </cell>
          <cell r="D1340" t="str">
            <v>31:трубостойки на чужой АМС на земле/крыше</v>
          </cell>
          <cell r="E1340" t="str">
            <v>Ростовская Область, Таганрог Город, Новый 1-й Переулок, дом 24</v>
          </cell>
          <cell r="F1340">
            <v>1.1000000000000001</v>
          </cell>
          <cell r="G1340" t="str">
            <v>Доп.</v>
          </cell>
          <cell r="H1340" t="str">
            <v>Таганрогская</v>
          </cell>
          <cell r="I1340">
            <v>5</v>
          </cell>
        </row>
        <row r="1341">
          <cell r="C1341" t="str">
            <v>RO0822</v>
          </cell>
          <cell r="D1341" t="str">
            <v>31:трубостойки на чужой АМС на земле/крыше</v>
          </cell>
          <cell r="E1341" t="str">
            <v>Ростовская Область, Мясниковский Район, Чалтырь Село, Октябрьская Улица, дом 132\Б</v>
          </cell>
          <cell r="F1341">
            <v>2.04</v>
          </cell>
          <cell r="G1341" t="str">
            <v>Доп.</v>
          </cell>
          <cell r="H1341" t="str">
            <v>Таганрогская</v>
          </cell>
          <cell r="I1341">
            <v>52</v>
          </cell>
        </row>
        <row r="1342">
          <cell r="C1342" t="str">
            <v>RO0939</v>
          </cell>
          <cell r="D1342" t="str">
            <v>31:трубостойки на чужой АМС на земле/крыше</v>
          </cell>
          <cell r="E1342" t="str">
            <v>Ростовская Область, Орловский Район, Камышевка Хутор\примерно на юго-запад от здания пекарни по ул. Муравина - 33,6 м. и на юго-запад от КТП 1021 - 16,3 м., АМС ФГУП "РТРС"</v>
          </cell>
          <cell r="F1342">
            <v>3.4</v>
          </cell>
          <cell r="G1342" t="str">
            <v>Доп.</v>
          </cell>
          <cell r="H1342" t="str">
            <v>Сальская</v>
          </cell>
          <cell r="I1342">
            <v>120</v>
          </cell>
        </row>
        <row r="1343">
          <cell r="C1343" t="str">
            <v>RO0960</v>
          </cell>
          <cell r="D1343" t="str">
            <v>31:трубостойки на чужой АМС на земле/крыше</v>
          </cell>
          <cell r="E1343" t="str">
            <v>Ростовская Область, Куйбышевский Район, Миллерово Село</v>
          </cell>
          <cell r="F1343">
            <v>2.96</v>
          </cell>
          <cell r="G1343" t="str">
            <v>Доп.</v>
          </cell>
          <cell r="H1343" t="str">
            <v>Таганрогская</v>
          </cell>
          <cell r="I1343">
            <v>98</v>
          </cell>
        </row>
        <row r="1344">
          <cell r="C1344" t="str">
            <v>RO0967</v>
          </cell>
          <cell r="D1344" t="str">
            <v>33:трубостойки, АМС инфраструктурного оператора</v>
          </cell>
          <cell r="E1344" t="str">
            <v>Ростовская Область, Сальский Район, Степной Курган Поселок</v>
          </cell>
          <cell r="F1344">
            <v>2.2400000000000002</v>
          </cell>
          <cell r="G1344" t="str">
            <v>Доп.</v>
          </cell>
          <cell r="H1344" t="str">
            <v>Сальская</v>
          </cell>
          <cell r="I1344">
            <v>62</v>
          </cell>
        </row>
        <row r="1345">
          <cell r="C1345" t="str">
            <v>RO0968</v>
          </cell>
          <cell r="D1345" t="str">
            <v>13:собст. железобетонный столб с заглубленным фундаментом</v>
          </cell>
          <cell r="E1345" t="str">
            <v>Ростовская Область, Сальский Район, Романовка Село</v>
          </cell>
          <cell r="F1345">
            <v>2.2200000000000002</v>
          </cell>
          <cell r="G1345" t="str">
            <v>Доп.</v>
          </cell>
          <cell r="H1345" t="str">
            <v>Сальская</v>
          </cell>
          <cell r="I1345">
            <v>61</v>
          </cell>
        </row>
        <row r="1346">
          <cell r="C1346" t="str">
            <v>RO0969</v>
          </cell>
          <cell r="D1346" t="str">
            <v>15:собст. башня с заглубленным фундаментом до 61м</v>
          </cell>
          <cell r="E1346" t="str">
            <v>Ростовская Область, Сальский Район, Бараники Село, Октябрьская Улица, дом 2\а</v>
          </cell>
          <cell r="F1346">
            <v>1.64</v>
          </cell>
          <cell r="G1346" t="str">
            <v>Доп.</v>
          </cell>
          <cell r="H1346" t="str">
            <v>Сальская</v>
          </cell>
          <cell r="I1346">
            <v>32</v>
          </cell>
        </row>
        <row r="1347">
          <cell r="C1347" t="str">
            <v>RO0970</v>
          </cell>
          <cell r="D1347" t="str">
            <v>15:собст. башня с заглубленным фундаментом до 61м</v>
          </cell>
          <cell r="E1347" t="str">
            <v>Ростовская Область, Сальский Район, Сеятель Северный Поселок, Садовая Улица\67-а</v>
          </cell>
          <cell r="F1347">
            <v>1.7</v>
          </cell>
          <cell r="G1347" t="str">
            <v>Доп.</v>
          </cell>
          <cell r="H1347" t="str">
            <v>Сальская</v>
          </cell>
          <cell r="I1347">
            <v>35</v>
          </cell>
        </row>
        <row r="1348">
          <cell r="C1348" t="str">
            <v>RO0971</v>
          </cell>
          <cell r="D1348" t="str">
            <v>13:собст. железобетонный столб с заглубленным фундаментом</v>
          </cell>
          <cell r="E1348" t="str">
            <v>Ростовская Область, Сальский Район, Березовка Село</v>
          </cell>
          <cell r="F1348">
            <v>2.02</v>
          </cell>
          <cell r="G1348" t="str">
            <v>Доп.</v>
          </cell>
          <cell r="H1348" t="str">
            <v>Сальская</v>
          </cell>
          <cell r="I1348">
            <v>51</v>
          </cell>
        </row>
        <row r="1349">
          <cell r="C1349" t="str">
            <v>RO1002</v>
          </cell>
          <cell r="D1349" t="str">
            <v>31:трубостойки на чужой АМС на земле/крыше</v>
          </cell>
          <cell r="E1349" t="str">
            <v>Ростовская Область, Матвеево-Курганский Район, Новониколаевка Село, Садовая Улица, дом 1\а</v>
          </cell>
          <cell r="F1349">
            <v>2.44</v>
          </cell>
          <cell r="G1349" t="str">
            <v>Доп.</v>
          </cell>
          <cell r="H1349" t="str">
            <v>Таганрогская</v>
          </cell>
          <cell r="I1349">
            <v>72</v>
          </cell>
        </row>
        <row r="1350">
          <cell r="C1350" t="str">
            <v>RO1095</v>
          </cell>
          <cell r="D1350" t="str">
            <v>33:трубостойки, АМС инфраструктурного оператора</v>
          </cell>
          <cell r="E1350" t="str">
            <v>Ростовская Область, Куйбышевский Район, Новобахмутский Хутор\Опора ЗАО "Русские Башни"</v>
          </cell>
          <cell r="F1350">
            <v>2.68</v>
          </cell>
          <cell r="G1350" t="str">
            <v>Доп.</v>
          </cell>
          <cell r="H1350" t="str">
            <v>Таганрогская</v>
          </cell>
          <cell r="I1350">
            <v>84</v>
          </cell>
        </row>
        <row r="1351">
          <cell r="C1351" t="str">
            <v>RO1121</v>
          </cell>
          <cell r="D1351" t="str">
            <v>31:трубостойки на чужой АМС на земле/крыше</v>
          </cell>
          <cell r="E1351" t="str">
            <v>Ростовская Область, Сальский Район, Сальск Город, Чернышевского Улица, дом 32\ул. Чернышевского, 32 К</v>
          </cell>
          <cell r="F1351">
            <v>1.24</v>
          </cell>
          <cell r="G1351" t="str">
            <v>Доп.</v>
          </cell>
          <cell r="H1351" t="str">
            <v>Сальская</v>
          </cell>
          <cell r="I1351">
            <v>12</v>
          </cell>
        </row>
        <row r="1352">
          <cell r="C1352" t="str">
            <v>RO1137</v>
          </cell>
          <cell r="D1352" t="str">
            <v>31:трубостойки на чужой АМС на земле/крыше</v>
          </cell>
          <cell r="E1352" t="str">
            <v>Ростовская Область, Куйбышевский Район, Новая Надежда Хутор, Юбилейная Улица\26-а</v>
          </cell>
          <cell r="F1352">
            <v>2.88</v>
          </cell>
          <cell r="G1352" t="str">
            <v>Доп.</v>
          </cell>
          <cell r="H1352" t="str">
            <v>Таганрогская</v>
          </cell>
          <cell r="I1352">
            <v>94</v>
          </cell>
        </row>
        <row r="1353">
          <cell r="C1353" t="str">
            <v>RO1156</v>
          </cell>
          <cell r="D1353" t="str">
            <v>13:собст. железобетонный столб с заглубленным фундаментом</v>
          </cell>
          <cell r="E1353" t="str">
            <v>Ростовская Область, Неклиновский Район, Бессергеновка Село</v>
          </cell>
          <cell r="F1353">
            <v>1.18</v>
          </cell>
          <cell r="G1353" t="str">
            <v>Доп.</v>
          </cell>
          <cell r="H1353" t="str">
            <v>Таганрогская</v>
          </cell>
          <cell r="I1353">
            <v>9</v>
          </cell>
        </row>
        <row r="1354">
          <cell r="C1354" t="str">
            <v>RO1157</v>
          </cell>
          <cell r="D1354" t="str">
            <v>31:трубостойки на чужой АМС на земле/крыше</v>
          </cell>
          <cell r="E1354" t="str">
            <v>Ростовская Область, Таганрог Город, Педагог Дачный поселок</v>
          </cell>
          <cell r="F1354">
            <v>1.26</v>
          </cell>
          <cell r="G1354" t="str">
            <v>Доп.</v>
          </cell>
          <cell r="H1354" t="str">
            <v>Таганрогская</v>
          </cell>
          <cell r="I1354">
            <v>13</v>
          </cell>
        </row>
        <row r="1355">
          <cell r="C1355" t="str">
            <v>RO1158</v>
          </cell>
          <cell r="D1355" t="str">
            <v>13:собст. железобетонный столб с заглубленным фундаментом</v>
          </cell>
          <cell r="E1355" t="str">
            <v>Ростовская Область, Неклиновский Район, Боркин Хутор, Горный Переулок</v>
          </cell>
          <cell r="F1355">
            <v>1.5</v>
          </cell>
          <cell r="G1355" t="str">
            <v>Доп.</v>
          </cell>
          <cell r="H1355" t="str">
            <v>Таганрогская</v>
          </cell>
          <cell r="I1355">
            <v>25</v>
          </cell>
        </row>
        <row r="1356">
          <cell r="C1356" t="str">
            <v>RO1174</v>
          </cell>
          <cell r="D1356" t="str">
            <v>13:собст. железобетонный столб с заглубленным фундаментом</v>
          </cell>
          <cell r="E1356" t="str">
            <v>Ростовская Область, Мясниковский Район, Хапры Хутор\5 м. по направлению на северо-восток от границы участка, расположенного по адресу: пер. Сафьяновский д. 8</v>
          </cell>
          <cell r="F1356">
            <v>2.02</v>
          </cell>
          <cell r="G1356" t="str">
            <v>Доп.</v>
          </cell>
          <cell r="H1356" t="str">
            <v>Таганрогская</v>
          </cell>
          <cell r="I1356">
            <v>51</v>
          </cell>
        </row>
        <row r="1357">
          <cell r="C1357" t="str">
            <v>RO1210</v>
          </cell>
          <cell r="D1357" t="str">
            <v>33:трубостойки, АМС инфраструктурного оператора</v>
          </cell>
          <cell r="E1357" t="str">
            <v>Ростовская Область, Таганрог Город, Бабушкина Улица, дом 50</v>
          </cell>
          <cell r="F1357">
            <v>1.1399999999999999</v>
          </cell>
          <cell r="G1357" t="str">
            <v>Доп.</v>
          </cell>
          <cell r="H1357" t="str">
            <v>Таганрогская</v>
          </cell>
          <cell r="I1357">
            <v>7</v>
          </cell>
        </row>
        <row r="1358">
          <cell r="C1358" t="str">
            <v>RO1211</v>
          </cell>
          <cell r="D1358" t="str">
            <v>13:собст. железобетонный столб с заглубленным фундаментом</v>
          </cell>
          <cell r="E1358" t="str">
            <v>Ростовская Область, Таганрог Город, Морозова Улица, дом 6</v>
          </cell>
          <cell r="F1358">
            <v>1.1000000000000001</v>
          </cell>
          <cell r="G1358" t="str">
            <v>Доп.</v>
          </cell>
          <cell r="H1358" t="str">
            <v>Таганрогская</v>
          </cell>
          <cell r="I1358">
            <v>5</v>
          </cell>
        </row>
        <row r="1359">
          <cell r="C1359" t="str">
            <v>RO1213</v>
          </cell>
          <cell r="D1359" t="str">
            <v>31:трубостойки на чужой АМС на земле/крыше</v>
          </cell>
          <cell r="E1359" t="str">
            <v>Ростовская Область, Таганрог Город, Котовского Улица, дом 23</v>
          </cell>
          <cell r="F1359">
            <v>1.06</v>
          </cell>
          <cell r="G1359" t="str">
            <v>Доп.</v>
          </cell>
          <cell r="H1359" t="str">
            <v>Таганрогская</v>
          </cell>
          <cell r="I1359">
            <v>3</v>
          </cell>
        </row>
        <row r="1360">
          <cell r="C1360" t="str">
            <v>RO1233</v>
          </cell>
          <cell r="D1360" t="str">
            <v>52:индорсайт</v>
          </cell>
          <cell r="E1360" t="str">
            <v>Ростовская Область, Таганрог Город, Мира Площадь, дом 7</v>
          </cell>
          <cell r="F1360">
            <v>1.1000000000000001</v>
          </cell>
          <cell r="G1360" t="str">
            <v>Доп.</v>
          </cell>
          <cell r="H1360" t="str">
            <v>Таганрогская</v>
          </cell>
          <cell r="I1360">
            <v>5</v>
          </cell>
        </row>
        <row r="1361">
          <cell r="C1361" t="str">
            <v>RO1300</v>
          </cell>
          <cell r="D1361" t="str">
            <v>53:репитер</v>
          </cell>
          <cell r="E1361" t="str">
            <v>Ростовская Область, Таганрог Город, Ленина Улица, дом 159</v>
          </cell>
          <cell r="F1361">
            <v>1.1200000000000001</v>
          </cell>
          <cell r="G1361" t="str">
            <v>Доп.</v>
          </cell>
          <cell r="H1361" t="str">
            <v>Таганрогская</v>
          </cell>
          <cell r="I1361">
            <v>6</v>
          </cell>
        </row>
        <row r="1362">
          <cell r="C1362" t="str">
            <v>RO1313</v>
          </cell>
          <cell r="D1362" t="str">
            <v>31:трубостойки на чужой АМС на земле/крыше</v>
          </cell>
          <cell r="E1362" t="str">
            <v>Ростовская Область, Орловский Район, Луганский Хутор</v>
          </cell>
          <cell r="F1362">
            <v>2.2200000000000002</v>
          </cell>
          <cell r="G1362" t="str">
            <v>Доп.</v>
          </cell>
          <cell r="H1362" t="str">
            <v>Сальская</v>
          </cell>
          <cell r="I1362">
            <v>61</v>
          </cell>
        </row>
        <row r="1363">
          <cell r="C1363" t="str">
            <v>RO1324</v>
          </cell>
          <cell r="D1363" t="str">
            <v>69:тип 69 RANsharing</v>
          </cell>
          <cell r="E1363" t="str">
            <v>Ростовская Область, Матвеево-Курганский Район, Марьевка Село\пересечение пер. 40 лет Победы и ул. Парамонова</v>
          </cell>
          <cell r="F1363">
            <v>2.38</v>
          </cell>
          <cell r="G1363" t="str">
            <v>Доп.</v>
          </cell>
          <cell r="H1363" t="str">
            <v>Таганрогская</v>
          </cell>
          <cell r="I1363">
            <v>69</v>
          </cell>
        </row>
        <row r="1364">
          <cell r="C1364" t="str">
            <v>RO1329</v>
          </cell>
          <cell r="D1364" t="str">
            <v>31:трубостойки на чужой АМС на земле/крыше</v>
          </cell>
          <cell r="E1364" t="str">
            <v>Ростовская Область, Сальский Район, Сальск Город, Васильковая Улица\2 А</v>
          </cell>
          <cell r="F1364">
            <v>1.18</v>
          </cell>
          <cell r="G1364" t="str">
            <v>Доп.</v>
          </cell>
          <cell r="H1364" t="str">
            <v>Сальская</v>
          </cell>
          <cell r="I1364">
            <v>9</v>
          </cell>
        </row>
        <row r="1365">
          <cell r="C1365" t="str">
            <v>RO1381</v>
          </cell>
          <cell r="D1365" t="str">
            <v>13:собст. железобетонный столб с заглубленным фундаментом</v>
          </cell>
          <cell r="E1365" t="str">
            <v>Ростовская Область, Сальский Район, Сандата Село\ул. Красная, 2 а</v>
          </cell>
          <cell r="F1365">
            <v>1.94</v>
          </cell>
          <cell r="G1365" t="str">
            <v>Доп.</v>
          </cell>
          <cell r="H1365" t="str">
            <v>Сальская</v>
          </cell>
          <cell r="I1365">
            <v>47</v>
          </cell>
        </row>
        <row r="1366">
          <cell r="C1366" t="str">
            <v>RO1480</v>
          </cell>
          <cell r="D1366" t="str">
            <v>13:собст. железобетонный столб с заглубленным фундаментом</v>
          </cell>
          <cell r="E1366" t="str">
            <v>Ростовская Область, Неклиновский Район, Покровское Село, Вокзальный Переулок\74 А</v>
          </cell>
          <cell r="F1366">
            <v>1.5</v>
          </cell>
          <cell r="G1366" t="str">
            <v>Доп.</v>
          </cell>
          <cell r="H1366" t="str">
            <v>Таганрогская</v>
          </cell>
          <cell r="I1366">
            <v>25</v>
          </cell>
        </row>
        <row r="1367">
          <cell r="C1367" t="str">
            <v>RO1698</v>
          </cell>
          <cell r="D1367" t="str">
            <v>13:собст. железобетонный столб с заглубленным фундаментом</v>
          </cell>
          <cell r="E1367" t="str">
            <v>Ростовская Область, Сальский Район, Гигант Поселок</v>
          </cell>
          <cell r="F1367">
            <v>1.52</v>
          </cell>
          <cell r="G1367" t="str">
            <v>Доп.</v>
          </cell>
          <cell r="H1367" t="str">
            <v>Сальская</v>
          </cell>
          <cell r="I1367">
            <v>26</v>
          </cell>
        </row>
        <row r="1368">
          <cell r="C1368" t="str">
            <v>RO1731</v>
          </cell>
          <cell r="D1368" t="str">
            <v>69:тип 69 RANsharing</v>
          </cell>
          <cell r="E1368" t="str">
            <v>Ростовская Область, Матвеево-Курганский Район, Малоекатериновка Хутор\30 м южнее ул. Центральная 32</v>
          </cell>
          <cell r="F1368">
            <v>2.9</v>
          </cell>
          <cell r="G1368" t="str">
            <v>Доп.</v>
          </cell>
          <cell r="H1368" t="str">
            <v>Таганрогская</v>
          </cell>
          <cell r="I1368">
            <v>95</v>
          </cell>
        </row>
        <row r="1369">
          <cell r="C1369" t="str">
            <v>RO1734</v>
          </cell>
          <cell r="D1369" t="str">
            <v>69:тип 69 RANsharing</v>
          </cell>
          <cell r="E1369" t="str">
            <v>Ростовская Область, Орловский Район, Успенский Хутор, Молодежная Улица</v>
          </cell>
          <cell r="F1369">
            <v>2.64</v>
          </cell>
          <cell r="G1369" t="str">
            <v>Доп.</v>
          </cell>
          <cell r="H1369" t="str">
            <v>Сальская</v>
          </cell>
          <cell r="I1369">
            <v>82</v>
          </cell>
        </row>
        <row r="1370">
          <cell r="C1370" t="str">
            <v>RO1735</v>
          </cell>
          <cell r="D1370" t="str">
            <v>69:тип 69 RANsharing</v>
          </cell>
          <cell r="E1370" t="str">
            <v>Ростовская Область, Орловский Район, Веселый Хутор, Степная Улица\210 м южнее от мемориала Воинам освободителям</v>
          </cell>
          <cell r="F1370">
            <v>2.62</v>
          </cell>
          <cell r="G1370" t="str">
            <v>Доп.</v>
          </cell>
          <cell r="H1370" t="str">
            <v>Сальская</v>
          </cell>
          <cell r="I1370">
            <v>81</v>
          </cell>
        </row>
        <row r="1371">
          <cell r="C1371" t="str">
            <v>RO1736</v>
          </cell>
          <cell r="D1371" t="str">
            <v>69:тип 69 RANsharing</v>
          </cell>
          <cell r="E1371" t="str">
            <v>Ростовская Область, Пролетарский Район, Хирный Хутор</v>
          </cell>
          <cell r="F1371">
            <v>3.02</v>
          </cell>
          <cell r="G1371" t="str">
            <v>Доп.</v>
          </cell>
          <cell r="H1371" t="str">
            <v>Сальская</v>
          </cell>
          <cell r="I1371">
            <v>101</v>
          </cell>
        </row>
        <row r="1372">
          <cell r="C1372" t="str">
            <v>RO1745</v>
          </cell>
          <cell r="D1372" t="str">
            <v>43:железобетонный столб - проект УЦН</v>
          </cell>
          <cell r="E1372" t="str">
            <v>Ростовская Область, Целинский Район, Свободный Хутор\ул. Зеленая</v>
          </cell>
          <cell r="F1372">
            <v>2.06</v>
          </cell>
          <cell r="G1372" t="str">
            <v>Доп.</v>
          </cell>
          <cell r="H1372" t="str">
            <v>Сальская</v>
          </cell>
          <cell r="I1372">
            <v>53</v>
          </cell>
        </row>
        <row r="1373">
          <cell r="C1373" t="str">
            <v>RO1747</v>
          </cell>
          <cell r="D1373" t="str">
            <v>43:железобетонный столб - проект УЦН</v>
          </cell>
          <cell r="E1373" t="str">
            <v>Ростовская Область, Целинский Район, Самарский Хутор\ул. Садовая</v>
          </cell>
          <cell r="F1373">
            <v>2.36</v>
          </cell>
          <cell r="G1373" t="str">
            <v>Доп.</v>
          </cell>
          <cell r="H1373" t="str">
            <v>Сальская</v>
          </cell>
          <cell r="I1373">
            <v>68</v>
          </cell>
        </row>
        <row r="1374">
          <cell r="C1374" t="str">
            <v>RO1749</v>
          </cell>
          <cell r="D1374" t="str">
            <v>43:железобетонный столб - проект УЦН</v>
          </cell>
          <cell r="E1374" t="str">
            <v>Ростовская Область, Целинский Район, Ивановка Хутор, Интернациональная Улица, дом 22\примерно 220 м. на запад от строения</v>
          </cell>
          <cell r="F1374">
            <v>2.66</v>
          </cell>
          <cell r="G1374" t="str">
            <v>Доп.</v>
          </cell>
          <cell r="H1374" t="str">
            <v>Сальская</v>
          </cell>
          <cell r="I1374">
            <v>83</v>
          </cell>
        </row>
        <row r="1375">
          <cell r="C1375" t="str">
            <v>RO1754</v>
          </cell>
          <cell r="D1375" t="str">
            <v>43:железобетонный столб - проект УЦН</v>
          </cell>
          <cell r="E1375" t="str">
            <v>Ростовская Область, Сальский Район, Тальники Поселок, Ленина Улица\рядом с земельным участком с кадастровым номером 61:34:0100501:98</v>
          </cell>
          <cell r="F1375">
            <v>2.1</v>
          </cell>
          <cell r="G1375" t="str">
            <v>Доп.</v>
          </cell>
          <cell r="H1375" t="str">
            <v>Сальская</v>
          </cell>
          <cell r="I1375">
            <v>55</v>
          </cell>
        </row>
        <row r="1376">
          <cell r="C1376" t="str">
            <v>RO1758</v>
          </cell>
          <cell r="D1376" t="str">
            <v>43:железобетонный столб - проект УЦН</v>
          </cell>
          <cell r="E1376" t="str">
            <v>Ростовская Область, Сальский Район, Клены Поселок\пересечение ул. Пруцакова и ул. Солнечная</v>
          </cell>
          <cell r="F1376">
            <v>1.62</v>
          </cell>
          <cell r="G1376" t="str">
            <v>Доп.</v>
          </cell>
          <cell r="H1376" t="str">
            <v>Сальская</v>
          </cell>
          <cell r="I1376">
            <v>31</v>
          </cell>
        </row>
        <row r="1377">
          <cell r="C1377" t="str">
            <v>RO1765</v>
          </cell>
          <cell r="D1377" t="str">
            <v>69:тип 69 RANsharing</v>
          </cell>
          <cell r="E1377" t="str">
            <v>Ростовская Область, Неклиновский Район, Родионовка Хутор, Ленина Улица, дом 40а\севернее Дома Культуры 50 м</v>
          </cell>
          <cell r="F1377">
            <v>1.64</v>
          </cell>
          <cell r="G1377" t="str">
            <v>Доп.</v>
          </cell>
          <cell r="H1377" t="str">
            <v>Таганрогская</v>
          </cell>
          <cell r="I1377">
            <v>32</v>
          </cell>
        </row>
        <row r="1378">
          <cell r="C1378" t="str">
            <v>RO1766</v>
          </cell>
          <cell r="D1378" t="str">
            <v>69:тип 69 RANsharing</v>
          </cell>
          <cell r="E1378" t="str">
            <v>Ростовская Область, Неклиновский Район, Таврический Хутор, Мира Улица\30 м на север от дома №36А</v>
          </cell>
          <cell r="F1378">
            <v>1.9</v>
          </cell>
          <cell r="G1378" t="str">
            <v>Доп.</v>
          </cell>
          <cell r="H1378" t="str">
            <v>Таганрогская</v>
          </cell>
          <cell r="I1378">
            <v>45</v>
          </cell>
        </row>
        <row r="1379">
          <cell r="C1379" t="str">
            <v>RO1795</v>
          </cell>
          <cell r="D1379" t="str">
            <v>69:тип 69 RANsharing</v>
          </cell>
          <cell r="E1379" t="str">
            <v>Ростовская Область, Пролетарский Район, Татнинов Хутор\пер. Красный 11</v>
          </cell>
          <cell r="F1379">
            <v>2.56</v>
          </cell>
          <cell r="G1379" t="str">
            <v>Доп.</v>
          </cell>
          <cell r="H1379" t="str">
            <v>Сальская</v>
          </cell>
          <cell r="I1379">
            <v>78</v>
          </cell>
        </row>
        <row r="1380">
          <cell r="C1380" t="str">
            <v>RO1796</v>
          </cell>
          <cell r="D1380" t="str">
            <v>69:тип 69 RANsharing</v>
          </cell>
          <cell r="E1380" t="str">
            <v>Ростовская Область, Пролетарский Район, Привольный Хутор\пересечение пер. Вольный и ул. Цветочная</v>
          </cell>
          <cell r="F1380">
            <v>1.8</v>
          </cell>
          <cell r="G1380" t="str">
            <v>Доп.</v>
          </cell>
          <cell r="H1380" t="str">
            <v>Сальская</v>
          </cell>
          <cell r="I1380">
            <v>40</v>
          </cell>
        </row>
        <row r="1381">
          <cell r="C1381" t="str">
            <v>RO1797</v>
          </cell>
          <cell r="D1381" t="str">
            <v>69:тип 69 RANsharing</v>
          </cell>
          <cell r="E1381" t="str">
            <v>Ростовская Область, Пролетарский Район, Наумовский Хутор</v>
          </cell>
          <cell r="F1381">
            <v>2.2999999999999998</v>
          </cell>
          <cell r="G1381" t="str">
            <v>Доп.</v>
          </cell>
          <cell r="H1381" t="str">
            <v>Сальская</v>
          </cell>
          <cell r="I1381">
            <v>65</v>
          </cell>
        </row>
        <row r="1382">
          <cell r="C1382" t="str">
            <v>RO1817</v>
          </cell>
          <cell r="D1382" t="str">
            <v>69:тип 69 RANsharing</v>
          </cell>
          <cell r="E1382" t="str">
            <v>Ростовская Область, Сальский Район, Логвиновский Поселок\60 м северо восточнее от ул. Гагарина 39А</v>
          </cell>
          <cell r="F1382">
            <v>1.64</v>
          </cell>
          <cell r="G1382" t="str">
            <v>Доп.</v>
          </cell>
          <cell r="H1382" t="str">
            <v>Сальская</v>
          </cell>
          <cell r="I1382">
            <v>32</v>
          </cell>
        </row>
        <row r="1383">
          <cell r="C1383" t="str">
            <v>RO1818</v>
          </cell>
          <cell r="D1383" t="str">
            <v>69:тип 69 RANsharing</v>
          </cell>
          <cell r="E1383" t="str">
            <v>Ростовская Область, Сальский Район, Роща Поселок, Октябрьская Улица, дом 17\70 м на север</v>
          </cell>
          <cell r="F1383">
            <v>1.72</v>
          </cell>
          <cell r="G1383" t="str">
            <v>Доп.</v>
          </cell>
          <cell r="H1383" t="str">
            <v>Сальская</v>
          </cell>
          <cell r="I1383">
            <v>36</v>
          </cell>
        </row>
        <row r="1384">
          <cell r="C1384" t="str">
            <v>RO1819</v>
          </cell>
          <cell r="D1384" t="str">
            <v>69:тип 69 RANsharing</v>
          </cell>
          <cell r="E1384" t="str">
            <v>Ростовская Область, Сальский Район, Прогресс Поселок, Свободы Улица, дом 7</v>
          </cell>
          <cell r="F1384">
            <v>1.48</v>
          </cell>
          <cell r="G1384" t="str">
            <v>Доп.</v>
          </cell>
          <cell r="H1384" t="str">
            <v>Сальская</v>
          </cell>
          <cell r="I1384">
            <v>24</v>
          </cell>
        </row>
        <row r="1385">
          <cell r="C1385" t="str">
            <v>RO1836</v>
          </cell>
          <cell r="D1385" t="str">
            <v>69:тип 69 RANsharing</v>
          </cell>
          <cell r="E1385" t="str">
            <v>Ростовская Область, Пролетарский Район, Красный Скотовод Хутор</v>
          </cell>
          <cell r="F1385">
            <v>2.02</v>
          </cell>
          <cell r="G1385" t="str">
            <v>Доп.</v>
          </cell>
          <cell r="H1385" t="str">
            <v>Сальская</v>
          </cell>
          <cell r="I1385">
            <v>51</v>
          </cell>
        </row>
        <row r="1386">
          <cell r="C1386" t="str">
            <v>RO1842</v>
          </cell>
          <cell r="D1386" t="str">
            <v>69:тип 69 RANsharing</v>
          </cell>
          <cell r="E1386" t="str">
            <v>Ростовская Область, Орловский Район, Кундрюченский Хутор\45 м севернее пересечения ул. Волгоградская и пер.  Почтовый</v>
          </cell>
          <cell r="F1386">
            <v>2.4</v>
          </cell>
          <cell r="G1386" t="str">
            <v>Доп.</v>
          </cell>
          <cell r="H1386" t="str">
            <v>Сальская</v>
          </cell>
          <cell r="I1386">
            <v>70</v>
          </cell>
        </row>
        <row r="1387">
          <cell r="C1387" t="str">
            <v>RO1848</v>
          </cell>
          <cell r="D1387" t="str">
            <v>69:тип 69 RANsharing</v>
          </cell>
          <cell r="E1387" t="str">
            <v>Ростовская Область, Матвеево-Курганский Район, Крынка Поселок, Ростовская Улица</v>
          </cell>
          <cell r="F1387">
            <v>2.12</v>
          </cell>
          <cell r="G1387" t="str">
            <v>Доп.</v>
          </cell>
          <cell r="H1387" t="str">
            <v>Таганрогская</v>
          </cell>
          <cell r="I1387">
            <v>56</v>
          </cell>
        </row>
        <row r="1388">
          <cell r="C1388" t="str">
            <v>RO1902</v>
          </cell>
          <cell r="D1388" t="str">
            <v>53:репитер</v>
          </cell>
          <cell r="E1388" t="str">
            <v>Ростовская Область, Таганрог Город, Спартаковский Переулок, дом 3</v>
          </cell>
          <cell r="F1388">
            <v>1.02</v>
          </cell>
          <cell r="G1388" t="str">
            <v>Доп.</v>
          </cell>
          <cell r="H1388" t="str">
            <v>Таганрогская</v>
          </cell>
          <cell r="I1388">
            <v>1</v>
          </cell>
        </row>
        <row r="1389">
          <cell r="C1389" t="str">
            <v>RO1903</v>
          </cell>
          <cell r="D1389" t="str">
            <v>53:репитер</v>
          </cell>
          <cell r="E1389" t="str">
            <v>Ростовская Область, Сальский Район, Сальск Город, Пушкина Улица\13</v>
          </cell>
          <cell r="F1389">
            <v>1.22</v>
          </cell>
          <cell r="G1389" t="str">
            <v>Доп.</v>
          </cell>
          <cell r="H1389" t="str">
            <v>Сальская</v>
          </cell>
          <cell r="I1389">
            <v>11</v>
          </cell>
        </row>
        <row r="1390">
          <cell r="C1390" t="str">
            <v>RO1906</v>
          </cell>
          <cell r="D1390" t="str">
            <v>13:собст. железобетонный столб с заглубленным фундаментом</v>
          </cell>
          <cell r="E1390" t="str">
            <v>Ростовская Область, Целинский Район, Целина Поселок, 4-я линия Улица, дом 2\4-я линия, 2-б</v>
          </cell>
          <cell r="F1390">
            <v>1.94</v>
          </cell>
          <cell r="G1390" t="str">
            <v>Доп.</v>
          </cell>
          <cell r="H1390" t="str">
            <v>Сальская</v>
          </cell>
          <cell r="I1390">
            <v>47</v>
          </cell>
        </row>
        <row r="1391">
          <cell r="C1391" t="str">
            <v>RO1931</v>
          </cell>
          <cell r="D1391" t="str">
            <v>31:трубостойки на чужой АМС на земле/крыше</v>
          </cell>
          <cell r="E1391" t="str">
            <v>Ростовская Область, Матвеево-Курганский Район\2 км. Западнее с. Анастасиевка, АМС ФГУП РТРС</v>
          </cell>
          <cell r="F1391">
            <v>2.76</v>
          </cell>
          <cell r="G1391" t="str">
            <v>Доп.</v>
          </cell>
          <cell r="H1391" t="str">
            <v>Таганрогская</v>
          </cell>
          <cell r="I1391">
            <v>88</v>
          </cell>
        </row>
        <row r="1392">
          <cell r="C1392" t="str">
            <v>RO2000</v>
          </cell>
          <cell r="D1392" t="str">
            <v>13:собст. железобетонный столб с заглубленным фундаментом</v>
          </cell>
          <cell r="E1392" t="str">
            <v>Ростовская Область, Егорлыкский Район, Егорлыкская Станица, Буденного Улица\дом 4</v>
          </cell>
          <cell r="F1392">
            <v>2.6</v>
          </cell>
          <cell r="G1392" t="str">
            <v>Доп.</v>
          </cell>
          <cell r="H1392" t="str">
            <v>Сальская</v>
          </cell>
          <cell r="I1392">
            <v>80</v>
          </cell>
        </row>
        <row r="1393">
          <cell r="C1393" t="str">
            <v>RO2001</v>
          </cell>
          <cell r="D1393" t="str">
            <v>13:собст. железобетонный столб с заглубленным фундаментом</v>
          </cell>
          <cell r="E1393" t="str">
            <v>Ростовская Область, Сальский Район, Сальск Город, Промышленная Улица, дом 9</v>
          </cell>
          <cell r="F1393">
            <v>1.22</v>
          </cell>
          <cell r="G1393" t="str">
            <v>Доп.</v>
          </cell>
          <cell r="H1393" t="str">
            <v>Сальская</v>
          </cell>
          <cell r="I1393">
            <v>11</v>
          </cell>
        </row>
        <row r="1394">
          <cell r="C1394" t="str">
            <v>RO2002</v>
          </cell>
          <cell r="D1394" t="str">
            <v>31:трубостойки на чужой АМС на земле/крыше</v>
          </cell>
          <cell r="E1394" t="str">
            <v>Ростовская Область, Орловский Район, Ребричанский Хутор, Первомайский Переулок, дом 2\а</v>
          </cell>
          <cell r="F1394">
            <v>2.1800000000000002</v>
          </cell>
          <cell r="G1394" t="str">
            <v>Доп.</v>
          </cell>
          <cell r="H1394" t="str">
            <v>Сальская</v>
          </cell>
          <cell r="I1394">
            <v>59</v>
          </cell>
        </row>
        <row r="1395">
          <cell r="C1395" t="str">
            <v>RO2009</v>
          </cell>
          <cell r="D1395" t="str">
            <v>33:трубостойки, АМС инфраструктурного оператора</v>
          </cell>
          <cell r="E1395" t="str">
            <v>Ростовская Область, Егорлыкский Район, Объединенный Хутор</v>
          </cell>
          <cell r="F1395">
            <v>3.04</v>
          </cell>
          <cell r="G1395" t="str">
            <v>Доп.</v>
          </cell>
          <cell r="H1395" t="str">
            <v>Сальская</v>
          </cell>
          <cell r="I1395">
            <v>102</v>
          </cell>
        </row>
        <row r="1396">
          <cell r="C1396" t="str">
            <v>RO2021</v>
          </cell>
          <cell r="D1396" t="str">
            <v>31:трубостойки на чужой АМС на земле/крыше</v>
          </cell>
          <cell r="E1396" t="str">
            <v>Ростовская Область, Егорлыкский Район, Кавалерский Хутор, Ленина Улица, дом 27</v>
          </cell>
          <cell r="F1396">
            <v>3.34</v>
          </cell>
          <cell r="G1396" t="str">
            <v>Доп.</v>
          </cell>
          <cell r="H1396" t="str">
            <v>Сальская</v>
          </cell>
          <cell r="I1396">
            <v>117</v>
          </cell>
        </row>
        <row r="1397">
          <cell r="C1397" t="str">
            <v>RO2022</v>
          </cell>
          <cell r="D1397" t="str">
            <v>33:трубостойки, АМС инфраструктурного оператора</v>
          </cell>
          <cell r="E1397" t="str">
            <v>Ростовская Область, Егорлыкский Район, Кугейский Хутор</v>
          </cell>
          <cell r="F1397">
            <v>3.02</v>
          </cell>
          <cell r="G1397" t="str">
            <v>Доп.</v>
          </cell>
          <cell r="H1397" t="str">
            <v>Сальская</v>
          </cell>
          <cell r="I1397">
            <v>101</v>
          </cell>
        </row>
        <row r="1398">
          <cell r="C1398" t="str">
            <v>RO2023</v>
          </cell>
          <cell r="D1398" t="str">
            <v>31:трубостойки на чужой АМС на земле/крыше</v>
          </cell>
          <cell r="E1398" t="str">
            <v>Ростовская Область, Песчанокопский Район, Богородицкое Село, Зеленый Клин Улица\74</v>
          </cell>
          <cell r="F1398">
            <v>2.14</v>
          </cell>
          <cell r="G1398" t="str">
            <v>Доп.</v>
          </cell>
          <cell r="H1398" t="str">
            <v>Сальская</v>
          </cell>
          <cell r="I1398">
            <v>57</v>
          </cell>
        </row>
        <row r="1399">
          <cell r="C1399" t="str">
            <v>RO2025</v>
          </cell>
          <cell r="D1399" t="str">
            <v>15:собст. башня с заглубленным фундаментом до 61м</v>
          </cell>
          <cell r="E1399" t="str">
            <v>Ростовская Область, Сальский Район, Крученая Балка Село</v>
          </cell>
          <cell r="F1399">
            <v>1.56</v>
          </cell>
          <cell r="G1399" t="str">
            <v>Доп.</v>
          </cell>
          <cell r="H1399" t="str">
            <v>Сальская</v>
          </cell>
          <cell r="I1399">
            <v>28</v>
          </cell>
        </row>
        <row r="1400">
          <cell r="C1400" t="str">
            <v>RO2026</v>
          </cell>
          <cell r="D1400" t="str">
            <v>13:собст. железобетонный столб с заглубленным фундаментом</v>
          </cell>
          <cell r="E1400" t="str">
            <v>Ростовская Область, Таганрог Город, Чехова Улица, дом 334</v>
          </cell>
          <cell r="F1400">
            <v>1.1599999999999999</v>
          </cell>
          <cell r="G1400" t="str">
            <v>Доп.</v>
          </cell>
          <cell r="H1400" t="str">
            <v>Таганрогская</v>
          </cell>
          <cell r="I1400">
            <v>8</v>
          </cell>
        </row>
        <row r="1401">
          <cell r="C1401" t="str">
            <v>RO2027</v>
          </cell>
          <cell r="D1401" t="str">
            <v>13:собст. железобетонный столб с заглубленным фундаментом</v>
          </cell>
          <cell r="E1401" t="str">
            <v>Ростовская Область, Таганрог Город, Москатова Улица, дом 31</v>
          </cell>
          <cell r="F1401">
            <v>1.06</v>
          </cell>
          <cell r="G1401" t="str">
            <v>Доп.</v>
          </cell>
          <cell r="H1401" t="str">
            <v>Таганрогская</v>
          </cell>
          <cell r="I1401">
            <v>3</v>
          </cell>
        </row>
        <row r="1402">
          <cell r="C1402" t="str">
            <v>RO2028</v>
          </cell>
          <cell r="D1402" t="str">
            <v>21:собст. АМС до 10 м на крыше</v>
          </cell>
          <cell r="E1402" t="str">
            <v>Ростовская Область, Таганрог Город, Николаевское Шоссе Улица, дом 30</v>
          </cell>
          <cell r="F1402">
            <v>1.1599999999999999</v>
          </cell>
          <cell r="G1402" t="str">
            <v>Доп.</v>
          </cell>
          <cell r="H1402" t="str">
            <v>Таганрогская</v>
          </cell>
          <cell r="I1402">
            <v>8</v>
          </cell>
        </row>
        <row r="1403">
          <cell r="C1403" t="str">
            <v>RO2029</v>
          </cell>
          <cell r="D1403" t="str">
            <v>31:трубостойки на чужой АМС на земле/крыше</v>
          </cell>
          <cell r="E1403" t="str">
            <v>Ростовская Область, Таганрог Город, Социалистическая Улица, дом 161</v>
          </cell>
          <cell r="F1403">
            <v>1.08</v>
          </cell>
          <cell r="G1403" t="str">
            <v>Доп.</v>
          </cell>
          <cell r="H1403" t="str">
            <v>Таганрогская</v>
          </cell>
          <cell r="I1403">
            <v>4</v>
          </cell>
        </row>
        <row r="1404">
          <cell r="C1404" t="str">
            <v>RO2030</v>
          </cell>
          <cell r="D1404" t="str">
            <v>31:трубостойки на чужой АМС на земле/крыше</v>
          </cell>
          <cell r="E1404" t="str">
            <v>Ростовская Область, Неклиновский Район, Максимов Хутор</v>
          </cell>
          <cell r="F1404">
            <v>2.14</v>
          </cell>
          <cell r="G1404" t="str">
            <v>Доп.</v>
          </cell>
          <cell r="H1404" t="str">
            <v>Таганрогская</v>
          </cell>
          <cell r="I1404">
            <v>57</v>
          </cell>
        </row>
        <row r="1405">
          <cell r="C1405" t="str">
            <v>RO2032</v>
          </cell>
          <cell r="D1405" t="str">
            <v>32:трубостойки/АМС на: трубе, элеваторе, водонап.башне</v>
          </cell>
          <cell r="E1405" t="str">
            <v>Ростовская Область, Таганрог Город, Кузнечная Улица\167/8</v>
          </cell>
          <cell r="F1405">
            <v>1.1200000000000001</v>
          </cell>
          <cell r="G1405" t="str">
            <v>Доп.</v>
          </cell>
          <cell r="H1405" t="str">
            <v>Таганрогская</v>
          </cell>
          <cell r="I1405">
            <v>6</v>
          </cell>
        </row>
        <row r="1406">
          <cell r="C1406" t="str">
            <v>RO2033</v>
          </cell>
          <cell r="D1406" t="str">
            <v>13:собст. железобетонный столб с заглубленным фундаментом</v>
          </cell>
          <cell r="E1406" t="str">
            <v>Ростовская Область, Неклиновский Район, Синявское Село, Ленина Улица, дом 10\б</v>
          </cell>
          <cell r="F1406">
            <v>1.72</v>
          </cell>
          <cell r="G1406" t="str">
            <v>Доп.</v>
          </cell>
          <cell r="H1406" t="str">
            <v>Таганрогская</v>
          </cell>
          <cell r="I1406">
            <v>36</v>
          </cell>
        </row>
        <row r="1407">
          <cell r="C1407" t="str">
            <v>RO2035</v>
          </cell>
          <cell r="D1407" t="str">
            <v>14:собст. пригруз(мачта, башня, столб) с земли</v>
          </cell>
          <cell r="E1407" t="str">
            <v>Ростовская Область, Неклиновский Район, Морской Чулек Хутор</v>
          </cell>
          <cell r="F1407">
            <v>1.58</v>
          </cell>
          <cell r="G1407" t="str">
            <v>Доп.</v>
          </cell>
          <cell r="H1407" t="str">
            <v>Таганрогская</v>
          </cell>
          <cell r="I1407">
            <v>29</v>
          </cell>
        </row>
        <row r="1408">
          <cell r="C1408" t="str">
            <v>RO2036</v>
          </cell>
          <cell r="D1408" t="str">
            <v>32:трубостойки/АМС на: трубе, элеваторе, водонап.башне</v>
          </cell>
          <cell r="E1408" t="str">
            <v>Ростовская Область\Таганрог Город, Комарова Улица, д.7</v>
          </cell>
          <cell r="F1408">
            <v>1.1200000000000001</v>
          </cell>
          <cell r="G1408" t="str">
            <v>Доп.</v>
          </cell>
          <cell r="H1408" t="str">
            <v>Таганрогская</v>
          </cell>
          <cell r="I1408">
            <v>6</v>
          </cell>
        </row>
        <row r="1409">
          <cell r="C1409" t="str">
            <v>RO2038</v>
          </cell>
          <cell r="D1409" t="str">
            <v>31:трубостойки на чужой АМС на земле/крыше</v>
          </cell>
          <cell r="E1409" t="str">
            <v>Ростовская Область, Неклиновский Район, Николаево-Козловский Хутор</v>
          </cell>
          <cell r="F1409">
            <v>2.12</v>
          </cell>
          <cell r="G1409" t="str">
            <v>Доп.</v>
          </cell>
          <cell r="H1409" t="str">
            <v>Таганрогская</v>
          </cell>
          <cell r="I1409">
            <v>56</v>
          </cell>
        </row>
        <row r="1410">
          <cell r="C1410" t="str">
            <v>RO2039</v>
          </cell>
          <cell r="D1410" t="str">
            <v>13:собст. железобетонный столб с заглубленным фундаментом</v>
          </cell>
          <cell r="E1410" t="str">
            <v>Ростовская Область, Неклиновский Район, Русский Колодец Хутор, Мирная Улица, дом 1\ж</v>
          </cell>
          <cell r="F1410">
            <v>1.46</v>
          </cell>
          <cell r="G1410" t="str">
            <v>Доп.</v>
          </cell>
          <cell r="H1410" t="str">
            <v>Таганрогская</v>
          </cell>
          <cell r="I1410">
            <v>23</v>
          </cell>
        </row>
        <row r="1411">
          <cell r="C1411" t="str">
            <v>RO2040</v>
          </cell>
          <cell r="D1411" t="str">
            <v>13:собст. железобетонный столб с заглубленным фундаментом</v>
          </cell>
          <cell r="E1411" t="str">
            <v>Ростовская Область, Таганрог Город, Нестерова Улица, дом 7</v>
          </cell>
          <cell r="F1411">
            <v>1.18</v>
          </cell>
          <cell r="G1411" t="str">
            <v>Доп.</v>
          </cell>
          <cell r="H1411" t="str">
            <v>Таганрогская</v>
          </cell>
          <cell r="I1411">
            <v>9</v>
          </cell>
        </row>
        <row r="1412">
          <cell r="C1412" t="str">
            <v>RO2041</v>
          </cell>
          <cell r="D1412" t="str">
            <v>14:собст. пригруз(мачта, башня, столб) с земли</v>
          </cell>
          <cell r="E1412" t="str">
            <v>Ростовская Область, Неклиновский Район, Советка Слобода, Новикова Улица, дом 8д</v>
          </cell>
          <cell r="F1412">
            <v>2.08</v>
          </cell>
          <cell r="G1412" t="str">
            <v>Доп.</v>
          </cell>
          <cell r="H1412" t="str">
            <v>Таганрогская</v>
          </cell>
          <cell r="I1412">
            <v>54</v>
          </cell>
        </row>
        <row r="1413">
          <cell r="C1413" t="str">
            <v>RO2043</v>
          </cell>
          <cell r="D1413" t="str">
            <v>15:собст. башня с заглубленным фундаментом до 61м</v>
          </cell>
          <cell r="E1413" t="str">
            <v>Ростовская Область, Неклиновский Район, Лакедемоновка Село, Социалистическая Улица, дом 32\а</v>
          </cell>
          <cell r="F1413">
            <v>1.68</v>
          </cell>
          <cell r="G1413" t="str">
            <v>Доп.</v>
          </cell>
          <cell r="H1413" t="str">
            <v>Таганрогская</v>
          </cell>
          <cell r="I1413">
            <v>34</v>
          </cell>
        </row>
        <row r="1414">
          <cell r="C1414" t="str">
            <v>RO2046</v>
          </cell>
          <cell r="D1414" t="str">
            <v>13:собст. железобетонный столб с заглубленным фундаментом</v>
          </cell>
          <cell r="E1414" t="str">
            <v>Ростовская Область, Неклиновский Район, Марьевка Село</v>
          </cell>
          <cell r="F1414">
            <v>1.64</v>
          </cell>
          <cell r="G1414" t="str">
            <v>Доп.</v>
          </cell>
          <cell r="H1414" t="str">
            <v>Таганрогская</v>
          </cell>
          <cell r="I1414">
            <v>32</v>
          </cell>
        </row>
        <row r="1415">
          <cell r="C1415" t="str">
            <v>RO2049</v>
          </cell>
          <cell r="D1415" t="str">
            <v>31:трубостойки на чужой АМС на земле/крыше</v>
          </cell>
          <cell r="E1415" t="str">
            <v>Ростовская Область, Куйбышевский Район, Кринично-Лугский Хутор</v>
          </cell>
          <cell r="F1415">
            <v>2.76</v>
          </cell>
          <cell r="G1415" t="str">
            <v>Доп.</v>
          </cell>
          <cell r="H1415" t="str">
            <v>Таганрогская</v>
          </cell>
          <cell r="I1415">
            <v>88</v>
          </cell>
        </row>
        <row r="1416">
          <cell r="C1416" t="str">
            <v>RO2050</v>
          </cell>
          <cell r="D1416" t="str">
            <v>31:трубостойки на чужой АМС на земле/крыше</v>
          </cell>
          <cell r="E1416" t="str">
            <v>Ростовская Область, Куйбышевский Район, Крюково Хутор\башня РТПЦ</v>
          </cell>
          <cell r="F1416">
            <v>1.8</v>
          </cell>
          <cell r="G1416" t="str">
            <v>Доп.</v>
          </cell>
          <cell r="H1416" t="str">
            <v>Таганрогская</v>
          </cell>
          <cell r="I1416">
            <v>40</v>
          </cell>
        </row>
        <row r="1417">
          <cell r="C1417" t="str">
            <v>RO2107</v>
          </cell>
          <cell r="D1417" t="str">
            <v>13:собст. железобетонный столб с заглубленным фундаментом</v>
          </cell>
          <cell r="E1417" t="str">
            <v>Ростовская Область, Таганрог Город, Зои Космодемьянской Улица, дом 22-А</v>
          </cell>
          <cell r="F1417">
            <v>1.1200000000000001</v>
          </cell>
          <cell r="G1417" t="str">
            <v>Доп.</v>
          </cell>
          <cell r="H1417" t="str">
            <v>Таганрогская</v>
          </cell>
          <cell r="I1417">
            <v>6</v>
          </cell>
        </row>
        <row r="1418">
          <cell r="C1418" t="str">
            <v>RO2108</v>
          </cell>
          <cell r="D1418" t="str">
            <v>14:собст. пригруз(мачта, башня, столб) с земли</v>
          </cell>
          <cell r="E1418" t="str">
            <v>Ростовская Область, Егорлыкский Район, Егорлыкская Станица, Луначарского Улица, дом 69</v>
          </cell>
          <cell r="F1418">
            <v>2.6</v>
          </cell>
          <cell r="G1418" t="str">
            <v>Доп.</v>
          </cell>
          <cell r="H1418" t="str">
            <v>Сальская</v>
          </cell>
          <cell r="I1418">
            <v>80</v>
          </cell>
        </row>
        <row r="1419">
          <cell r="C1419" t="str">
            <v>RO2117</v>
          </cell>
          <cell r="D1419" t="str">
            <v>14:собст. пригруз(мачта, башня, столб) с земли</v>
          </cell>
          <cell r="E1419" t="str">
            <v>Ростовская Область, Куйбышевский Район, Куйбышево Село, Куйбышевская Улица\34</v>
          </cell>
          <cell r="F1419">
            <v>2.7</v>
          </cell>
          <cell r="G1419" t="str">
            <v>Доп.</v>
          </cell>
          <cell r="H1419" t="str">
            <v>Таганрогская</v>
          </cell>
          <cell r="I1419">
            <v>85</v>
          </cell>
        </row>
        <row r="1420">
          <cell r="C1420" t="str">
            <v>RO2118</v>
          </cell>
          <cell r="D1420" t="str">
            <v>14:собст. пригруз(мачта, башня, столб) с земли</v>
          </cell>
          <cell r="E1420" t="str">
            <v>Ростовская Область, Матвеево-Курганский Район, Матвеев Курган Поселок, Комсомольская Улица\108</v>
          </cell>
          <cell r="F1420">
            <v>2</v>
          </cell>
          <cell r="G1420" t="str">
            <v>Доп.</v>
          </cell>
          <cell r="H1420" t="str">
            <v>Таганрогская</v>
          </cell>
          <cell r="I1420">
            <v>50</v>
          </cell>
        </row>
        <row r="1421">
          <cell r="C1421" t="str">
            <v>RO2122</v>
          </cell>
          <cell r="D1421" t="str">
            <v>14:собст. пригруз(мачта, башня, столб) с земли</v>
          </cell>
          <cell r="E1421" t="str">
            <v>Ростовская Область, Орловский Район, Орловский Поселок, Чапаевский Переулок\85</v>
          </cell>
          <cell r="F1421">
            <v>2.1800000000000002</v>
          </cell>
          <cell r="G1421" t="str">
            <v>Доп.</v>
          </cell>
          <cell r="H1421" t="str">
            <v>Сальская</v>
          </cell>
          <cell r="I1421">
            <v>59</v>
          </cell>
        </row>
        <row r="1422">
          <cell r="C1422" t="str">
            <v>RO2123</v>
          </cell>
          <cell r="D1422" t="str">
            <v>14:собст. пригруз(мачта, башня, столб) с земли</v>
          </cell>
          <cell r="E1422" t="str">
            <v>Ростовская Область, Песчанокопский Район, Песчанокопское Село, Энгельса Улица, дом 212\а</v>
          </cell>
          <cell r="F1422">
            <v>2.2999999999999998</v>
          </cell>
          <cell r="G1422" t="str">
            <v>Доп.</v>
          </cell>
          <cell r="H1422" t="str">
            <v>Сальская</v>
          </cell>
          <cell r="I1422">
            <v>65</v>
          </cell>
        </row>
        <row r="1423">
          <cell r="C1423" t="str">
            <v>RO2125</v>
          </cell>
          <cell r="D1423" t="str">
            <v>13:собст. железобетонный столб с заглубленным фундаментом</v>
          </cell>
          <cell r="E1423" t="str">
            <v>Ростовская Область, Сальский Район, Сальск Город, Береговая Улица, дом 2\е</v>
          </cell>
          <cell r="F1423">
            <v>1.18</v>
          </cell>
          <cell r="G1423" t="str">
            <v>Доп.</v>
          </cell>
          <cell r="H1423" t="str">
            <v>Сальская</v>
          </cell>
          <cell r="I1423">
            <v>9</v>
          </cell>
        </row>
        <row r="1424">
          <cell r="C1424" t="str">
            <v>RO2126</v>
          </cell>
          <cell r="D1424" t="str">
            <v>13:собст. железобетонный столб с заглубленным фундаментом</v>
          </cell>
          <cell r="E1424" t="str">
            <v>Ростовская Область, Сальский Район, Сальск Город, Школьная площадь Улица, дом 9-а</v>
          </cell>
          <cell r="F1424">
            <v>1.24</v>
          </cell>
          <cell r="G1424" t="str">
            <v>Доп.</v>
          </cell>
          <cell r="H1424" t="str">
            <v>Сальская</v>
          </cell>
          <cell r="I1424">
            <v>12</v>
          </cell>
        </row>
        <row r="1425">
          <cell r="C1425" t="str">
            <v>RO2131</v>
          </cell>
          <cell r="D1425" t="str">
            <v>13:собст. железобетонный столб с заглубленным фундаментом</v>
          </cell>
          <cell r="E1425" t="str">
            <v>Ростовская Область, Целинский Район, Целина Поселок, 1-я линия Улица\134</v>
          </cell>
          <cell r="F1425">
            <v>1.96</v>
          </cell>
          <cell r="G1425" t="str">
            <v>Доп.</v>
          </cell>
          <cell r="H1425" t="str">
            <v>Сальская</v>
          </cell>
          <cell r="I1425">
            <v>48</v>
          </cell>
        </row>
        <row r="1426">
          <cell r="C1426" t="str">
            <v>RO2136</v>
          </cell>
          <cell r="D1426" t="str">
            <v>13:собст. железобетонный столб с заглубленным фундаментом</v>
          </cell>
          <cell r="E1426" t="str">
            <v>Ростовская Область, Неклиновский Район, Андреево-Мелентьево Село, Первомайский Переулок, дом 7\а</v>
          </cell>
          <cell r="F1426">
            <v>1.34</v>
          </cell>
          <cell r="G1426" t="str">
            <v>Доп.</v>
          </cell>
          <cell r="H1426" t="str">
            <v>Таганрогская</v>
          </cell>
          <cell r="I1426">
            <v>17</v>
          </cell>
        </row>
        <row r="1427">
          <cell r="C1427" t="str">
            <v>RO2186</v>
          </cell>
          <cell r="D1427" t="str">
            <v>13:собст. железобетонный столб с заглубленным фундаментом</v>
          </cell>
          <cell r="E1427" t="str">
            <v>Ростовская Область, Таганрог Город, Смирновский Переулок, дом 52</v>
          </cell>
          <cell r="F1427">
            <v>1.1000000000000001</v>
          </cell>
          <cell r="G1427" t="str">
            <v>Доп.</v>
          </cell>
          <cell r="H1427" t="str">
            <v>Таганрогская</v>
          </cell>
          <cell r="I1427">
            <v>5</v>
          </cell>
        </row>
        <row r="1428">
          <cell r="C1428" t="str">
            <v>RO2187</v>
          </cell>
          <cell r="D1428" t="str">
            <v>33:трубостойки, АМС инфраструктурного оператора</v>
          </cell>
          <cell r="E1428" t="str">
            <v>Ростовская Область, Таганрог Город, Адмирала Шестакова Улица, дом 25\5-й переулок</v>
          </cell>
          <cell r="F1428">
            <v>1.22</v>
          </cell>
          <cell r="G1428" t="str">
            <v>Доп.</v>
          </cell>
          <cell r="H1428" t="str">
            <v>Таганрогская</v>
          </cell>
          <cell r="I1428">
            <v>11</v>
          </cell>
        </row>
        <row r="1429">
          <cell r="C1429" t="str">
            <v>RO2188</v>
          </cell>
          <cell r="D1429" t="str">
            <v>31:трубостойки на чужой АМС на земле/крыше</v>
          </cell>
          <cell r="E1429" t="str">
            <v>Ростовская Область, Таганрог Город, Ленина Улица, дом 212к4</v>
          </cell>
          <cell r="F1429">
            <v>1.06</v>
          </cell>
          <cell r="G1429" t="str">
            <v>Доп.</v>
          </cell>
          <cell r="H1429" t="str">
            <v>Таганрогская</v>
          </cell>
          <cell r="I1429">
            <v>3</v>
          </cell>
        </row>
        <row r="1430">
          <cell r="C1430" t="str">
            <v>RO2196</v>
          </cell>
          <cell r="D1430" t="str">
            <v>33:трубостойки, АМС инфраструктурного оператора</v>
          </cell>
          <cell r="E1430" t="str">
            <v>Ростовская Область, Сальский Район, Сальск Город, Верхняя Улица, дом 89\б</v>
          </cell>
          <cell r="F1430">
            <v>1.28</v>
          </cell>
          <cell r="G1430" t="str">
            <v>Доп.</v>
          </cell>
          <cell r="H1430" t="str">
            <v>Сальская</v>
          </cell>
          <cell r="I1430">
            <v>14</v>
          </cell>
        </row>
        <row r="1431">
          <cell r="C1431" t="str">
            <v>RO2197</v>
          </cell>
          <cell r="D1431" t="str">
            <v>31:трубостойки на чужой АМС на земле/крыше</v>
          </cell>
          <cell r="E1431" t="str">
            <v>Ростовская Область, Сальский Район, Сальск Город, Чкалова Улица, дом 92-а</v>
          </cell>
          <cell r="F1431">
            <v>1.3</v>
          </cell>
          <cell r="G1431" t="str">
            <v>Доп.</v>
          </cell>
          <cell r="H1431" t="str">
            <v>Сальская</v>
          </cell>
          <cell r="I1431">
            <v>15</v>
          </cell>
        </row>
        <row r="1432">
          <cell r="C1432" t="str">
            <v>RO2210</v>
          </cell>
          <cell r="D1432" t="str">
            <v>31:трубостойки на чужой АМС на земле/крыше</v>
          </cell>
          <cell r="E1432" t="str">
            <v>Ростовская Область, Пролетарский Район, Пролетарск Город, Советский Переулок</v>
          </cell>
          <cell r="F1432">
            <v>1.5</v>
          </cell>
          <cell r="G1432" t="str">
            <v>Доп.</v>
          </cell>
          <cell r="H1432" t="str">
            <v>Сальская</v>
          </cell>
          <cell r="I1432">
            <v>25</v>
          </cell>
        </row>
        <row r="1433">
          <cell r="C1433" t="str">
            <v>RO2216</v>
          </cell>
          <cell r="D1433" t="str">
            <v>13:собст. железобетонный столб с заглубленным фундаментом</v>
          </cell>
          <cell r="E1433" t="str">
            <v>Ростовская Область, Сальский Район, Маяк Хутор</v>
          </cell>
          <cell r="F1433">
            <v>1.64</v>
          </cell>
          <cell r="G1433" t="str">
            <v>Доп.</v>
          </cell>
          <cell r="H1433" t="str">
            <v>Сальская</v>
          </cell>
          <cell r="I1433">
            <v>32</v>
          </cell>
        </row>
        <row r="1434">
          <cell r="C1434" t="str">
            <v>RO2227</v>
          </cell>
          <cell r="D1434" t="str">
            <v>33:трубостойки, АМС инфраструктурного оператора</v>
          </cell>
          <cell r="E1434" t="str">
            <v>Ростовская Область, Сальский Район, Сысоево-Александровское Село, Молодежная Улица\в р-не ул. Восточной</v>
          </cell>
          <cell r="F1434">
            <v>1.68</v>
          </cell>
          <cell r="G1434" t="str">
            <v>Доп.</v>
          </cell>
          <cell r="H1434" t="str">
            <v>Сальская</v>
          </cell>
          <cell r="I1434">
            <v>34</v>
          </cell>
        </row>
        <row r="1435">
          <cell r="C1435" t="str">
            <v>RO2241</v>
          </cell>
          <cell r="D1435" t="str">
            <v>31:трубостойки на чужой АМС на земле/крыше</v>
          </cell>
          <cell r="E1435" t="str">
            <v>Ростовская Область, Мясниковский Район, Валуево Село, Бригадная Улица, дом 1\а</v>
          </cell>
          <cell r="F1435">
            <v>2.04</v>
          </cell>
          <cell r="G1435" t="str">
            <v>Доп.</v>
          </cell>
          <cell r="H1435" t="str">
            <v>Таганрогская</v>
          </cell>
          <cell r="I1435">
            <v>52</v>
          </cell>
        </row>
        <row r="1436">
          <cell r="C1436" t="str">
            <v>RO2267</v>
          </cell>
          <cell r="D1436" t="str">
            <v>69:тип 69 RANsharing</v>
          </cell>
          <cell r="E1436" t="str">
            <v>Ростовская Область, Куйбышевский Район, Новиковка Село, Победы Улица, дом 28\50 м севернее</v>
          </cell>
          <cell r="F1436">
            <v>2.64</v>
          </cell>
          <cell r="G1436" t="str">
            <v>Доп.</v>
          </cell>
          <cell r="H1436" t="str">
            <v>Таганрогская</v>
          </cell>
          <cell r="I1436">
            <v>82</v>
          </cell>
        </row>
        <row r="1437">
          <cell r="C1437" t="str">
            <v>RO2268</v>
          </cell>
          <cell r="D1437" t="str">
            <v>69:тип 69 RANsharing</v>
          </cell>
          <cell r="E1437" t="str">
            <v>Ростовская Область, Куйбышевский Район, Русское Село, Горный Переулок\140 м на юго запад от школы</v>
          </cell>
          <cell r="F1437">
            <v>2.64</v>
          </cell>
          <cell r="G1437" t="str">
            <v>Доп.</v>
          </cell>
          <cell r="H1437" t="str">
            <v>Таганрогская</v>
          </cell>
          <cell r="I1437">
            <v>82</v>
          </cell>
        </row>
        <row r="1438">
          <cell r="C1438" t="str">
            <v>RO2293</v>
          </cell>
          <cell r="D1438" t="str">
            <v>13:собст. железобетонный столб с заглубленным фундаментом</v>
          </cell>
          <cell r="E1438" t="str">
            <v>Ростовская Область, Матвеево-Курганский Район, Большая Кирсановка Хутор, Советская Улица</v>
          </cell>
          <cell r="F1438">
            <v>2.1</v>
          </cell>
          <cell r="G1438" t="str">
            <v>Доп.</v>
          </cell>
          <cell r="H1438" t="str">
            <v>Таганрогская</v>
          </cell>
          <cell r="I1438">
            <v>55</v>
          </cell>
        </row>
        <row r="1439">
          <cell r="C1439" t="str">
            <v>RO2328</v>
          </cell>
          <cell r="D1439" t="str">
            <v>15:собст. башня с заглубленным фундаментом до 61м</v>
          </cell>
          <cell r="E1439" t="str">
            <v>Ростовская Область, Целинский Район, Журавлевка Село\Московская Улица, д. 65 б</v>
          </cell>
          <cell r="F1439">
            <v>2.4</v>
          </cell>
          <cell r="G1439" t="str">
            <v>Доп.</v>
          </cell>
          <cell r="H1439" t="str">
            <v>Сальская</v>
          </cell>
          <cell r="I1439">
            <v>70</v>
          </cell>
        </row>
        <row r="1440">
          <cell r="C1440" t="str">
            <v>RO2679</v>
          </cell>
          <cell r="D1440" t="str">
            <v>13:собст. железобетонный столб с заглубленным фундаментом</v>
          </cell>
          <cell r="E1440" t="str">
            <v>Ростовская Область, Сальский Район, Шаблиевка Село, Димитрова Улица</v>
          </cell>
          <cell r="F1440">
            <v>1.1399999999999999</v>
          </cell>
          <cell r="G1440" t="str">
            <v>Доп.</v>
          </cell>
          <cell r="H1440" t="str">
            <v>Сальская</v>
          </cell>
          <cell r="I1440">
            <v>7</v>
          </cell>
        </row>
        <row r="1441">
          <cell r="C1441" t="str">
            <v>RO2693</v>
          </cell>
          <cell r="D1441" t="str">
            <v>31:трубостойки на чужой АМС на земле/крыше</v>
          </cell>
          <cell r="E1441" t="str">
            <v>Ростовская Область, Егорлыкский Район, Мирный Хутор, Шоссейная Улица\7а, АМС ФГУП "РТРС"</v>
          </cell>
          <cell r="F1441">
            <v>3.28</v>
          </cell>
          <cell r="G1441" t="str">
            <v>Доп.</v>
          </cell>
          <cell r="H1441" t="str">
            <v>Сальская</v>
          </cell>
          <cell r="I1441">
            <v>114</v>
          </cell>
        </row>
        <row r="1442">
          <cell r="C1442" t="str">
            <v>RO2701</v>
          </cell>
          <cell r="D1442" t="str">
            <v>13:собст. железобетонный столб с заглубленным фундаментом</v>
          </cell>
          <cell r="E1442" t="str">
            <v>Ростовская Область, Целинский Район, Северный Хутор, Молодежная Улица\Молодежная Улица 92</v>
          </cell>
          <cell r="F1442">
            <v>2.1</v>
          </cell>
          <cell r="G1442" t="str">
            <v>Доп.</v>
          </cell>
          <cell r="H1442" t="str">
            <v>Сальская</v>
          </cell>
          <cell r="I1442">
            <v>55</v>
          </cell>
        </row>
        <row r="1443">
          <cell r="C1443" t="str">
            <v>RO2707</v>
          </cell>
          <cell r="D1443" t="str">
            <v>13:собст. железобетонный столб с заглубленным фундаментом</v>
          </cell>
          <cell r="E1443" t="str">
            <v>Ростовская Область, Сальский Район, Приречный Поселок, Школьная Улица\16 б</v>
          </cell>
          <cell r="F1443">
            <v>1.42</v>
          </cell>
          <cell r="G1443" t="str">
            <v>Доп.</v>
          </cell>
          <cell r="H1443" t="str">
            <v>Сальская</v>
          </cell>
          <cell r="I1443">
            <v>21</v>
          </cell>
        </row>
        <row r="1444">
          <cell r="C1444" t="str">
            <v>RO2892</v>
          </cell>
          <cell r="D1444" t="str">
            <v>31:трубостойки на чужой АМС на земле/крыше</v>
          </cell>
          <cell r="E1444" t="str">
            <v>Ростовская Область, Таганрог Город, Бульварная Улица\10-24</v>
          </cell>
          <cell r="F1444">
            <v>1.1000000000000001</v>
          </cell>
          <cell r="G1444" t="str">
            <v>Доп.</v>
          </cell>
          <cell r="H1444" t="str">
            <v>Таганрогская</v>
          </cell>
          <cell r="I1444">
            <v>5</v>
          </cell>
        </row>
        <row r="1445">
          <cell r="C1445" t="str">
            <v>RO2968</v>
          </cell>
          <cell r="D1445" t="str">
            <v>21:собст. АМС до 10 м на крыше</v>
          </cell>
          <cell r="E1445" t="str">
            <v>Ростовская Область, Таганрог Город, Петровская Улица, дом 89Б</v>
          </cell>
          <cell r="F1445">
            <v>1.02</v>
          </cell>
          <cell r="G1445" t="str">
            <v>Доп.</v>
          </cell>
          <cell r="H1445" t="str">
            <v>Таганрогская</v>
          </cell>
          <cell r="I1445">
            <v>1</v>
          </cell>
        </row>
        <row r="1446">
          <cell r="C1446" t="str">
            <v>RO2974</v>
          </cell>
          <cell r="D1446" t="str">
            <v>31:трубостойки на чужой АМС на земле/крыше</v>
          </cell>
          <cell r="E1446" t="str">
            <v>Ростовская Область, Таганрог Город, Артиллерийский 14-й Переулок, дом 21-А</v>
          </cell>
          <cell r="F1446">
            <v>1.1000000000000001</v>
          </cell>
          <cell r="G1446" t="str">
            <v>Доп.</v>
          </cell>
          <cell r="H1446" t="str">
            <v>Таганрогская</v>
          </cell>
          <cell r="I1446">
            <v>5</v>
          </cell>
        </row>
        <row r="1447">
          <cell r="C1447" t="str">
            <v>RO2975</v>
          </cell>
          <cell r="D1447" t="str">
            <v>32:трубостойки/АМС на: трубе, элеваторе, водонап.башне</v>
          </cell>
          <cell r="E1447" t="str">
            <v>Ростовская Область, Таганрог Город, Ленина Улица, дом 220</v>
          </cell>
          <cell r="F1447">
            <v>1.08</v>
          </cell>
          <cell r="G1447" t="str">
            <v>Доп.</v>
          </cell>
          <cell r="H1447" t="str">
            <v>Таганрогская</v>
          </cell>
          <cell r="I1447">
            <v>4</v>
          </cell>
        </row>
        <row r="1448">
          <cell r="C1448" t="str">
            <v>RO2979</v>
          </cell>
          <cell r="D1448" t="str">
            <v>31:трубостойки на чужой АМС на земле/крыше</v>
          </cell>
          <cell r="E1448" t="str">
            <v>Ростовская Область, Таганрог Город, Дачная Улица, дом 201</v>
          </cell>
          <cell r="F1448">
            <v>1.1599999999999999</v>
          </cell>
          <cell r="G1448" t="str">
            <v>Доп.</v>
          </cell>
          <cell r="H1448" t="str">
            <v>Таганрогская</v>
          </cell>
          <cell r="I1448">
            <v>8</v>
          </cell>
        </row>
        <row r="1449">
          <cell r="C1449" t="str">
            <v>RO9087</v>
          </cell>
          <cell r="D1449" t="str">
            <v>50:транспортная точка без АМС и без оборудования БС</v>
          </cell>
          <cell r="E1449" t="str">
            <v>Ростовская Область, Таганрог Город, Дзержинского Улица, дом 144</v>
          </cell>
          <cell r="F1449">
            <v>1</v>
          </cell>
          <cell r="G1449" t="str">
            <v>Доп.</v>
          </cell>
          <cell r="H1449" t="str">
            <v>Таганрогская</v>
          </cell>
          <cell r="I1449">
            <v>0</v>
          </cell>
        </row>
        <row r="1450">
          <cell r="C1450" t="str">
            <v>RO1058</v>
          </cell>
          <cell r="D1450" t="str">
            <v>13:собст. железобетонный столб с заглубленным фундаментом</v>
          </cell>
          <cell r="E1450" t="str">
            <v>Ростовская Область, Сальский Район, Новый Егорлык Село, Советская Улица\Краснодонский пер.</v>
          </cell>
          <cell r="F1450">
            <v>1.86</v>
          </cell>
          <cell r="G1450" t="str">
            <v>Доп.</v>
          </cell>
          <cell r="H1450" t="str">
            <v>Сальская</v>
          </cell>
          <cell r="I1450">
            <v>43</v>
          </cell>
        </row>
        <row r="1451">
          <cell r="C1451" t="str">
            <v>RO1090</v>
          </cell>
          <cell r="D1451" t="str">
            <v>43:железобетонный столб - проект УЦН</v>
          </cell>
          <cell r="E1451" t="str">
            <v>Область Ростовская, Район Неклиновский, Хутор Некрасовка, Улица Центральная\48 м на юго-восток</v>
          </cell>
          <cell r="F1451">
            <v>1.56</v>
          </cell>
          <cell r="G1451" t="str">
            <v>Доп.</v>
          </cell>
          <cell r="H1451" t="str">
            <v>Таганрогская</v>
          </cell>
          <cell r="I1451">
            <v>28</v>
          </cell>
        </row>
        <row r="1452">
          <cell r="C1452" t="str">
            <v>RO1092</v>
          </cell>
          <cell r="D1452" t="str">
            <v>13:собст. железобетонный столб с заглубленным фундаментом</v>
          </cell>
          <cell r="E1452" t="str">
            <v>Район Куйбышевский, Село Куйбышево, Улица Дмитриевская\примерно 6 метров на восток от здания 31</v>
          </cell>
          <cell r="F1452">
            <v>2.66</v>
          </cell>
          <cell r="G1452" t="str">
            <v>Доп.</v>
          </cell>
          <cell r="H1452" t="str">
            <v>Таганрогская</v>
          </cell>
          <cell r="I1452">
            <v>83</v>
          </cell>
        </row>
        <row r="1453">
          <cell r="C1453" t="str">
            <v>RO1124</v>
          </cell>
          <cell r="D1453" t="str">
            <v>13:собст. железобетонный столб с заглубленным фундаментом</v>
          </cell>
          <cell r="E1453" t="str">
            <v>Область Ростовская, Район Целинский, Поселок Целина, Улица 7-я линия\245 г</v>
          </cell>
          <cell r="F1453">
            <v>2.02</v>
          </cell>
          <cell r="G1453" t="str">
            <v>Доп.</v>
          </cell>
          <cell r="H1453" t="str">
            <v>Сальская</v>
          </cell>
          <cell r="I1453">
            <v>51</v>
          </cell>
        </row>
        <row r="1454">
          <cell r="C1454" t="str">
            <v>RO1385</v>
          </cell>
          <cell r="D1454" t="str">
            <v>43:железобетонный столб - проект УЦН</v>
          </cell>
          <cell r="E1454" t="str">
            <v>Ростовская Область, Матвеево-Курганский Район, Лесной Хутор, Юбилейная Улица, дом 24\10м на юг от границы участка</v>
          </cell>
          <cell r="F1454">
            <v>2.56</v>
          </cell>
          <cell r="G1454" t="str">
            <v>Доп.</v>
          </cell>
          <cell r="H1454" t="str">
            <v>Таганрогская</v>
          </cell>
          <cell r="I1454">
            <v>78</v>
          </cell>
        </row>
        <row r="1455">
          <cell r="C1455" t="str">
            <v>RO1387</v>
          </cell>
          <cell r="D1455" t="str">
            <v>43:железобетонный столб - проект УЦН</v>
          </cell>
          <cell r="E1455" t="str">
            <v>Ростовская Область, Матвеево-Курганский Район, Красная Горка Хутор, Школьная Улица, дом 2\20м на восток от участка по улице Школьная 2а</v>
          </cell>
          <cell r="F1455">
            <v>2.62</v>
          </cell>
          <cell r="G1455" t="str">
            <v>Доп.</v>
          </cell>
          <cell r="H1455" t="str">
            <v>Таганрогская</v>
          </cell>
          <cell r="I1455">
            <v>81</v>
          </cell>
        </row>
        <row r="1456">
          <cell r="C1456" t="str">
            <v>RO1392</v>
          </cell>
          <cell r="D1456" t="str">
            <v>31:трубостойки на чужой АМС на земле/крыше</v>
          </cell>
          <cell r="E1456" t="str">
            <v>Город Таганрог, Улица Дзержинского\между ул.Фрунзе и Привокзальная площадь</v>
          </cell>
          <cell r="F1456">
            <v>1.08</v>
          </cell>
          <cell r="G1456" t="str">
            <v>Доп.</v>
          </cell>
          <cell r="H1456" t="str">
            <v>Таганрогская</v>
          </cell>
          <cell r="I1456">
            <v>4</v>
          </cell>
        </row>
        <row r="1457">
          <cell r="C1457" t="str">
            <v>RO1655</v>
          </cell>
          <cell r="D1457" t="str">
            <v>69:УЦН РТК</v>
          </cell>
          <cell r="E1457" t="str">
            <v>Ростовская Область, Егорлыкский Район, Заря Хутор\южнее на 30 м от пересечения ул. Фермерская и ул. Заречная</v>
          </cell>
          <cell r="F1457">
            <v>2.76</v>
          </cell>
          <cell r="G1457" t="str">
            <v>Доп.</v>
          </cell>
          <cell r="H1457" t="str">
            <v>Сальская</v>
          </cell>
          <cell r="I1457">
            <v>88</v>
          </cell>
        </row>
        <row r="1458">
          <cell r="C1458" t="str">
            <v>RO1774</v>
          </cell>
          <cell r="D1458" t="str">
            <v>43:железобетонный столб - проект УЦН</v>
          </cell>
          <cell r="E1458" t="str">
            <v>Ростовская Область, Матвеево-Курганский Район, Иваново-Ясиновка Хутор, Ясиновский Переулок, дом 2\примерно 21 м. по направлению на юго-запад от границ участка</v>
          </cell>
          <cell r="F1458">
            <v>2.38</v>
          </cell>
          <cell r="G1458" t="str">
            <v>Доп.</v>
          </cell>
          <cell r="H1458" t="str">
            <v>Таганрогская</v>
          </cell>
          <cell r="I1458">
            <v>69</v>
          </cell>
        </row>
        <row r="1459">
          <cell r="C1459" t="str">
            <v>RO1782</v>
          </cell>
          <cell r="D1459" t="str">
            <v>69:УЦН РТК</v>
          </cell>
          <cell r="E1459" t="str">
            <v>Ростовская Область, Орловский Район, Романовский Хутор, Луговая Улица</v>
          </cell>
          <cell r="F1459">
            <v>2.12</v>
          </cell>
          <cell r="G1459" t="str">
            <v>Доп.</v>
          </cell>
          <cell r="H1459" t="str">
            <v>Сальская</v>
          </cell>
          <cell r="I1459">
            <v>56</v>
          </cell>
        </row>
        <row r="1460">
          <cell r="C1460" t="str">
            <v>RO1815</v>
          </cell>
          <cell r="D1460" t="str">
            <v>69:УЦН РТК</v>
          </cell>
          <cell r="E1460" t="str">
            <v>Ростовская Область, Сальский Район, Загорье Поселок, Урожайная Улица</v>
          </cell>
          <cell r="F1460">
            <v>1.72</v>
          </cell>
          <cell r="G1460" t="str">
            <v>Доп.</v>
          </cell>
          <cell r="H1460" t="str">
            <v>Сальская</v>
          </cell>
          <cell r="I1460">
            <v>36</v>
          </cell>
        </row>
        <row r="1461">
          <cell r="C1461" t="str">
            <v>RO1820</v>
          </cell>
          <cell r="D1461" t="str">
            <v>69:УЦН РТК</v>
          </cell>
          <cell r="E1461" t="str">
            <v>Ростовская Область, Сальский Район, Поливной Поселок, Строительная Улица</v>
          </cell>
          <cell r="F1461">
            <v>1.22</v>
          </cell>
          <cell r="G1461" t="str">
            <v>Доп.</v>
          </cell>
          <cell r="H1461" t="str">
            <v>Сальская</v>
          </cell>
          <cell r="I1461">
            <v>11</v>
          </cell>
        </row>
        <row r="1462">
          <cell r="C1462" t="str">
            <v>RO1852</v>
          </cell>
          <cell r="D1462" t="str">
            <v>69:УЦН РТК</v>
          </cell>
          <cell r="E1462" t="str">
            <v>Ростовская Область, Целинский Район, Холодные Родники Поселок</v>
          </cell>
          <cell r="F1462">
            <v>2.12</v>
          </cell>
          <cell r="G1462" t="str">
            <v>Доп.</v>
          </cell>
          <cell r="H1462" t="str">
            <v>Сальская</v>
          </cell>
          <cell r="I1462">
            <v>56</v>
          </cell>
        </row>
        <row r="1463">
          <cell r="C1463" t="str">
            <v>RO1921</v>
          </cell>
          <cell r="D1463" t="str">
            <v>13:собст. железобетонный столб с заглубленным фундаментом</v>
          </cell>
          <cell r="E1463" t="str">
            <v>Область Ростовская, Район Егорлыкский, Станица Егорлыкская, Улица Октябрьская, Домовладение 131</v>
          </cell>
          <cell r="F1463">
            <v>2.6</v>
          </cell>
          <cell r="G1463" t="str">
            <v>Доп.</v>
          </cell>
          <cell r="H1463" t="str">
            <v>Сальская</v>
          </cell>
          <cell r="I1463">
            <v>80</v>
          </cell>
        </row>
        <row r="1464">
          <cell r="C1464" t="str">
            <v>RO2252</v>
          </cell>
          <cell r="D1464" t="str">
            <v>69:УЦН РТК</v>
          </cell>
          <cell r="E1464" t="str">
            <v>Ростовская Область, Егорлыкский Район, Ютин Хутор</v>
          </cell>
          <cell r="F1464">
            <v>2.82</v>
          </cell>
          <cell r="G1464" t="str">
            <v>Доп.</v>
          </cell>
          <cell r="H1464" t="str">
            <v>Сальская</v>
          </cell>
          <cell r="I1464">
            <v>91</v>
          </cell>
        </row>
        <row r="1465">
          <cell r="C1465" t="str">
            <v>RO2287</v>
          </cell>
          <cell r="D1465" t="str">
            <v>69:УЦН РТК</v>
          </cell>
          <cell r="E1465" t="str">
            <v>Ростовская Область, Неклиновский Район, Приют Хутор, Космическая Улица\75 м на северо восток от №47А</v>
          </cell>
          <cell r="F1465">
            <v>1.8</v>
          </cell>
          <cell r="G1465" t="str">
            <v>Доп.</v>
          </cell>
          <cell r="H1465" t="str">
            <v>Таганрогская</v>
          </cell>
          <cell r="I1465">
            <v>40</v>
          </cell>
        </row>
        <row r="1466">
          <cell r="C1466" t="str">
            <v>RO0249</v>
          </cell>
          <cell r="D1466" t="str">
            <v>33:трубостойки, АМС инфраструктурного оператора</v>
          </cell>
          <cell r="E1466" t="str">
            <v>Область Ростовская, Город Ростов-на-Дону, Улица Казахская, Дом 86</v>
          </cell>
          <cell r="F1466">
            <v>1.2</v>
          </cell>
          <cell r="G1466" t="str">
            <v>Осн.</v>
          </cell>
          <cell r="H1466" t="str">
            <v>Ростовская</v>
          </cell>
          <cell r="I1466">
            <v>10</v>
          </cell>
        </row>
        <row r="1467">
          <cell r="C1467" t="str">
            <v>RO0276</v>
          </cell>
          <cell r="D1467" t="str">
            <v>33:трубостойки, АМС инфраструктурного оператора</v>
          </cell>
          <cell r="E1467" t="str">
            <v>Ростовская Область, Ростов-на-Дону Город, Варфоломеева Улица, дом 92а\к4</v>
          </cell>
          <cell r="F1467">
            <v>1.04</v>
          </cell>
          <cell r="G1467" t="str">
            <v>Осн.</v>
          </cell>
          <cell r="H1467" t="str">
            <v>Ростовская</v>
          </cell>
          <cell r="I1467">
            <v>2</v>
          </cell>
        </row>
        <row r="1468">
          <cell r="C1468" t="str">
            <v>RO0559</v>
          </cell>
          <cell r="D1468" t="str">
            <v>33:трубостойки, АМС инфраструктурного оператора</v>
          </cell>
          <cell r="E1468" t="str">
            <v>Город Новошахтинск, Улица Нерушимая, 20 б</v>
          </cell>
          <cell r="F1468">
            <v>2.7</v>
          </cell>
          <cell r="G1468" t="str">
            <v>Осн.</v>
          </cell>
          <cell r="H1468" t="str">
            <v>Ростовская</v>
          </cell>
          <cell r="I1468">
            <v>85</v>
          </cell>
        </row>
        <row r="1469">
          <cell r="C1469" t="str">
            <v>RO0562</v>
          </cell>
          <cell r="D1469" t="str">
            <v>30:трубостойки на АМС БК Пилар</v>
          </cell>
          <cell r="E1469" t="str">
            <v>Область Ростовская, Район Аксайский\Трасса "М4 Дон", 1042 км. (обход Ростова-на-Дону)</v>
          </cell>
          <cell r="F1469">
            <v>1.6</v>
          </cell>
          <cell r="G1469" t="str">
            <v>Осн.</v>
          </cell>
          <cell r="H1469" t="str">
            <v>Ростовская</v>
          </cell>
          <cell r="I1469">
            <v>30</v>
          </cell>
        </row>
        <row r="1470">
          <cell r="C1470" t="str">
            <v>RO0800</v>
          </cell>
          <cell r="D1470" t="str">
            <v>21:собст. АМС до 10 м на крыше</v>
          </cell>
          <cell r="E1470" t="str">
            <v>Область Ростовская, Город Волгодонск, Улица Дружбы, Дом 8</v>
          </cell>
          <cell r="F1470">
            <v>1.1599999999999999</v>
          </cell>
          <cell r="G1470" t="str">
            <v>Осн.</v>
          </cell>
          <cell r="H1470" t="str">
            <v>Волгодонская</v>
          </cell>
          <cell r="I1470">
            <v>8</v>
          </cell>
        </row>
        <row r="1471">
          <cell r="C1471" t="str">
            <v>RO0829</v>
          </cell>
          <cell r="D1471" t="str">
            <v>30:трубостойки на АМС БК Пилар</v>
          </cell>
          <cell r="E1471" t="str">
            <v>Область Ростовская, Город Каменск-Шахтинский, пос. Лиховской</v>
          </cell>
          <cell r="F1471">
            <v>1.46</v>
          </cell>
          <cell r="G1471" t="str">
            <v>Осн.</v>
          </cell>
          <cell r="H1471" t="str">
            <v>Каменская</v>
          </cell>
          <cell r="I1471">
            <v>23</v>
          </cell>
        </row>
        <row r="1472">
          <cell r="C1472" t="str">
            <v>RO0842</v>
          </cell>
          <cell r="D1472" t="str">
            <v>21:собст. АМС до 10 м на крыше</v>
          </cell>
          <cell r="E1472" t="str">
            <v>Область Ростовская, Город Батайск, Улица Шмидта, Дом 5А</v>
          </cell>
          <cell r="F1472">
            <v>1.3</v>
          </cell>
          <cell r="G1472" t="str">
            <v>Осн.</v>
          </cell>
          <cell r="H1472" t="str">
            <v>Ростовская</v>
          </cell>
          <cell r="I1472">
            <v>15</v>
          </cell>
        </row>
        <row r="1473">
          <cell r="C1473" t="str">
            <v>RO0865</v>
          </cell>
          <cell r="D1473" t="str">
            <v>21:собст. АМС до 10 м на крыше</v>
          </cell>
          <cell r="E1473" t="str">
            <v>Область Ростовская, Город Ростов-на-Дону, Улица Еременко, Дом 66/7\Кровля МКД</v>
          </cell>
          <cell r="F1473">
            <v>1.2</v>
          </cell>
          <cell r="G1473" t="str">
            <v>Осн.</v>
          </cell>
          <cell r="H1473" t="str">
            <v>Ростовская</v>
          </cell>
          <cell r="I1473">
            <v>10</v>
          </cell>
        </row>
        <row r="1474">
          <cell r="C1474" t="str">
            <v>RO0882</v>
          </cell>
          <cell r="D1474" t="str">
            <v>33:трубостойки, АМС инфраструктурного оператора</v>
          </cell>
          <cell r="E1474" t="str">
            <v>Город Ростов-на-Дону, Улица Металлургическая, в районе дома № 70</v>
          </cell>
          <cell r="F1474">
            <v>1.1599999999999999</v>
          </cell>
          <cell r="G1474" t="str">
            <v>Осн.</v>
          </cell>
          <cell r="H1474" t="str">
            <v>Ростовская</v>
          </cell>
          <cell r="I1474">
            <v>8</v>
          </cell>
        </row>
        <row r="1475">
          <cell r="C1475" t="str">
            <v>RO0942</v>
          </cell>
          <cell r="D1475" t="str">
            <v>31:трубостойки на чужой АМС на земле/крыше</v>
          </cell>
          <cell r="E1475" t="str">
            <v>Область Ростовская, Район Аксайский, Город Аксай, Улица Объездная, Дом 3</v>
          </cell>
          <cell r="F1475">
            <v>1.48</v>
          </cell>
          <cell r="G1475" t="str">
            <v>Осн.</v>
          </cell>
          <cell r="H1475" t="str">
            <v>Ростовская</v>
          </cell>
          <cell r="I1475">
            <v>24</v>
          </cell>
        </row>
        <row r="1476">
          <cell r="C1476" t="str">
            <v>RO0943</v>
          </cell>
          <cell r="D1476" t="str">
            <v>31:трубостойки на чужой АМС на земле/крыше</v>
          </cell>
          <cell r="E1476" t="str">
            <v>Область Ростовская, Район Аксайский, Город Аксай, Улица Речников</v>
          </cell>
          <cell r="F1476">
            <v>1.4</v>
          </cell>
          <cell r="G1476" t="str">
            <v>Осн.</v>
          </cell>
          <cell r="H1476" t="str">
            <v>Ростовская</v>
          </cell>
          <cell r="I1476">
            <v>20</v>
          </cell>
        </row>
        <row r="1477">
          <cell r="C1477" t="str">
            <v>RO1009</v>
          </cell>
          <cell r="D1477" t="str">
            <v>33:трубостойки, АМС инфраструктурного оператора</v>
          </cell>
          <cell r="E1477" t="str">
            <v>Область Ростовская, Город Шахты, Улица Текстильная\55а</v>
          </cell>
          <cell r="F1477">
            <v>2.6799999999999997</v>
          </cell>
          <cell r="G1477" t="str">
            <v>Осн.</v>
          </cell>
          <cell r="H1477" t="str">
            <v>Ростовская</v>
          </cell>
          <cell r="I1477">
            <v>84</v>
          </cell>
        </row>
        <row r="1478">
          <cell r="C1478" t="str">
            <v>RO1032</v>
          </cell>
          <cell r="D1478" t="str">
            <v>33:трубостойки, АМС инфраструктурного оператора</v>
          </cell>
          <cell r="E1478" t="str">
            <v>Область Ростовская, Район Каменский\АКХ "Колос", участок N 127г</v>
          </cell>
          <cell r="F1478">
            <v>1.1400000000000001</v>
          </cell>
          <cell r="G1478" t="str">
            <v>Осн.</v>
          </cell>
          <cell r="H1478" t="str">
            <v>Каменская</v>
          </cell>
          <cell r="I1478">
            <v>7</v>
          </cell>
        </row>
        <row r="1479">
          <cell r="C1479" t="str">
            <v>RO1034</v>
          </cell>
          <cell r="D1479" t="str">
            <v>33:трубостойки, АМС инфраструктурного оператора</v>
          </cell>
          <cell r="E1479" t="str">
            <v>Город Волгодонск, Улица Ленина, Земельный участок 125</v>
          </cell>
          <cell r="F1479">
            <v>1.02</v>
          </cell>
          <cell r="G1479" t="str">
            <v>Осн.</v>
          </cell>
          <cell r="H1479" t="str">
            <v>Волгодонская</v>
          </cell>
          <cell r="I1479">
            <v>1</v>
          </cell>
        </row>
        <row r="1480">
          <cell r="C1480" t="str">
            <v>RO1044</v>
          </cell>
          <cell r="D1480" t="str">
            <v>31:трубостойки на чужой АМС на земле/крыше</v>
          </cell>
          <cell r="E1480" t="str">
            <v>Область Ростовская, Город Ростов-на-Дону, Проспект Чехова, Дом 29а</v>
          </cell>
          <cell r="F1480">
            <v>1.06</v>
          </cell>
          <cell r="G1480" t="str">
            <v>Осн.</v>
          </cell>
          <cell r="H1480" t="str">
            <v>Ростовская</v>
          </cell>
          <cell r="I1480">
            <v>3</v>
          </cell>
        </row>
        <row r="1481">
          <cell r="C1481" t="str">
            <v>RO1050</v>
          </cell>
          <cell r="D1481" t="str">
            <v>33:трубостойки, АМС инфраструктурного оператора</v>
          </cell>
          <cell r="E1481" t="str">
            <v>Область Ростовская, Город Ростов-на-Дону, Проспект Коммунистический\в районе д.47А</v>
          </cell>
          <cell r="F1481">
            <v>1.2</v>
          </cell>
          <cell r="G1481" t="str">
            <v>Осн.</v>
          </cell>
          <cell r="H1481" t="str">
            <v>Ростовская</v>
          </cell>
          <cell r="I1481">
            <v>10</v>
          </cell>
        </row>
        <row r="1482">
          <cell r="C1482" t="str">
            <v>RO1066</v>
          </cell>
          <cell r="D1482" t="str">
            <v>33:трубостойки, АМС инфраструктурного оператора</v>
          </cell>
          <cell r="E1482" t="str">
            <v>Область Ростовская, Город Ростов-на-Дону, Улица Криворожская, Дом 56</v>
          </cell>
          <cell r="F1482">
            <v>1.1400000000000001</v>
          </cell>
          <cell r="G1482" t="str">
            <v>Осн.</v>
          </cell>
          <cell r="H1482" t="str">
            <v>Ростовская</v>
          </cell>
          <cell r="I1482">
            <v>7</v>
          </cell>
        </row>
        <row r="1483">
          <cell r="C1483" t="str">
            <v>RO1068</v>
          </cell>
          <cell r="D1483" t="str">
            <v>31:трубостойки на чужой АМС на земле/крыше</v>
          </cell>
          <cell r="E1483" t="str">
            <v>г. Область Ростовская, Город Ростов-на-Дону, Улица Механизаторов, Дом 7</v>
          </cell>
          <cell r="F1483">
            <v>1.24</v>
          </cell>
          <cell r="G1483" t="str">
            <v>Осн.</v>
          </cell>
          <cell r="H1483" t="str">
            <v>Ростовская</v>
          </cell>
          <cell r="I1483">
            <v>12</v>
          </cell>
        </row>
        <row r="1484">
          <cell r="C1484" t="str">
            <v>RO1075</v>
          </cell>
          <cell r="D1484" t="str">
            <v>33:трубостойки, АМС инфраструктурного оператора</v>
          </cell>
          <cell r="E1484" t="str">
            <v>Город Ростов-на-Дону, Улица Портовая, в районе дома №281</v>
          </cell>
          <cell r="F1484">
            <v>1.1200000000000001</v>
          </cell>
          <cell r="G1484" t="str">
            <v>Осн.</v>
          </cell>
          <cell r="H1484" t="str">
            <v>Ростовская</v>
          </cell>
          <cell r="I1484">
            <v>6</v>
          </cell>
        </row>
        <row r="1485">
          <cell r="C1485" t="str">
            <v>RO1080</v>
          </cell>
          <cell r="D1485" t="str">
            <v>21:собст. АМС до 10 м на крыше</v>
          </cell>
          <cell r="E1485" t="str">
            <v>Область Ростовская, Город Ростов-на-Дону, Переулок Чаленко, Дом 11</v>
          </cell>
          <cell r="F1485">
            <v>1.26</v>
          </cell>
          <cell r="G1485" t="str">
            <v>Осн.</v>
          </cell>
          <cell r="H1485" t="str">
            <v>Ростовская</v>
          </cell>
          <cell r="I1485">
            <v>13</v>
          </cell>
        </row>
        <row r="1486">
          <cell r="C1486" t="str">
            <v>RO1099</v>
          </cell>
          <cell r="D1486" t="str">
            <v>43:железобетонный столб - проект УЦН</v>
          </cell>
          <cell r="E1486" t="str">
            <v>Область Ростовская, Район Чертковский, Слобода Семено-Камышенская, Улица Центральная</v>
          </cell>
          <cell r="F1486">
            <v>3.5</v>
          </cell>
          <cell r="G1486" t="str">
            <v>Осн.</v>
          </cell>
          <cell r="H1486" t="str">
            <v>Каменская</v>
          </cell>
          <cell r="I1486">
            <v>125</v>
          </cell>
        </row>
        <row r="1487">
          <cell r="C1487" t="str">
            <v>RO1100</v>
          </cell>
          <cell r="D1487" t="str">
            <v>30:трубостойки на АМС БК Пилар</v>
          </cell>
          <cell r="E1487" t="str">
            <v>Область Ростовская, Город Новошахтинск, Улица Харьковская, в районе жилого дома №58К</v>
          </cell>
          <cell r="F1487">
            <v>2.7199999999999998</v>
          </cell>
          <cell r="G1487" t="str">
            <v>Осн.</v>
          </cell>
          <cell r="H1487" t="str">
            <v>Ростовская</v>
          </cell>
          <cell r="I1487">
            <v>86</v>
          </cell>
        </row>
        <row r="1488">
          <cell r="C1488" t="str">
            <v>RO1115</v>
          </cell>
          <cell r="D1488" t="str">
            <v>33:трубостойки, АМС инфраструктурного оператора</v>
          </cell>
          <cell r="E1488" t="str">
            <v>Область Ростовская, Город Ростов-на-Дону, Улица Серафимовича\23</v>
          </cell>
          <cell r="F1488">
            <v>1.04</v>
          </cell>
          <cell r="G1488" t="str">
            <v>Осн.</v>
          </cell>
          <cell r="H1488" t="str">
            <v>Ростовская</v>
          </cell>
          <cell r="I1488">
            <v>2</v>
          </cell>
        </row>
        <row r="1489">
          <cell r="C1489" t="str">
            <v>RO1120</v>
          </cell>
          <cell r="D1489" t="str">
            <v>43:железобетонный столб - проект УЦН</v>
          </cell>
          <cell r="E1489" t="str">
            <v>Область Ростовская, Район Багаевский, Поселок Задонский, Улица Атаманская\примерно 465 м по направлению на юго-запад от границы участка по адресу: ул. Атаманская, д. 1-а</v>
          </cell>
          <cell r="F1489">
            <v>2.5</v>
          </cell>
          <cell r="G1489" t="str">
            <v>Осн.</v>
          </cell>
          <cell r="H1489" t="str">
            <v>Ростовская</v>
          </cell>
          <cell r="I1489">
            <v>75</v>
          </cell>
        </row>
        <row r="1490">
          <cell r="C1490" t="str">
            <v>RO1125</v>
          </cell>
          <cell r="D1490" t="str">
            <v>43:железобетонный столб - проект УЦН</v>
          </cell>
          <cell r="E1490" t="str">
            <v>Область Ростовская, Район Октябрьский, Хутор Озерки, Улица Школьная\примерно 40 м по направлению на запад от границы участка по адресу: ул. Школьная д. 8 кв. 1</v>
          </cell>
          <cell r="F1490">
            <v>3.2</v>
          </cell>
          <cell r="G1490" t="str">
            <v>Осн.</v>
          </cell>
          <cell r="H1490" t="str">
            <v>Ростовская</v>
          </cell>
          <cell r="I1490">
            <v>110</v>
          </cell>
        </row>
        <row r="1491">
          <cell r="C1491" t="str">
            <v>RO1145</v>
          </cell>
          <cell r="D1491" t="str">
            <v>33:трубостойки, АМС инфраструктурного оператора</v>
          </cell>
          <cell r="E1491" t="str">
            <v>Город Ростов-на-Дону, Улица Вавилова, Домовладение 18</v>
          </cell>
          <cell r="F1491">
            <v>1.1400000000000001</v>
          </cell>
          <cell r="G1491" t="str">
            <v>Осн.</v>
          </cell>
          <cell r="H1491" t="str">
            <v>Ростовская</v>
          </cell>
          <cell r="I1491">
            <v>7</v>
          </cell>
        </row>
        <row r="1492">
          <cell r="C1492" t="str">
            <v>RO1147</v>
          </cell>
          <cell r="D1492" t="str">
            <v>30:трубостойки на АМС БК Пилар</v>
          </cell>
          <cell r="E1492" t="str">
            <v>Область Ростовская, Город Ростов-на-Дону, Переулок Бордовый, Земельный участок 6</v>
          </cell>
          <cell r="F1492">
            <v>1.2</v>
          </cell>
          <cell r="G1492" t="str">
            <v>Осн.</v>
          </cell>
          <cell r="H1492" t="str">
            <v>Ростовская</v>
          </cell>
          <cell r="I1492">
            <v>10</v>
          </cell>
        </row>
        <row r="1493">
          <cell r="C1493" t="str">
            <v>RO1161</v>
          </cell>
          <cell r="D1493" t="str">
            <v>30:трубостойки на АМС БК Пилар</v>
          </cell>
          <cell r="E1493" t="str">
            <v>Область Ростовская, Район Аксайский\Трасса "М4 Дон", 1060 км. (в районе х. Махин)</v>
          </cell>
          <cell r="F1493">
            <v>1.74</v>
          </cell>
          <cell r="G1493" t="str">
            <v>Осн.</v>
          </cell>
          <cell r="H1493" t="str">
            <v>Ростовская</v>
          </cell>
          <cell r="I1493">
            <v>37</v>
          </cell>
        </row>
        <row r="1494">
          <cell r="C1494" t="str">
            <v>RO1170</v>
          </cell>
          <cell r="D1494" t="str">
            <v>30:трубостойки на АМС БК Пилар</v>
          </cell>
          <cell r="E1494" t="str">
            <v>Область Ростовская, Район Аксайский\Трасса "М4 Дон" 1046 км. (в районе песчаного карьера Реконструктор)</v>
          </cell>
          <cell r="F1494">
            <v>1.56</v>
          </cell>
          <cell r="G1494" t="str">
            <v>Осн.</v>
          </cell>
          <cell r="H1494" t="str">
            <v>Ростовская</v>
          </cell>
          <cell r="I1494">
            <v>28</v>
          </cell>
        </row>
        <row r="1495">
          <cell r="C1495" t="str">
            <v>RO1175</v>
          </cell>
          <cell r="D1495" t="str">
            <v>33:трубостойки, АМС инфраструктурного оператора</v>
          </cell>
          <cell r="E1495" t="str">
            <v>Город Ростов-на-Дону, Октябрьский район, СНТ "СКВО"</v>
          </cell>
          <cell r="F1495">
            <v>1.22</v>
          </cell>
          <cell r="G1495" t="str">
            <v>Осн.</v>
          </cell>
          <cell r="H1495" t="str">
            <v>Ростовская</v>
          </cell>
          <cell r="I1495">
            <v>11</v>
          </cell>
        </row>
        <row r="1496">
          <cell r="C1496" t="str">
            <v>RO1187</v>
          </cell>
          <cell r="D1496" t="str">
            <v>21:собст. АМС до 10 м на крыше</v>
          </cell>
          <cell r="E1496" t="str">
            <v>Область Ростовская, Город Ростов-на-Дону, Проспект Коммунистический, Дом 32/1</v>
          </cell>
          <cell r="F1496">
            <v>1.1599999999999999</v>
          </cell>
          <cell r="G1496" t="str">
            <v>Осн.</v>
          </cell>
          <cell r="H1496" t="str">
            <v>Ростовская</v>
          </cell>
          <cell r="I1496">
            <v>8</v>
          </cell>
        </row>
        <row r="1497">
          <cell r="C1497" t="str">
            <v>RO1191</v>
          </cell>
          <cell r="D1497" t="str">
            <v>33:трубостойки, АМС инфраструктурного оператора</v>
          </cell>
          <cell r="E1497" t="str">
            <v>Область Ростовская, Город Ростов-на-Дону, Улица Бородина, Дом 13</v>
          </cell>
          <cell r="F1497">
            <v>1.18</v>
          </cell>
          <cell r="G1497" t="str">
            <v>Осн.</v>
          </cell>
          <cell r="H1497" t="str">
            <v>Ростовская</v>
          </cell>
          <cell r="I1497">
            <v>9</v>
          </cell>
        </row>
        <row r="1498">
          <cell r="C1498" t="str">
            <v>RO1197</v>
          </cell>
          <cell r="D1498" t="str">
            <v>31:трубостойки на чужой АМС на земле/крыше</v>
          </cell>
          <cell r="E1498" t="str">
            <v>Область Ростовская, Город Ростов-на-Дону, Улица Лермонтовская\177 Б</v>
          </cell>
          <cell r="F1498">
            <v>1.08</v>
          </cell>
          <cell r="G1498" t="str">
            <v>Осн.</v>
          </cell>
          <cell r="H1498" t="str">
            <v>Ростовская</v>
          </cell>
          <cell r="I1498">
            <v>4</v>
          </cell>
        </row>
        <row r="1499">
          <cell r="C1499" t="str">
            <v>RO1200</v>
          </cell>
          <cell r="D1499" t="str">
            <v>33:трубостойки, АМС инфраструктурного оператора</v>
          </cell>
          <cell r="E1499" t="str">
            <v>Город Батайск, Улица Дружбы 81</v>
          </cell>
          <cell r="F1499">
            <v>1.26</v>
          </cell>
          <cell r="G1499" t="str">
            <v>Осн.</v>
          </cell>
          <cell r="H1499" t="str">
            <v>Ростовская</v>
          </cell>
          <cell r="I1499">
            <v>13</v>
          </cell>
        </row>
        <row r="1500">
          <cell r="C1500" t="str">
            <v>RO1234</v>
          </cell>
          <cell r="D1500" t="str">
            <v>31:трубостойки на чужой АМС на земле/крыше</v>
          </cell>
          <cell r="E1500" t="str">
            <v>Область Ростовская, Город Волгодонск\СНТ Дон</v>
          </cell>
          <cell r="F1500">
            <v>1.26</v>
          </cell>
          <cell r="G1500" t="str">
            <v>Осн.</v>
          </cell>
          <cell r="H1500" t="str">
            <v>Волгодонская</v>
          </cell>
          <cell r="I1500">
            <v>13</v>
          </cell>
        </row>
        <row r="1501">
          <cell r="C1501" t="str">
            <v>RO1236</v>
          </cell>
          <cell r="D1501" t="str">
            <v>52:индорсайт</v>
          </cell>
          <cell r="E1501" t="str">
            <v>Ростов-на-Дону Город, Пойменная Улица, дом 1, ТЦ Мегамаг</v>
          </cell>
          <cell r="F1501">
            <v>1.1200000000000001</v>
          </cell>
          <cell r="G1501" t="str">
            <v>Осн.</v>
          </cell>
          <cell r="H1501" t="str">
            <v>Ростовская</v>
          </cell>
          <cell r="I1501">
            <v>6</v>
          </cell>
        </row>
        <row r="1502">
          <cell r="C1502" t="str">
            <v>RO1239</v>
          </cell>
          <cell r="D1502" t="str">
            <v>52:индорсайт</v>
          </cell>
          <cell r="E1502" t="str">
            <v>Ростовская Область, Ростов-на-Дону Город, Космонавтов Проспект, дом 19А/28Ж ТЦ ПАРК</v>
          </cell>
          <cell r="F1502">
            <v>1.2</v>
          </cell>
          <cell r="G1502" t="str">
            <v>Осн.</v>
          </cell>
          <cell r="H1502" t="str">
            <v>Ростовская</v>
          </cell>
          <cell r="I1502">
            <v>10</v>
          </cell>
        </row>
        <row r="1503">
          <cell r="C1503" t="str">
            <v>RO1249</v>
          </cell>
          <cell r="D1503" t="str">
            <v>33:трубостойки, АМС инфраструктурного оператора</v>
          </cell>
          <cell r="E1503" t="str">
            <v>Район Неклиновский, Хутор Красный Десант, Улица Октябрьская, Здание 10</v>
          </cell>
          <cell r="F1503">
            <v>1.44</v>
          </cell>
          <cell r="G1503" t="str">
            <v>Доп.</v>
          </cell>
          <cell r="H1503" t="str">
            <v>Таганрогская</v>
          </cell>
          <cell r="I1503">
            <v>22</v>
          </cell>
        </row>
        <row r="1504">
          <cell r="C1504" t="str">
            <v>RO1252</v>
          </cell>
          <cell r="D1504" t="str">
            <v>33:трубостойки, АМС инфраструктурного оператора</v>
          </cell>
          <cell r="E1504" t="str">
            <v>Область Ростовская, Район Сальский, Город Сальск, Улица 8 Марта, Дом 86</v>
          </cell>
          <cell r="F1504">
            <v>1.2</v>
          </cell>
          <cell r="G1504" t="str">
            <v>Доп.</v>
          </cell>
          <cell r="H1504" t="str">
            <v>Сальская</v>
          </cell>
          <cell r="I1504">
            <v>10</v>
          </cell>
        </row>
        <row r="1505">
          <cell r="C1505" t="str">
            <v>RO1257</v>
          </cell>
          <cell r="D1505" t="str">
            <v>33:трубостойки, АМС инфраструктурного оператора</v>
          </cell>
          <cell r="E1505" t="str">
            <v>Область Ростовская, Район Мясниковский, Хутор Ленинаван\Баграмяна 31А</v>
          </cell>
          <cell r="F1505">
            <v>1.26</v>
          </cell>
          <cell r="G1505" t="str">
            <v>Осн.</v>
          </cell>
          <cell r="H1505" t="str">
            <v>Ростовская</v>
          </cell>
          <cell r="I1505">
            <v>13</v>
          </cell>
        </row>
        <row r="1506">
          <cell r="C1506" t="str">
            <v>RO1301</v>
          </cell>
          <cell r="D1506" t="str">
            <v>52:индорсайт</v>
          </cell>
          <cell r="E1506" t="str">
            <v>Ростовская Область, Аксайский Район, Грушевская Станица</v>
          </cell>
          <cell r="F1506">
            <v>1.8599999999999999</v>
          </cell>
          <cell r="G1506" t="str">
            <v>Осн.</v>
          </cell>
          <cell r="H1506" t="str">
            <v>Ростовская</v>
          </cell>
          <cell r="I1506">
            <v>43</v>
          </cell>
        </row>
        <row r="1507">
          <cell r="C1507" t="str">
            <v>RO1304</v>
          </cell>
          <cell r="D1507" t="str">
            <v>21:собст. АМС до 10 м на крыше</v>
          </cell>
          <cell r="E1507" t="str">
            <v>Область Ростовская, Город Ростов-на-Дону, Улица Максима Горького, Дом 51</v>
          </cell>
          <cell r="F1507">
            <v>1.02</v>
          </cell>
          <cell r="G1507" t="str">
            <v>Осн.</v>
          </cell>
          <cell r="H1507" t="str">
            <v>Ростовская</v>
          </cell>
          <cell r="I1507">
            <v>1</v>
          </cell>
        </row>
        <row r="1508">
          <cell r="C1508" t="str">
            <v>RO1306</v>
          </cell>
          <cell r="D1508" t="str">
            <v>33:трубостойки, АМС инфраструктурного оператора</v>
          </cell>
          <cell r="E1508" t="str">
            <v>Область Ростовская, Город Новошахтинск, Улица Стахановская, Дом 40\Литер А</v>
          </cell>
          <cell r="F1508">
            <v>2.6799999999999997</v>
          </cell>
          <cell r="G1508" t="str">
            <v>Осн.</v>
          </cell>
          <cell r="H1508" t="str">
            <v>Ростовская</v>
          </cell>
          <cell r="I1508">
            <v>84</v>
          </cell>
        </row>
        <row r="1509">
          <cell r="C1509" t="str">
            <v>RO1322</v>
          </cell>
          <cell r="D1509" t="str">
            <v>43:железобетонный столб - проект УЦН</v>
          </cell>
          <cell r="E1509" t="str">
            <v>Область Ростовская, Район Матвеево-Курганский, Поселок Ленинский, Улица Центральная\29А, примерно 28 м по направлению на запад</v>
          </cell>
          <cell r="F1509">
            <v>2.3600000000000003</v>
          </cell>
          <cell r="G1509" t="str">
            <v>Доп.</v>
          </cell>
          <cell r="H1509" t="str">
            <v>Таганрогская</v>
          </cell>
          <cell r="I1509">
            <v>68</v>
          </cell>
        </row>
        <row r="1510">
          <cell r="C1510" t="str">
            <v>RO1330</v>
          </cell>
          <cell r="D1510" t="str">
            <v>52:индорсайт</v>
          </cell>
          <cell r="E1510" t="str">
            <v>Ростовская Область, Ростов-на-Дону Город, Михаила Нагибина Проспект, дом 32/2\корпус 3</v>
          </cell>
          <cell r="F1510">
            <v>1.1400000000000001</v>
          </cell>
          <cell r="G1510" t="str">
            <v>Осн.</v>
          </cell>
          <cell r="H1510" t="str">
            <v>Ростовская</v>
          </cell>
          <cell r="I1510">
            <v>7</v>
          </cell>
        </row>
        <row r="1511">
          <cell r="C1511" t="str">
            <v>RO1344</v>
          </cell>
          <cell r="D1511" t="str">
            <v>31:трубостойки на чужой АМС на земле/крыше</v>
          </cell>
          <cell r="E1511" t="str">
            <v>Область Ростовская, Город Каменск-Шахтинский, Улица Красная, Дом 91\в юго-восточном направлении</v>
          </cell>
          <cell r="F1511">
            <v>1.04</v>
          </cell>
          <cell r="G1511" t="str">
            <v>Осн.</v>
          </cell>
          <cell r="H1511" t="str">
            <v>Каменская</v>
          </cell>
          <cell r="I1511">
            <v>2</v>
          </cell>
        </row>
        <row r="1512">
          <cell r="C1512" t="str">
            <v>RO1346</v>
          </cell>
          <cell r="D1512" t="str">
            <v>21:собст. АМС до 10 м на крыше</v>
          </cell>
          <cell r="E1512" t="str">
            <v>Ростовская Область, Ростов-на-Дону Город, Ленина Проспект\Проспект Ленина, 221</v>
          </cell>
          <cell r="F1512">
            <v>1.1599999999999999</v>
          </cell>
          <cell r="G1512" t="str">
            <v>Осн.</v>
          </cell>
          <cell r="H1512" t="str">
            <v>Ростовская</v>
          </cell>
          <cell r="I1512">
            <v>8</v>
          </cell>
        </row>
        <row r="1513">
          <cell r="C1513" t="str">
            <v>RO1353</v>
          </cell>
          <cell r="D1513" t="str">
            <v>33:трубостойки, АМС инфраструктурного оператора</v>
          </cell>
          <cell r="E1513" t="str">
            <v>Область Ростовская, Город Новошахтинск, Улица 10-я Шахтерская, Дом 9</v>
          </cell>
          <cell r="F1513">
            <v>2.76</v>
          </cell>
          <cell r="G1513" t="str">
            <v>Осн.</v>
          </cell>
          <cell r="H1513" t="str">
            <v>Ростовская</v>
          </cell>
          <cell r="I1513">
            <v>88</v>
          </cell>
        </row>
        <row r="1514">
          <cell r="C1514" t="str">
            <v>RO1359</v>
          </cell>
          <cell r="D1514" t="str">
            <v>21:собст. АМС до 10 м на крыше</v>
          </cell>
          <cell r="E1514" t="str">
            <v>Область Ростовская, Город Ростов-на-Дону, Улица Менжинского\2/1/13</v>
          </cell>
          <cell r="F1514">
            <v>1.22</v>
          </cell>
          <cell r="G1514" t="str">
            <v>Осн.</v>
          </cell>
          <cell r="H1514" t="str">
            <v>Ростовская</v>
          </cell>
          <cell r="I1514">
            <v>11</v>
          </cell>
        </row>
        <row r="1515">
          <cell r="C1515" t="str">
            <v>RO1388</v>
          </cell>
          <cell r="D1515" t="str">
            <v>43:железобетонный столб - проект УЦН</v>
          </cell>
          <cell r="E1515" t="str">
            <v>Ростовская Область, Красносулинский Район, Чернецов Хутор, Щаденко Улица, дом 5\32 м по направлению на юго-восток от границ участка</v>
          </cell>
          <cell r="F1515">
            <v>2.08</v>
          </cell>
          <cell r="G1515" t="str">
            <v>Осн.</v>
          </cell>
          <cell r="H1515" t="str">
            <v>Каменская</v>
          </cell>
          <cell r="I1515">
            <v>54</v>
          </cell>
        </row>
        <row r="1516">
          <cell r="C1516" t="str">
            <v>RO1397</v>
          </cell>
          <cell r="D1516" t="str">
            <v>33:трубостойки, АМС инфраструктурного оператора</v>
          </cell>
          <cell r="E1516" t="str">
            <v>Область Ростовская, Район Аксайский, Поселок Реконструктор, Улица Садовая, Дом 1</v>
          </cell>
          <cell r="F1516">
            <v>1.48</v>
          </cell>
          <cell r="G1516" t="str">
            <v>Осн.</v>
          </cell>
          <cell r="H1516" t="str">
            <v>Ростовская</v>
          </cell>
          <cell r="I1516">
            <v>24</v>
          </cell>
        </row>
        <row r="1517">
          <cell r="C1517" t="str">
            <v>RO1475</v>
          </cell>
          <cell r="D1517" t="str">
            <v>43:железобетонный столб - проект УЦН</v>
          </cell>
          <cell r="E1517" t="str">
            <v>Область Ростовская, Район Целинский, Село Хлебодарное, Улица Центральная</v>
          </cell>
          <cell r="F1517">
            <v>2.54</v>
          </cell>
          <cell r="G1517" t="str">
            <v>Доп.</v>
          </cell>
          <cell r="H1517" t="str">
            <v>Сальская</v>
          </cell>
          <cell r="I1517">
            <v>77</v>
          </cell>
        </row>
        <row r="1518">
          <cell r="C1518" t="str">
            <v>RO1619</v>
          </cell>
          <cell r="D1518" t="str">
            <v>43:железобетонный столб - проект УЦН</v>
          </cell>
          <cell r="E1518" t="str">
            <v>Область Ростовская, Район Веселовский, Хутор Казачий, Улица Школьная, Здание 16\Примерно 8 м. на северо-запад от границ участка по у. Школьная, 16.</v>
          </cell>
          <cell r="F1518">
            <v>3.38</v>
          </cell>
          <cell r="G1518" t="str">
            <v>Осн.</v>
          </cell>
          <cell r="H1518" t="str">
            <v>Ростовская</v>
          </cell>
          <cell r="I1518">
            <v>119</v>
          </cell>
        </row>
        <row r="1519">
          <cell r="C1519" t="str">
            <v>RO1653</v>
          </cell>
          <cell r="D1519" t="str">
            <v>43:железобетонный столб - проект УЦН</v>
          </cell>
          <cell r="E1519" t="str">
            <v>Область Ростовская, Район Волгодонской, Поселок Сибирьковый, Улица Братская\примерно 26 м на запад от границ участка ул. Братская, д. 9, д 1</v>
          </cell>
          <cell r="F1519">
            <v>1.5</v>
          </cell>
          <cell r="G1519" t="str">
            <v>Осн.</v>
          </cell>
          <cell r="H1519" t="str">
            <v>Волгодонская</v>
          </cell>
          <cell r="I1519">
            <v>25</v>
          </cell>
        </row>
        <row r="1520">
          <cell r="C1520" t="str">
            <v>RO1663</v>
          </cell>
          <cell r="D1520" t="str">
            <v>33:трубостойки, АМС инфраструктурного оператора</v>
          </cell>
          <cell r="E1520" t="str">
            <v>Город Гуково, Улица Средняя</v>
          </cell>
          <cell r="F1520">
            <v>2.1</v>
          </cell>
          <cell r="G1520" t="str">
            <v>Осн.</v>
          </cell>
          <cell r="H1520" t="str">
            <v>Каменская</v>
          </cell>
          <cell r="I1520">
            <v>55</v>
          </cell>
        </row>
        <row r="1521">
          <cell r="C1521" t="str">
            <v>RO1680</v>
          </cell>
          <cell r="D1521" t="str">
            <v>31:трубостойки на чужой АМС на земле/крыше</v>
          </cell>
          <cell r="E1521" t="str">
            <v>Ростовская Область, Миллеровский Район, Миллерово Город, Промышленная Улица, дом 18кА\АМС ФГУП РТРС</v>
          </cell>
          <cell r="F1521">
            <v>2.7199999999999998</v>
          </cell>
          <cell r="G1521" t="str">
            <v>Осн.</v>
          </cell>
          <cell r="H1521" t="str">
            <v>Каменская</v>
          </cell>
          <cell r="I1521">
            <v>86</v>
          </cell>
        </row>
        <row r="1522">
          <cell r="C1522" t="str">
            <v>RO1681</v>
          </cell>
          <cell r="D1522" t="str">
            <v>31:трубостойки на чужой АМС на земле/крыше</v>
          </cell>
          <cell r="E1522" t="str">
            <v>Ростовская Область, Миллеровский Район, Волошино Слобода, Буденного Улица\46-а, АМС ФГУП "РТРС"</v>
          </cell>
          <cell r="F1522">
            <v>3.32</v>
          </cell>
          <cell r="G1522" t="str">
            <v>Осн.</v>
          </cell>
          <cell r="H1522" t="str">
            <v>Каменская</v>
          </cell>
          <cell r="I1522">
            <v>116</v>
          </cell>
        </row>
        <row r="1523">
          <cell r="C1523" t="str">
            <v>RO1691</v>
          </cell>
          <cell r="D1523" t="str">
            <v>31:трубостойки на чужой АМС на земле/крыше</v>
          </cell>
          <cell r="E1523" t="str">
            <v>Ростовская Область, Чертковский Район, Чертково Поселок, Зеленопольская Улица, дом 1а\АМС ФГУП "РТРС"</v>
          </cell>
          <cell r="F1523">
            <v>4.38</v>
          </cell>
          <cell r="G1523" t="str">
            <v>Осн.</v>
          </cell>
          <cell r="H1523" t="str">
            <v>Каменская</v>
          </cell>
          <cell r="I1523">
            <v>169</v>
          </cell>
        </row>
        <row r="1524">
          <cell r="C1524" t="str">
            <v>RO1697</v>
          </cell>
          <cell r="D1524" t="str">
            <v>33:трубостойки, АМС инфраструктурного оператора</v>
          </cell>
          <cell r="E1524" t="str">
            <v>Район Миллеровский, Хутор Кумшацкий, Улица Майская</v>
          </cell>
          <cell r="F1524">
            <v>2.2800000000000002</v>
          </cell>
          <cell r="G1524" t="str">
            <v>Осн.</v>
          </cell>
          <cell r="H1524" t="str">
            <v>Каменская</v>
          </cell>
          <cell r="I1524">
            <v>64</v>
          </cell>
        </row>
        <row r="1525">
          <cell r="C1525" t="str">
            <v>RO1718</v>
          </cell>
          <cell r="D1525" t="str">
            <v>43:железобетонный столб - проект УЦН</v>
          </cell>
          <cell r="E1525" t="str">
            <v>Область Ростовская, Район Азовский, Поселок Васильево-Петровский\примерно 45 м. по направлению на северо-восток от границы участка по ул. Строителей, 21</v>
          </cell>
          <cell r="F1525">
            <v>2.1799999999999997</v>
          </cell>
          <cell r="G1525" t="str">
            <v>Осн.</v>
          </cell>
          <cell r="H1525" t="str">
            <v>Ростовская</v>
          </cell>
          <cell r="I1525">
            <v>59</v>
          </cell>
        </row>
        <row r="1526">
          <cell r="C1526" t="str">
            <v>RO1722</v>
          </cell>
          <cell r="D1526" t="str">
            <v>33:трубостойки, АМС инфраструктурного оператора</v>
          </cell>
          <cell r="E1526" t="str">
            <v>Область Ростовская, Город Азов\ул.Калинина, 15</v>
          </cell>
          <cell r="F1526">
            <v>1.78</v>
          </cell>
          <cell r="G1526" t="str">
            <v>Осн.</v>
          </cell>
          <cell r="H1526" t="str">
            <v>Ростовская</v>
          </cell>
          <cell r="I1526">
            <v>39</v>
          </cell>
        </row>
        <row r="1527">
          <cell r="C1527" t="str">
            <v>RO1770</v>
          </cell>
          <cell r="D1527" t="str">
            <v>33:трубостойки, АМС инфраструктурного оператора</v>
          </cell>
          <cell r="E1527" t="str">
            <v>Район Азовский, Село Самарское, ул. Казачья, в районе д1</v>
          </cell>
          <cell r="F1527">
            <v>1.8</v>
          </cell>
          <cell r="G1527" t="str">
            <v>Осн.</v>
          </cell>
          <cell r="H1527" t="str">
            <v>Ростовская</v>
          </cell>
          <cell r="I1527">
            <v>40</v>
          </cell>
        </row>
        <row r="1528">
          <cell r="C1528" t="str">
            <v>RO1781</v>
          </cell>
          <cell r="D1528" t="str">
            <v>43:железобетонный столб - проект УЦН</v>
          </cell>
          <cell r="E1528" t="str">
            <v>Область Ростовская, Район Родионово-Несветайский, Хутор Атамано-Власовка, Улица Чапаева, Дом 9\Примерно 43м. по направлению на северо-запад от границ участка по ул. Чапаева, 9</v>
          </cell>
          <cell r="F1528">
            <v>2.62</v>
          </cell>
          <cell r="G1528" t="str">
            <v>Осн.</v>
          </cell>
          <cell r="H1528" t="str">
            <v>Ростовская</v>
          </cell>
          <cell r="I1528">
            <v>81</v>
          </cell>
        </row>
        <row r="1529">
          <cell r="C1529" t="str">
            <v>RO1799</v>
          </cell>
          <cell r="D1529" t="str">
            <v>42:металлический столб - проект УЦН</v>
          </cell>
          <cell r="E1529" t="str">
            <v>Область Ростовская, Район Родионово-Несветайский, Хутор Маяки, Улица Первомайская, Дом 12\Примерно 20м.по направлению на юго-восток от гр. участка по ул. Первомайская, д. 12</v>
          </cell>
          <cell r="F1529">
            <v>2.6799999999999997</v>
          </cell>
          <cell r="G1529" t="str">
            <v>Осн.</v>
          </cell>
          <cell r="H1529" t="str">
            <v>Ростовская</v>
          </cell>
          <cell r="I1529">
            <v>84</v>
          </cell>
        </row>
        <row r="1530">
          <cell r="C1530" t="str">
            <v>RO1834</v>
          </cell>
          <cell r="D1530" t="str">
            <v>43:железобетонный столб - проект УЦН</v>
          </cell>
          <cell r="E1530" t="str">
            <v>Область Ростовская, Район Советский, Слобода Петрово, Улица Центральная, Домовладение 44\20 м на восток</v>
          </cell>
          <cell r="F1530">
            <v>6.22</v>
          </cell>
          <cell r="G1530" t="str">
            <v>Осн.</v>
          </cell>
          <cell r="H1530" t="str">
            <v>Каменская</v>
          </cell>
          <cell r="I1530">
            <v>261</v>
          </cell>
        </row>
        <row r="1531">
          <cell r="C1531" t="str">
            <v>RO1855</v>
          </cell>
          <cell r="D1531" t="str">
            <v>43:железобетонный столб - проект УЦН</v>
          </cell>
          <cell r="E1531" t="str">
            <v>Область Ростовская, Район Ремонтненский, Хутор Раздольный, Улица Центральная\примерно 60 м по направлению на северо-восток от границы участка по адресу: ул. Центральная, 17</v>
          </cell>
          <cell r="F1531">
            <v>4.82</v>
          </cell>
          <cell r="G1531" t="str">
            <v>Осн.</v>
          </cell>
          <cell r="H1531" t="str">
            <v>Волгодонская</v>
          </cell>
          <cell r="I1531">
            <v>191</v>
          </cell>
        </row>
        <row r="1532">
          <cell r="C1532" t="str">
            <v>RO1864</v>
          </cell>
          <cell r="D1532" t="str">
            <v>43:железобетонный столб - проект УЦН</v>
          </cell>
          <cell r="E1532" t="str">
            <v>Область Ростовская, Район Советский, Село Чистяково, Улица Западная, Домовладение 2\примерно 87 м по направлению на запад от границ участка с кад. номером: 61:36:0020101:45</v>
          </cell>
          <cell r="F1532">
            <v>5.72</v>
          </cell>
          <cell r="G1532" t="str">
            <v>Осн.</v>
          </cell>
          <cell r="H1532" t="str">
            <v>Каменская</v>
          </cell>
          <cell r="I1532">
            <v>236</v>
          </cell>
        </row>
        <row r="1533">
          <cell r="C1533" t="str">
            <v>RO1867</v>
          </cell>
          <cell r="D1533" t="str">
            <v>30:трубостойки на АМС БК Пилар</v>
          </cell>
          <cell r="E1533" t="str">
            <v>Область Ростовская, Район Красносулинский, Город Красный Сулин, Улица Ленина, Дом 28</v>
          </cell>
          <cell r="F1533">
            <v>3</v>
          </cell>
          <cell r="G1533" t="str">
            <v>Осн.</v>
          </cell>
          <cell r="H1533" t="str">
            <v>Ростовская</v>
          </cell>
          <cell r="I1533">
            <v>100</v>
          </cell>
        </row>
        <row r="1534">
          <cell r="C1534" t="str">
            <v>RO1876</v>
          </cell>
          <cell r="D1534" t="str">
            <v>31:трубостойки на чужой АМС на земле/крыше</v>
          </cell>
          <cell r="E1534" t="str">
            <v>Область Ростовская, Город Ростов-на-Дону, Улица Ткачева, Земельный участок 28</v>
          </cell>
          <cell r="F1534">
            <v>1.22</v>
          </cell>
          <cell r="G1534" t="str">
            <v>Осн.</v>
          </cell>
          <cell r="H1534" t="str">
            <v>Ростовская</v>
          </cell>
          <cell r="I1534">
            <v>11</v>
          </cell>
        </row>
        <row r="1535">
          <cell r="C1535" t="str">
            <v>RO1879</v>
          </cell>
          <cell r="D1535" t="str">
            <v>30:трубостойки на АМС БК Пилар</v>
          </cell>
          <cell r="E1535" t="str">
            <v>Область Ростовская, Город Ростов-на-Дону, Переулок Радиаторный, Дом 11/1</v>
          </cell>
          <cell r="F1535">
            <v>1.18</v>
          </cell>
          <cell r="G1535" t="str">
            <v>Осн.</v>
          </cell>
          <cell r="H1535" t="str">
            <v>Ростовская</v>
          </cell>
          <cell r="I1535">
            <v>9</v>
          </cell>
        </row>
        <row r="1536">
          <cell r="C1536" t="str">
            <v>RO1882</v>
          </cell>
          <cell r="D1536" t="str">
            <v>31:трубостойки на чужой АМС на земле/крыше</v>
          </cell>
          <cell r="E1536" t="str">
            <v>Область Ростовская, Город Батайск, Улица Котова\0,05 км севернее дома №24 корп. 1</v>
          </cell>
          <cell r="F1536">
            <v>1.34</v>
          </cell>
          <cell r="G1536" t="str">
            <v>Осн.</v>
          </cell>
          <cell r="H1536" t="str">
            <v>Ростовская</v>
          </cell>
          <cell r="I1536">
            <v>17</v>
          </cell>
        </row>
        <row r="1537">
          <cell r="C1537" t="str">
            <v>RO1886</v>
          </cell>
          <cell r="D1537" t="str">
            <v>33:трубостойки, АМС инфраструктурного оператора</v>
          </cell>
          <cell r="E1537" t="str">
            <v>Область Ростовская, Район Аксайский, Поселок Верхнетемерницкий, Переулок Фобоса, Домовладение 1/24</v>
          </cell>
          <cell r="F1537">
            <v>1.32</v>
          </cell>
          <cell r="G1537" t="str">
            <v>Осн.</v>
          </cell>
          <cell r="H1537" t="str">
            <v>Ростовская</v>
          </cell>
          <cell r="I1537">
            <v>16</v>
          </cell>
        </row>
        <row r="1538">
          <cell r="C1538" t="str">
            <v>RO1892</v>
          </cell>
          <cell r="D1538" t="str">
            <v>30:трубостойки на АМС БК Пилар</v>
          </cell>
          <cell r="E1538" t="str">
            <v>Область Ростовская, Район Аксайский\Трасса "М4 Дон" 1078 км.</v>
          </cell>
          <cell r="F1538">
            <v>1.54</v>
          </cell>
          <cell r="G1538" t="str">
            <v>Осн.</v>
          </cell>
          <cell r="H1538" t="str">
            <v>Ростовская</v>
          </cell>
          <cell r="I1538">
            <v>27</v>
          </cell>
        </row>
        <row r="1539">
          <cell r="C1539" t="str">
            <v>RO1893</v>
          </cell>
          <cell r="D1539" t="str">
            <v>33:трубостойки, АМС инфраструктурного оператора</v>
          </cell>
          <cell r="E1539" t="str">
            <v>Область Ростовская, Город Волгодонск, Проспект Мира\примерно в 290 м. на северо-восток от д. 107</v>
          </cell>
          <cell r="F1539">
            <v>1.18</v>
          </cell>
          <cell r="G1539" t="str">
            <v>Осн.</v>
          </cell>
          <cell r="H1539" t="str">
            <v>Волгодонская</v>
          </cell>
          <cell r="I1539">
            <v>9</v>
          </cell>
        </row>
        <row r="1540">
          <cell r="C1540" t="str">
            <v>RO1904</v>
          </cell>
          <cell r="D1540" t="str">
            <v>33:трубостойки, АМС инфраструктурного оператора</v>
          </cell>
          <cell r="E1540" t="str">
            <v>Область Ростовская, Город Ростов-на-Дону, Улица Молодежная, Дом 53/12</v>
          </cell>
          <cell r="F1540">
            <v>1.22</v>
          </cell>
          <cell r="G1540" t="str">
            <v>Осн.</v>
          </cell>
          <cell r="H1540" t="str">
            <v>Ростовская</v>
          </cell>
          <cell r="I1540">
            <v>11</v>
          </cell>
        </row>
        <row r="1541">
          <cell r="C1541" t="str">
            <v>RO1905</v>
          </cell>
          <cell r="D1541" t="str">
            <v>33:трубостойки, АМС инфраструктурного оператора</v>
          </cell>
          <cell r="E1541" t="str">
            <v>Область Ростовская, Город Ростов-на-Дону, Улица Зои Космодемьянской, Дом 4</v>
          </cell>
          <cell r="F1541">
            <v>1.26</v>
          </cell>
          <cell r="G1541" t="str">
            <v>Осн.</v>
          </cell>
          <cell r="H1541" t="str">
            <v>Ростовская</v>
          </cell>
          <cell r="I1541">
            <v>13</v>
          </cell>
        </row>
        <row r="1542">
          <cell r="C1542" t="str">
            <v>RO1929</v>
          </cell>
          <cell r="D1542" t="str">
            <v>31:трубостойки на чужой АМС на земле/крыше</v>
          </cell>
          <cell r="E1542" t="str">
            <v>Ростовская Область, Верхнедонской Район, Сухой Лог Хутор, Сухологская Улица, дом стр30\АМС ФГУП РТРС</v>
          </cell>
          <cell r="F1542">
            <v>5.9</v>
          </cell>
          <cell r="G1542" t="str">
            <v>Осн.</v>
          </cell>
          <cell r="H1542" t="str">
            <v>Каменская</v>
          </cell>
          <cell r="I1542">
            <v>245</v>
          </cell>
        </row>
        <row r="1543">
          <cell r="C1543" t="str">
            <v>RO1933</v>
          </cell>
          <cell r="D1543" t="str">
            <v>31:трубостойки на чужой АМС на земле/крыше</v>
          </cell>
          <cell r="E1543" t="str">
            <v>Ростовская Область, Новочеркасск Город, Бабушкина Улица, дом 116\АМС ФГУП РТРС</v>
          </cell>
          <cell r="F1543">
            <v>1.8199999999999998</v>
          </cell>
          <cell r="G1543" t="str">
            <v>Осн.</v>
          </cell>
          <cell r="H1543" t="str">
            <v>Ростовская</v>
          </cell>
          <cell r="I1543">
            <v>41</v>
          </cell>
        </row>
        <row r="1544">
          <cell r="C1544" t="str">
            <v>RO1938</v>
          </cell>
          <cell r="D1544" t="str">
            <v>31:трубостойки на чужой АМС на земле/крыше</v>
          </cell>
          <cell r="E1544" t="str">
            <v>Область Ростовская, Район Азовский, Село Александровка, Улица Красная, Дом 21\А, АМС ФГУП РТРС</v>
          </cell>
          <cell r="F1544">
            <v>2.7800000000000002</v>
          </cell>
          <cell r="G1544" t="str">
            <v>Осн.</v>
          </cell>
          <cell r="H1544" t="str">
            <v>Ростовская</v>
          </cell>
          <cell r="I1544">
            <v>89</v>
          </cell>
        </row>
        <row r="1545">
          <cell r="C1545" t="str">
            <v>RO1939</v>
          </cell>
          <cell r="D1545" t="str">
            <v>30:трубостойки на АМС БК Пилар</v>
          </cell>
          <cell r="E1545" t="str">
            <v>Область Ростовская, Город Батайск, Улица 1-й Пятилетки, Дом 12</v>
          </cell>
          <cell r="F1545">
            <v>1.28</v>
          </cell>
          <cell r="G1545" t="str">
            <v>Осн.</v>
          </cell>
          <cell r="H1545" t="str">
            <v>Ростовская</v>
          </cell>
          <cell r="I1545">
            <v>14</v>
          </cell>
        </row>
        <row r="1546">
          <cell r="C1546" t="str">
            <v>RO1949</v>
          </cell>
          <cell r="D1546" t="str">
            <v>53:репитер</v>
          </cell>
          <cell r="E1546" t="str">
            <v>Область Ростовская, Город Ростов-на-Дону, Улица Таганрогская, Дом 112а</v>
          </cell>
          <cell r="F1546">
            <v>1.24</v>
          </cell>
          <cell r="G1546" t="str">
            <v>Осн.</v>
          </cell>
          <cell r="H1546" t="str">
            <v>Ростовская</v>
          </cell>
          <cell r="I1546">
            <v>12</v>
          </cell>
        </row>
        <row r="1547">
          <cell r="C1547" t="str">
            <v>RO1950</v>
          </cell>
          <cell r="D1547" t="str">
            <v>53:репитер</v>
          </cell>
          <cell r="E1547" t="str">
            <v>Область Ростовская, Город Шахты, Улица Первомайская, Домовладение 41</v>
          </cell>
          <cell r="F1547">
            <v>2.6399999999999997</v>
          </cell>
          <cell r="G1547" t="str">
            <v>Осн.</v>
          </cell>
          <cell r="H1547" t="str">
            <v>Ростовская</v>
          </cell>
          <cell r="I1547">
            <v>82</v>
          </cell>
        </row>
        <row r="1548">
          <cell r="C1548" t="str">
            <v>RO1955</v>
          </cell>
          <cell r="D1548" t="str">
            <v>53:репитер</v>
          </cell>
          <cell r="E1548" t="str">
            <v xml:space="preserve"> Область Ростовская, Город Ростов-на-Дону, Проспект Ворошиловский, Дом 35/107</v>
          </cell>
          <cell r="F1548">
            <v>1.06</v>
          </cell>
          <cell r="G1548" t="str">
            <v>Осн.</v>
          </cell>
          <cell r="H1548" t="str">
            <v>Ростовская</v>
          </cell>
          <cell r="I1548">
            <v>3</v>
          </cell>
        </row>
        <row r="1549">
          <cell r="C1549" t="str">
            <v>RO1964</v>
          </cell>
          <cell r="D1549" t="str">
            <v>33:трубостойки, АМС инфраструктурного оператора</v>
          </cell>
          <cell r="E1549" t="str">
            <v>Ростовская область, город Волгодонск, Молодёжная улица, 1А</v>
          </cell>
          <cell r="F1549">
            <v>1.1400000000000001</v>
          </cell>
          <cell r="G1549" t="str">
            <v>Осн.</v>
          </cell>
          <cell r="H1549" t="str">
            <v>Волгодонская</v>
          </cell>
          <cell r="I1549">
            <v>7</v>
          </cell>
        </row>
        <row r="1550">
          <cell r="C1550" t="str">
            <v>RO1969</v>
          </cell>
          <cell r="D1550" t="str">
            <v>30:трубостойки на АМС БК Пилар</v>
          </cell>
          <cell r="E1550" t="str">
            <v>Область Ростовская, Город Таганрог, Улица Морозова, Земельный участок 20-б</v>
          </cell>
          <cell r="F1550">
            <v>1.04</v>
          </cell>
          <cell r="G1550" t="str">
            <v>Доп.</v>
          </cell>
          <cell r="H1550" t="str">
            <v>Таганрогская</v>
          </cell>
          <cell r="I1550">
            <v>2</v>
          </cell>
        </row>
        <row r="1551">
          <cell r="C1551" t="str">
            <v>RO1990</v>
          </cell>
          <cell r="D1551" t="str">
            <v>31:трубостойки на чужой АМС на земле/крыше</v>
          </cell>
          <cell r="E1551" t="str">
            <v>Район Красносулинский, СПК «Дружба»</v>
          </cell>
          <cell r="F1551">
            <v>3.2</v>
          </cell>
          <cell r="G1551" t="str">
            <v>Осн.</v>
          </cell>
          <cell r="H1551" t="str">
            <v>Ростовская</v>
          </cell>
          <cell r="I1551">
            <v>110</v>
          </cell>
        </row>
        <row r="1552">
          <cell r="C1552" t="str">
            <v>RO2031</v>
          </cell>
          <cell r="D1552" t="str">
            <v>30:трубостойки на АМС БК Пилар</v>
          </cell>
          <cell r="E1552" t="str">
            <v>Область Ростовская, Район Аксайский\Трасса "М4 Дон" 1028 км</v>
          </cell>
          <cell r="F1552">
            <v>2.2000000000000002</v>
          </cell>
          <cell r="G1552" t="str">
            <v>Осн.</v>
          </cell>
          <cell r="H1552" t="str">
            <v>Ростовская</v>
          </cell>
          <cell r="I1552">
            <v>60</v>
          </cell>
        </row>
        <row r="1553">
          <cell r="C1553" t="str">
            <v>RO2047</v>
          </cell>
          <cell r="D1553" t="str">
            <v>21:собст. АМС до 10 м на крыше</v>
          </cell>
          <cell r="E1553" t="str">
            <v>Область Ростовская, Город Ростов-на-Дону, Проспект Космонавтов, Дом 41б</v>
          </cell>
          <cell r="F1553">
            <v>1.22</v>
          </cell>
          <cell r="G1553" t="str">
            <v>Осн.</v>
          </cell>
          <cell r="H1553" t="str">
            <v>Ростовская</v>
          </cell>
          <cell r="I1553">
            <v>11</v>
          </cell>
        </row>
        <row r="1554">
          <cell r="C1554" t="str">
            <v>RO2087</v>
          </cell>
          <cell r="D1554" t="str">
            <v>30:трубостойки на АМС БК Пилар</v>
          </cell>
          <cell r="E1554" t="str">
            <v>Область Ростовская, Район Азовский, Поселок Тимирязевский, Улица Молодежная, Земельный участок 6А\45 м на юго восток</v>
          </cell>
          <cell r="F1554">
            <v>1.7</v>
          </cell>
          <cell r="G1554" t="str">
            <v>Осн.</v>
          </cell>
          <cell r="H1554" t="str">
            <v>Ростовская</v>
          </cell>
          <cell r="I1554">
            <v>35</v>
          </cell>
        </row>
        <row r="1555">
          <cell r="C1555" t="str">
            <v>RO2098</v>
          </cell>
          <cell r="D1555" t="str">
            <v>33:трубостойки, АМС инфраструктурного оператора</v>
          </cell>
          <cell r="E1555" t="str">
            <v>Область Ростовская, Район Миллеровский, Хутор Ленина\восточная сторона</v>
          </cell>
          <cell r="F1555">
            <v>2.98</v>
          </cell>
          <cell r="G1555" t="str">
            <v>Осн.</v>
          </cell>
          <cell r="H1555" t="str">
            <v>Каменская</v>
          </cell>
          <cell r="I1555">
            <v>99</v>
          </cell>
        </row>
        <row r="1556">
          <cell r="C1556" t="str">
            <v>RO2103</v>
          </cell>
          <cell r="D1556" t="str">
            <v>21:собст. АМС до 10 м на крыше</v>
          </cell>
          <cell r="E1556" t="str">
            <v>Город Ростов-на-Дону, Улица 2-я Краснодарская\143</v>
          </cell>
          <cell r="F1556">
            <v>1.1400000000000001</v>
          </cell>
          <cell r="G1556" t="str">
            <v>Осн.</v>
          </cell>
          <cell r="H1556" t="str">
            <v>Ростовская</v>
          </cell>
          <cell r="I1556">
            <v>7</v>
          </cell>
        </row>
        <row r="1557">
          <cell r="C1557" t="str">
            <v>RO2138</v>
          </cell>
          <cell r="D1557" t="str">
            <v>31:трубостойки на чужой АМС на земле/крыше</v>
          </cell>
          <cell r="E1557" t="str">
            <v>Область Ростовская, Район Ремонтненский, Поселок Денисовский, Улица Садовая, Дом 21\АМС ФГУП "РТРС"</v>
          </cell>
          <cell r="F1557">
            <v>5.0199999999999996</v>
          </cell>
          <cell r="G1557" t="str">
            <v>Осн.</v>
          </cell>
          <cell r="H1557" t="str">
            <v>Волгодонская</v>
          </cell>
          <cell r="I1557">
            <v>201</v>
          </cell>
        </row>
        <row r="1558">
          <cell r="C1558" t="str">
            <v>RO2139</v>
          </cell>
          <cell r="D1558" t="str">
            <v>43:железобетонный столб - проект УЦН</v>
          </cell>
          <cell r="E1558" t="str">
            <v>Область Ростовская, Район Миллеровский, Хутор Новорусский, Улица Рубежная, Здание 29а\60 м по направлению на северо-восток</v>
          </cell>
          <cell r="F1558">
            <v>3.5</v>
          </cell>
          <cell r="G1558" t="str">
            <v>Осн.</v>
          </cell>
          <cell r="H1558" t="str">
            <v>Каменская</v>
          </cell>
          <cell r="I1558">
            <v>125</v>
          </cell>
        </row>
        <row r="1559">
          <cell r="C1559" t="str">
            <v>RO2144</v>
          </cell>
          <cell r="D1559" t="str">
            <v>33:трубостойки, АМС инфраструктурного оператора</v>
          </cell>
          <cell r="E1559" t="str">
            <v>Область Ростовская, Город Ростов-на-Дону, Улица Калинина, Дом 78/26</v>
          </cell>
          <cell r="F1559">
            <v>1.1400000000000001</v>
          </cell>
          <cell r="G1559" t="str">
            <v>Осн.</v>
          </cell>
          <cell r="H1559" t="str">
            <v>Ростовская</v>
          </cell>
          <cell r="I1559">
            <v>7</v>
          </cell>
        </row>
        <row r="1560">
          <cell r="C1560" t="str">
            <v>RO2146</v>
          </cell>
          <cell r="D1560" t="str">
            <v>30:трубостойки на АМС БК Пилар</v>
          </cell>
          <cell r="E1560" t="str">
            <v>Область Ростовская, Район Заветинский, Село Тюльпаны\примерно 3 м по направлению на север от границ земельного участка по адресу: пер. Центральный, 9 а</v>
          </cell>
          <cell r="F1560">
            <v>4.32</v>
          </cell>
          <cell r="G1560" t="str">
            <v>Осн.</v>
          </cell>
          <cell r="H1560" t="str">
            <v>Волгодонская</v>
          </cell>
          <cell r="I1560">
            <v>166</v>
          </cell>
        </row>
        <row r="1561">
          <cell r="C1561" t="str">
            <v>RO2155</v>
          </cell>
          <cell r="D1561" t="str">
            <v>33:трубостойки, АМС инфраструктурного оператора</v>
          </cell>
          <cell r="E1561" t="str">
            <v>Область Ростовская, Город Ростов-на-Дону, Проспект Стачки\в районе д. 184</v>
          </cell>
          <cell r="F1561">
            <v>1.1400000000000001</v>
          </cell>
          <cell r="G1561" t="str">
            <v>Осн.</v>
          </cell>
          <cell r="H1561" t="str">
            <v>Ростовская</v>
          </cell>
          <cell r="I1561">
            <v>7</v>
          </cell>
        </row>
        <row r="1562">
          <cell r="C1562" t="str">
            <v>RO2163</v>
          </cell>
          <cell r="D1562" t="str">
            <v>31:трубостойки на чужой АМС на земле/крыше</v>
          </cell>
          <cell r="E1562" t="str">
            <v>Область Ростовская, Район Дубовский, Хутор Присальский\АМС ФГУП РТРС</v>
          </cell>
          <cell r="F1562">
            <v>3.78</v>
          </cell>
          <cell r="G1562" t="str">
            <v>Осн.</v>
          </cell>
          <cell r="H1562" t="str">
            <v>Волгодонская</v>
          </cell>
          <cell r="I1562">
            <v>139</v>
          </cell>
        </row>
        <row r="1563">
          <cell r="C1563" t="str">
            <v>RO2166</v>
          </cell>
          <cell r="D1563" t="str">
            <v>21:собст. АМС до 10 м на крыше</v>
          </cell>
          <cell r="E1563" t="str">
            <v>Область Ростовская, Город Ростов-на-Дону, Улица Мечникова, Дом 110, Строение 1</v>
          </cell>
          <cell r="F1563">
            <v>1.1000000000000001</v>
          </cell>
          <cell r="G1563" t="str">
            <v>Осн.</v>
          </cell>
          <cell r="H1563" t="str">
            <v>Ростовская</v>
          </cell>
          <cell r="I1563">
            <v>5</v>
          </cell>
        </row>
        <row r="1564">
          <cell r="C1564" t="str">
            <v>RO2169</v>
          </cell>
          <cell r="D1564" t="str">
            <v>21:собст. АМС до 10 м на крыше</v>
          </cell>
          <cell r="E1564" t="str">
            <v>Область Ростовская, Город Ростов-на-Дону, Улица Берберовская, Дом 26, Строение 1</v>
          </cell>
          <cell r="F1564">
            <v>1.22</v>
          </cell>
          <cell r="G1564" t="str">
            <v>Осн.</v>
          </cell>
          <cell r="H1564" t="str">
            <v>Ростовская</v>
          </cell>
          <cell r="I1564">
            <v>11</v>
          </cell>
        </row>
        <row r="1565">
          <cell r="C1565" t="str">
            <v>RO2177</v>
          </cell>
          <cell r="D1565" t="str">
            <v>33:трубостойки, АМС инфраструктурного оператора</v>
          </cell>
          <cell r="E1565" t="str">
            <v>Область Ростовская, Город Ростов-на-Дону, Переулок Игарский\66</v>
          </cell>
          <cell r="F1565">
            <v>1.22</v>
          </cell>
          <cell r="G1565" t="str">
            <v>Осн.</v>
          </cell>
          <cell r="H1565" t="str">
            <v>Ростовская</v>
          </cell>
          <cell r="I1565">
            <v>11</v>
          </cell>
        </row>
        <row r="1566">
          <cell r="C1566" t="str">
            <v>RO2179</v>
          </cell>
          <cell r="D1566" t="str">
            <v>33:трубостойки, АМС инфраструктурного оператора</v>
          </cell>
          <cell r="E1566" t="str">
            <v>Область Ростовская, Город Ростов-на-Дону, Улица Дачная\в районе дома №10</v>
          </cell>
          <cell r="F1566">
            <v>1.18</v>
          </cell>
          <cell r="G1566" t="str">
            <v>Осн.</v>
          </cell>
          <cell r="H1566" t="str">
            <v>Ростовская</v>
          </cell>
          <cell r="I1566">
            <v>9</v>
          </cell>
        </row>
        <row r="1567">
          <cell r="C1567" t="str">
            <v>RO2189</v>
          </cell>
          <cell r="D1567" t="str">
            <v>33:трубостойки, АМС инфраструктурного оператора</v>
          </cell>
          <cell r="E1567" t="str">
            <v>Ростовская Область, Шахты Город, Советская Улица, дом 54</v>
          </cell>
          <cell r="F1567">
            <v>2.62</v>
          </cell>
          <cell r="G1567" t="str">
            <v>Осн.</v>
          </cell>
          <cell r="H1567" t="str">
            <v>Ростовская</v>
          </cell>
          <cell r="I1567">
            <v>81</v>
          </cell>
        </row>
        <row r="1568">
          <cell r="C1568" t="str">
            <v>RO2226</v>
          </cell>
          <cell r="D1568" t="str">
            <v>43:железобетонный столб - проект УЦН</v>
          </cell>
          <cell r="E1568" t="str">
            <v>Область Ростовская, Район Сальский, Поселок Сальский Беслан</v>
          </cell>
          <cell r="F1568">
            <v>1.34</v>
          </cell>
          <cell r="G1568" t="str">
            <v>Доп.</v>
          </cell>
          <cell r="H1568" t="str">
            <v>Сальская</v>
          </cell>
          <cell r="I1568">
            <v>17</v>
          </cell>
        </row>
        <row r="1569">
          <cell r="C1569" t="str">
            <v>RO2229</v>
          </cell>
          <cell r="D1569" t="str">
            <v>33:трубостойки, АМС инфраструктурного оператора</v>
          </cell>
          <cell r="E1569" t="str">
            <v>Ростов-на-Дону, Улица Масштабная, Домовладение 82/26.</v>
          </cell>
          <cell r="F1569">
            <v>1.3</v>
          </cell>
          <cell r="G1569" t="str">
            <v>Осн.</v>
          </cell>
          <cell r="H1569" t="str">
            <v>Ростовская</v>
          </cell>
          <cell r="I1569">
            <v>15</v>
          </cell>
        </row>
        <row r="1570">
          <cell r="C1570" t="str">
            <v>RO2249</v>
          </cell>
          <cell r="D1570" t="str">
            <v>31:трубостойки на чужой АМС на земле/крыше</v>
          </cell>
          <cell r="E1570" t="str">
            <v> Город Волгодонск, район ул. Прохладной</v>
          </cell>
          <cell r="F1570">
            <v>1.1400000000000001</v>
          </cell>
          <cell r="G1570" t="str">
            <v>Осн.</v>
          </cell>
          <cell r="H1570" t="str">
            <v>Волгодонская</v>
          </cell>
          <cell r="I1570">
            <v>7</v>
          </cell>
        </row>
        <row r="1571">
          <cell r="C1571" t="str">
            <v>RO2250</v>
          </cell>
          <cell r="D1571" t="str">
            <v>21:собст. АМС до 10 м на крыше</v>
          </cell>
          <cell r="E1571" t="str">
            <v>Область Ростовская, Город Волгодонск, Улица Энтузиастов, Дом 52</v>
          </cell>
          <cell r="F1571">
            <v>1.1599999999999999</v>
          </cell>
          <cell r="G1571" t="str">
            <v>Осн.</v>
          </cell>
          <cell r="H1571" t="str">
            <v>Волгодонская</v>
          </cell>
          <cell r="I1571">
            <v>8</v>
          </cell>
        </row>
        <row r="1572">
          <cell r="C1572" t="str">
            <v>RO2292</v>
          </cell>
          <cell r="D1572" t="str">
            <v>30:трубостойки на АМС БК Пилар</v>
          </cell>
          <cell r="E1572" t="str">
            <v>Область Ростовская, Район Неклиновский, Хутор Рожок, Улица Северная, Дом 27\13 м по направлению на запад</v>
          </cell>
          <cell r="F1572">
            <v>1.9</v>
          </cell>
          <cell r="G1572" t="str">
            <v>Доп.</v>
          </cell>
          <cell r="H1572" t="str">
            <v>Таганрогская</v>
          </cell>
          <cell r="I1572">
            <v>45</v>
          </cell>
        </row>
        <row r="1573">
          <cell r="C1573" t="str">
            <v>RO2297</v>
          </cell>
          <cell r="D1573" t="str">
            <v>43:железобетонный столб - проект УЦН</v>
          </cell>
          <cell r="E1573" t="str">
            <v>Область Ростовская, Район Обливский, Хутор Леонов, Улица Шолохова, Домовладение 11\11 м по направлению на восток от границ участка с кадастровым номером: 61:27:0010401:3</v>
          </cell>
          <cell r="F1573">
            <v>5.76</v>
          </cell>
          <cell r="G1573" t="str">
            <v>Осн.</v>
          </cell>
          <cell r="H1573" t="str">
            <v>Волгодонская</v>
          </cell>
          <cell r="I1573">
            <v>238</v>
          </cell>
        </row>
        <row r="1574">
          <cell r="C1574" t="str">
            <v>RO2320</v>
          </cell>
          <cell r="D1574" t="str">
            <v>21:собст. АМС до 10 м на крыше</v>
          </cell>
          <cell r="E1574" t="str">
            <v>Область Ростовская, Город Волгодонск, Проспект Мира, Дом 57 (Кровля 9-ти этажного жилого дома</v>
          </cell>
          <cell r="F1574">
            <v>1.1599999999999999</v>
          </cell>
          <cell r="G1574" t="str">
            <v>Осн.</v>
          </cell>
          <cell r="H1574" t="str">
            <v>Волгодонская</v>
          </cell>
          <cell r="I1574">
            <v>8</v>
          </cell>
        </row>
        <row r="1575">
          <cell r="C1575" t="str">
            <v>RO2321</v>
          </cell>
          <cell r="D1575" t="str">
            <v>21:собст. АМС до 10 м на крыше</v>
          </cell>
          <cell r="E1575" t="str">
            <v>Город Волгодонск, Проспект Мира, Дом 39</v>
          </cell>
          <cell r="F1575">
            <v>1.2</v>
          </cell>
          <cell r="G1575" t="str">
            <v>Осн.</v>
          </cell>
          <cell r="H1575" t="str">
            <v>Волгодонская</v>
          </cell>
          <cell r="I1575">
            <v>10</v>
          </cell>
        </row>
        <row r="1576">
          <cell r="C1576" t="str">
            <v>RO2338</v>
          </cell>
          <cell r="D1576" t="str">
            <v>31:трубостойки на чужой АМС на земле/крыше</v>
          </cell>
          <cell r="E1576" t="str">
            <v>Область Ростовская, Район Неклиновский, Село Николаевка, Сад Арго\15 метров восточнее участка 77</v>
          </cell>
          <cell r="F1576">
            <v>1.28</v>
          </cell>
          <cell r="G1576" t="str">
            <v>Доп.</v>
          </cell>
          <cell r="H1576" t="str">
            <v>Таганрогская</v>
          </cell>
          <cell r="I1576">
            <v>14</v>
          </cell>
        </row>
        <row r="1577">
          <cell r="C1577" t="str">
            <v>RO2346</v>
          </cell>
          <cell r="D1577" t="str">
            <v>31:трубостойки на чужой АМС на земле/крыше</v>
          </cell>
          <cell r="E1577" t="str">
            <v>Область Ростовская, Район Красносулинский, на землях СПК «Русь»</v>
          </cell>
          <cell r="F1577">
            <v>3</v>
          </cell>
          <cell r="G1577" t="str">
            <v>Осн.</v>
          </cell>
          <cell r="H1577" t="str">
            <v>Ростовская</v>
          </cell>
          <cell r="I1577">
            <v>100</v>
          </cell>
        </row>
        <row r="1578">
          <cell r="C1578" t="str">
            <v>RO2347</v>
          </cell>
          <cell r="D1578" t="str">
            <v>30:трубостойки на АМС БК Пилар</v>
          </cell>
          <cell r="E1578" t="str">
            <v>Область Ростовская, Район Аксайский\Трасса "М4 Дон" 1091 км.</v>
          </cell>
          <cell r="F1578">
            <v>1.5</v>
          </cell>
          <cell r="G1578" t="str">
            <v>Осн.</v>
          </cell>
          <cell r="H1578" t="str">
            <v>Ростовская</v>
          </cell>
          <cell r="I1578">
            <v>25</v>
          </cell>
        </row>
        <row r="1579">
          <cell r="C1579" t="str">
            <v>RO2353</v>
          </cell>
          <cell r="D1579" t="str">
            <v>43:железобетонный столб - проект УЦН</v>
          </cell>
          <cell r="E1579" t="str">
            <v xml:space="preserve"> Область Ростовская, Район Красносулинский, Хутор Бобров, Улица Школьная, Дом 4а\примерно 11 м по направлению на запад</v>
          </cell>
          <cell r="F1579">
            <v>3.4</v>
          </cell>
          <cell r="G1579" t="str">
            <v>Осн.</v>
          </cell>
          <cell r="H1579" t="str">
            <v>Ростовская</v>
          </cell>
          <cell r="I1579">
            <v>120</v>
          </cell>
        </row>
        <row r="1580">
          <cell r="C1580" t="str">
            <v>RO2355</v>
          </cell>
          <cell r="D1580" t="str">
            <v>43:железобетонный столб - проект УЦН</v>
          </cell>
          <cell r="E1580" t="str">
            <v>Область Ростовская, Район Красносулинский, Хутор Украинский, Улица Кооперативная, Дом 23\примерно 108 м по направлению на юго-восток</v>
          </cell>
          <cell r="F1580">
            <v>3.34</v>
          </cell>
          <cell r="G1580" t="str">
            <v>Осн.</v>
          </cell>
          <cell r="H1580" t="str">
            <v>Ростовская</v>
          </cell>
          <cell r="I1580">
            <v>117</v>
          </cell>
        </row>
        <row r="1581">
          <cell r="C1581" t="str">
            <v>RO2356</v>
          </cell>
          <cell r="D1581" t="str">
            <v>43:железобетонный столб - проект УЦН</v>
          </cell>
          <cell r="E1581" t="str">
            <v>Область Ростовская, Район Красносулинский, Хутор Черников, Улица Южная, Дом 46\примерно 72 м по направлению на запад</v>
          </cell>
          <cell r="F1581">
            <v>2.56</v>
          </cell>
          <cell r="G1581" t="str">
            <v>Осн.</v>
          </cell>
          <cell r="H1581" t="str">
            <v>Ростовская</v>
          </cell>
          <cell r="I1581">
            <v>78</v>
          </cell>
        </row>
        <row r="1582">
          <cell r="C1582" t="str">
            <v>RO2361</v>
          </cell>
          <cell r="D1582" t="str">
            <v>43:железобетонный столб - проект УЦН</v>
          </cell>
          <cell r="E1582" t="str">
            <v>Ростовская, Район Тарасовский, Хутор Патроновка</v>
          </cell>
          <cell r="F1582">
            <v>3.56</v>
          </cell>
          <cell r="G1582" t="str">
            <v>Осн.</v>
          </cell>
          <cell r="H1582" t="str">
            <v>Каменская</v>
          </cell>
          <cell r="I1582">
            <v>128</v>
          </cell>
        </row>
        <row r="1583">
          <cell r="C1583" t="str">
            <v>RO2362</v>
          </cell>
          <cell r="D1583" t="str">
            <v>43:железобетонный столб - проект УЦН</v>
          </cell>
          <cell r="E1583" t="str">
            <v>Область Ростовская, Район Тарасовский, Хутор Ушаковка, Улица Заречная, Домовладение 5\258 м по направлению на запад</v>
          </cell>
          <cell r="F1583">
            <v>3.38</v>
          </cell>
          <cell r="G1583" t="str">
            <v>Осн.</v>
          </cell>
          <cell r="H1583" t="str">
            <v>Каменская</v>
          </cell>
          <cell r="I1583">
            <v>119</v>
          </cell>
        </row>
        <row r="1584">
          <cell r="C1584" t="str">
            <v>RO2363</v>
          </cell>
          <cell r="D1584" t="str">
            <v>43:железобетонный столб - проект УЦН</v>
          </cell>
          <cell r="E1584" t="str">
            <v>Область Ростовская, Район Тарасовский, Поселок Деркул, Улица Садовая, Дом 4\примерно 120 м по направлению на север от границы участка по адресу: ул. Садовая, 4, кв. 3</v>
          </cell>
          <cell r="F1584">
            <v>3.44</v>
          </cell>
          <cell r="G1584" t="str">
            <v>Осн.</v>
          </cell>
          <cell r="H1584" t="str">
            <v>Каменская</v>
          </cell>
          <cell r="I1584">
            <v>122</v>
          </cell>
        </row>
        <row r="1585">
          <cell r="C1585" t="str">
            <v>RO2401</v>
          </cell>
          <cell r="D1585" t="str">
            <v>43:железобетонный столб - проект УЦН</v>
          </cell>
          <cell r="E1585" t="str">
            <v>Область Ростовская, Район Матвеево-Курганский, Село Камышевка</v>
          </cell>
          <cell r="F1585">
            <v>2.44</v>
          </cell>
          <cell r="G1585" t="str">
            <v>Доп.</v>
          </cell>
          <cell r="H1585" t="str">
            <v>Таганрогская</v>
          </cell>
          <cell r="I1585">
            <v>72</v>
          </cell>
        </row>
        <row r="1586">
          <cell r="C1586" t="str">
            <v>RO2402</v>
          </cell>
          <cell r="D1586" t="str">
            <v>43:железобетонный столб - проект УЦН</v>
          </cell>
          <cell r="E1586" t="str">
            <v>Область Ростовская, Район Багаевский, Хутор Тузлуков, Улица Центральная</v>
          </cell>
          <cell r="F1586">
            <v>2.6</v>
          </cell>
          <cell r="G1586" t="str">
            <v>Осн.</v>
          </cell>
          <cell r="H1586" t="str">
            <v>Ростовская</v>
          </cell>
          <cell r="I1586">
            <v>80</v>
          </cell>
        </row>
        <row r="1587">
          <cell r="C1587" t="str">
            <v>RO2403</v>
          </cell>
          <cell r="D1587" t="str">
            <v>43:железобетонный столб - проект УЦН</v>
          </cell>
          <cell r="E1587" t="str">
            <v>Область Ростовская, Район Тарасовский, Поселок Весенний, Улица 13 Героев\примерно в 30 м по направлению на северо-запад от границ земельного участка ул. 13 Героев, д.2, кв.1</v>
          </cell>
          <cell r="F1587">
            <v>2.38</v>
          </cell>
          <cell r="G1587" t="str">
            <v>Осн.</v>
          </cell>
          <cell r="H1587" t="str">
            <v>Каменская</v>
          </cell>
          <cell r="I1587">
            <v>69</v>
          </cell>
        </row>
        <row r="1588">
          <cell r="C1588" t="str">
            <v>RO2404</v>
          </cell>
          <cell r="D1588" t="str">
            <v>43:железобетонный столб - проект УЦН</v>
          </cell>
          <cell r="E1588" t="str">
            <v>Область Ростовская, Район Чертковский, Хутор Галдин</v>
          </cell>
          <cell r="F1588">
            <v>4.7799999999999994</v>
          </cell>
          <cell r="G1588" t="str">
            <v>Осн.</v>
          </cell>
          <cell r="H1588" t="str">
            <v>Каменская</v>
          </cell>
          <cell r="I1588">
            <v>189</v>
          </cell>
        </row>
        <row r="1589">
          <cell r="C1589" t="str">
            <v>RO2405</v>
          </cell>
          <cell r="D1589" t="str">
            <v>43:железобетонный столб - проект УЦН</v>
          </cell>
          <cell r="E1589" t="str">
            <v>Область Ростовская, Район Белокалитвинский, Хутор Мечетный</v>
          </cell>
          <cell r="F1589">
            <v>2.44</v>
          </cell>
          <cell r="G1589" t="str">
            <v>Осн.</v>
          </cell>
          <cell r="H1589" t="str">
            <v>Каменская</v>
          </cell>
          <cell r="I1589">
            <v>72</v>
          </cell>
        </row>
        <row r="1590">
          <cell r="C1590" t="str">
            <v>RO2406</v>
          </cell>
          <cell r="D1590" t="str">
            <v>43:железобетонный столб - проект УЦН</v>
          </cell>
          <cell r="E1590" t="str">
            <v>Область Ростовская, Район Родионово-Несветайский, Хутор Курлаки, Улица Культурная\2Б/1, примерно 14 м по направлению на север от границ участка с кад. номером: 61:33:0070501:57</v>
          </cell>
          <cell r="F1590">
            <v>1.9</v>
          </cell>
          <cell r="G1590" t="str">
            <v>Осн.</v>
          </cell>
          <cell r="H1590" t="str">
            <v>Ростовская</v>
          </cell>
          <cell r="I1590">
            <v>45</v>
          </cell>
        </row>
        <row r="1591">
          <cell r="C1591" t="str">
            <v>RO2407</v>
          </cell>
          <cell r="D1591" t="str">
            <v>43:железобетонный столб - проект УЦН</v>
          </cell>
          <cell r="E1591" t="str">
            <v>Область Ростовская, Район Боковский, Хутор Малаховский, Улица Молодежная, Здание 7А\примерно 32 м по направлению на юг от границ участка с кад. номер: 61:05:0070103:23</v>
          </cell>
          <cell r="F1591">
            <v>5.48</v>
          </cell>
          <cell r="G1591" t="str">
            <v>Осн.</v>
          </cell>
          <cell r="H1591" t="str">
            <v>Каменская</v>
          </cell>
          <cell r="I1591">
            <v>224</v>
          </cell>
        </row>
        <row r="1592">
          <cell r="C1592" t="str">
            <v>RO2408</v>
          </cell>
          <cell r="D1592" t="str">
            <v>43:железобетонный столб - проект УЦН</v>
          </cell>
          <cell r="E1592" t="str">
            <v>Область Ростовская, Район Октябрьский, Поселок Заречный, Улица Центральная\примерно 23 метра на север от дома 14</v>
          </cell>
          <cell r="F1592">
            <v>2.74</v>
          </cell>
          <cell r="G1592" t="str">
            <v>Осн.</v>
          </cell>
          <cell r="H1592" t="str">
            <v>Ростовская</v>
          </cell>
          <cell r="I1592">
            <v>87</v>
          </cell>
        </row>
        <row r="1593">
          <cell r="C1593" t="str">
            <v>RO2409</v>
          </cell>
          <cell r="D1593" t="str">
            <v>43:железобетонный столб - проект УЦН</v>
          </cell>
          <cell r="E1593" t="str">
            <v>Область Ростовская, Район Кагальницкий, Поселок Светлый Яр, ул. Парковая, 1а</v>
          </cell>
          <cell r="F1593">
            <v>2.62</v>
          </cell>
          <cell r="G1593" t="str">
            <v>Осн.</v>
          </cell>
          <cell r="H1593" t="str">
            <v>Ростовская</v>
          </cell>
          <cell r="I1593">
            <v>81</v>
          </cell>
        </row>
        <row r="1594">
          <cell r="C1594" t="str">
            <v>RO2411</v>
          </cell>
          <cell r="D1594" t="str">
            <v>43:железобетонный столб - проект УЦН</v>
          </cell>
          <cell r="E1594" t="str">
            <v>Область Ростовская, Район Константиновский, Хутор Суворов</v>
          </cell>
          <cell r="F1594">
            <v>2.7800000000000002</v>
          </cell>
          <cell r="G1594" t="str">
            <v>Осн.</v>
          </cell>
          <cell r="H1594" t="str">
            <v>Волгодонская</v>
          </cell>
          <cell r="I1594">
            <v>89</v>
          </cell>
        </row>
        <row r="1595">
          <cell r="C1595" t="str">
            <v>RO2413</v>
          </cell>
          <cell r="D1595" t="str">
            <v>43:железобетонный столб - проект УЦН</v>
          </cell>
          <cell r="E1595" t="str">
            <v>Область Ростовская, Район Кашарский, Хутор Новодонецкий\примерно 5 м по направлению на север от границ земельного участка ул. Финская, 3, квартира 2</v>
          </cell>
          <cell r="F1595">
            <v>3.54</v>
          </cell>
          <cell r="G1595" t="str">
            <v>Осн.</v>
          </cell>
          <cell r="H1595" t="str">
            <v>Каменская</v>
          </cell>
          <cell r="I1595">
            <v>127</v>
          </cell>
        </row>
        <row r="1596">
          <cell r="C1596" t="str">
            <v>RO2415</v>
          </cell>
          <cell r="D1596" t="str">
            <v>42:металлический столб - проект УЦН</v>
          </cell>
          <cell r="E1596" t="str">
            <v>Область Ростовская, Район Чертковский, Хутор Малая Лозовка\примерно в 28 м по направлению на запад от границ земельного участка пер. Школьный, 6</v>
          </cell>
          <cell r="F1596">
            <v>3.94</v>
          </cell>
          <cell r="G1596" t="str">
            <v>Осн.</v>
          </cell>
          <cell r="H1596" t="str">
            <v>Каменская</v>
          </cell>
          <cell r="I1596">
            <v>147</v>
          </cell>
        </row>
        <row r="1597">
          <cell r="C1597" t="str">
            <v>RO2418</v>
          </cell>
          <cell r="D1597" t="str">
            <v>43:железобетонный столб - проект УЦН</v>
          </cell>
          <cell r="E1597" t="str">
            <v>Область Ростовская, Район Кашарский, Село Лысогорка </v>
          </cell>
          <cell r="F1597">
            <v>3.6</v>
          </cell>
          <cell r="G1597" t="str">
            <v>Осн.</v>
          </cell>
          <cell r="H1597" t="str">
            <v>Каменская</v>
          </cell>
          <cell r="I1597">
            <v>130</v>
          </cell>
        </row>
        <row r="1598">
          <cell r="C1598" t="str">
            <v>RO2419</v>
          </cell>
          <cell r="D1598" t="str">
            <v>43:железобетонный столб - проект УЦН</v>
          </cell>
          <cell r="E1598" t="str">
            <v>Область Ростовская, Район Матвеево-Курганский, Разъезд Закадычное, Улица Железнодорожная</v>
          </cell>
          <cell r="F1598">
            <v>2.1399999999999997</v>
          </cell>
          <cell r="G1598" t="str">
            <v>Доп.</v>
          </cell>
          <cell r="H1598" t="str">
            <v>Таганрогская</v>
          </cell>
          <cell r="I1598">
            <v>57</v>
          </cell>
        </row>
        <row r="1599">
          <cell r="C1599" t="str">
            <v>RO2420</v>
          </cell>
          <cell r="D1599" t="str">
            <v>43:железобетонный столб - проект УЦН</v>
          </cell>
          <cell r="E1599" t="str">
            <v>Область Ростовская, Район Тацинский, Хутор Верхнекольцов, Улица Школьная\дом 1, 5 м на север</v>
          </cell>
          <cell r="F1599">
            <v>3.22</v>
          </cell>
          <cell r="G1599" t="str">
            <v>Осн.</v>
          </cell>
          <cell r="H1599" t="str">
            <v>Каменская</v>
          </cell>
          <cell r="I1599">
            <v>111</v>
          </cell>
        </row>
        <row r="1600">
          <cell r="C1600" t="str">
            <v>RO2421</v>
          </cell>
          <cell r="D1600" t="str">
            <v>43:железобетонный столб - проект УЦН</v>
          </cell>
          <cell r="E1600" t="str">
            <v>Область Ростовская, Район Тацинский, Хутор Новониколаевский, Улица Ленина\37А, 46 м на восток</v>
          </cell>
          <cell r="F1600">
            <v>3.56</v>
          </cell>
          <cell r="G1600" t="str">
            <v>Осн.</v>
          </cell>
          <cell r="H1600" t="str">
            <v>Каменская</v>
          </cell>
          <cell r="I1600">
            <v>128</v>
          </cell>
        </row>
        <row r="1601">
          <cell r="C1601" t="str">
            <v>RO2422</v>
          </cell>
          <cell r="D1601" t="str">
            <v>21:собст. АМС до 10 м на крыше</v>
          </cell>
          <cell r="E1601" t="str">
            <v>Город Ростов-на-Дону, Улица Левобережная, Дом 6/6, Строение 1</v>
          </cell>
          <cell r="F1601">
            <v>1.18</v>
          </cell>
          <cell r="G1601" t="str">
            <v>Осн.</v>
          </cell>
          <cell r="H1601" t="str">
            <v>Ростовская</v>
          </cell>
          <cell r="I1601">
            <v>9</v>
          </cell>
        </row>
        <row r="1602">
          <cell r="C1602" t="str">
            <v>RO2433</v>
          </cell>
          <cell r="D1602" t="str">
            <v>33:трубостойки, АМС инфраструктурного оператора</v>
          </cell>
          <cell r="E1602" t="str">
            <v>Область Ростовская, Город Батайск, Улица Олимпийское Кольцо\29А</v>
          </cell>
          <cell r="F1602">
            <v>1.32</v>
          </cell>
          <cell r="G1602" t="str">
            <v>Осн.</v>
          </cell>
          <cell r="H1602" t="str">
            <v>Ростовская</v>
          </cell>
          <cell r="I1602">
            <v>16</v>
          </cell>
        </row>
        <row r="1603">
          <cell r="C1603" t="str">
            <v>RO2434</v>
          </cell>
          <cell r="D1603" t="str">
            <v>43:железобетонный столб - проект УЦН</v>
          </cell>
          <cell r="E1603" t="str">
            <v>Область Ростовская, Район Матвеево-Курганский, Хутор Авило-Федоровка, Улица Победы, Дом 1\20 м на юг</v>
          </cell>
          <cell r="F1603">
            <v>2.2400000000000002</v>
          </cell>
          <cell r="G1603" t="str">
            <v>Доп.</v>
          </cell>
          <cell r="H1603" t="str">
            <v>Таганрогская</v>
          </cell>
          <cell r="I1603">
            <v>62</v>
          </cell>
        </row>
        <row r="1604">
          <cell r="C1604" t="str">
            <v>RO2435</v>
          </cell>
          <cell r="D1604" t="str">
            <v>42:металлический столб - проект УЦН</v>
          </cell>
          <cell r="E1604" t="str">
            <v>Область Ростовская, Район Красносулинский, Хутор Черников, Улица Южная, Дом 46\примерно 72 м по направлению на запад</v>
          </cell>
          <cell r="F1604">
            <v>2.56</v>
          </cell>
          <cell r="G1604" t="str">
            <v>Осн.</v>
          </cell>
          <cell r="H1604" t="str">
            <v>Ростовская</v>
          </cell>
          <cell r="I1604">
            <v>78</v>
          </cell>
        </row>
        <row r="1605">
          <cell r="C1605" t="str">
            <v>RO2436</v>
          </cell>
          <cell r="D1605" t="str">
            <v>42:металлический столб - проект УЦН</v>
          </cell>
          <cell r="E1605" t="str">
            <v>Область Ростовская, Район Миллеровский, Хутор Журавка\примерно в 21 м по направлению на юг от границ земельного участка с кадастровым номером: 61:22:0600029:310</v>
          </cell>
          <cell r="F1605">
            <v>2.8600000000000003</v>
          </cell>
          <cell r="G1605" t="str">
            <v>Осн.</v>
          </cell>
          <cell r="H1605" t="str">
            <v>Каменская</v>
          </cell>
          <cell r="I1605">
            <v>93</v>
          </cell>
        </row>
        <row r="1606">
          <cell r="C1606" t="str">
            <v>RO2437</v>
          </cell>
          <cell r="D1606" t="str">
            <v>43:железобетонный столб - проект УЦН</v>
          </cell>
          <cell r="E1606" t="str">
            <v>Область Ростовская, Район Миллеровский, Хутор Красная Звезда</v>
          </cell>
          <cell r="F1606">
            <v>3.04</v>
          </cell>
          <cell r="G1606" t="str">
            <v>Осн.</v>
          </cell>
          <cell r="H1606" t="str">
            <v>Каменская</v>
          </cell>
          <cell r="I1606">
            <v>102</v>
          </cell>
        </row>
        <row r="1607">
          <cell r="C1607" t="str">
            <v>RO2438</v>
          </cell>
          <cell r="D1607" t="str">
            <v>43:железобетонный столб - проект УЦН</v>
          </cell>
          <cell r="E1607" t="str">
            <v>Ростовская область, Матвеево-Курганский, х. Краснодаровский</v>
          </cell>
          <cell r="F1607">
            <v>2.96</v>
          </cell>
          <cell r="G1607" t="str">
            <v>Доп.</v>
          </cell>
          <cell r="H1607" t="str">
            <v>Таганрогская</v>
          </cell>
          <cell r="I1607">
            <v>98</v>
          </cell>
        </row>
        <row r="1608">
          <cell r="C1608" t="str">
            <v>RO2439</v>
          </cell>
          <cell r="D1608" t="str">
            <v>43:железобетонный столб - проект УЦН</v>
          </cell>
          <cell r="E1608" t="str">
            <v>Область Ростовская, Район Чертковский, Хутор Лозовой (Зубрилинское с/п), Улица Полевая</v>
          </cell>
          <cell r="F1608">
            <v>4.2200000000000006</v>
          </cell>
          <cell r="G1608" t="str">
            <v>Осн.</v>
          </cell>
          <cell r="H1608" t="str">
            <v>Каменская</v>
          </cell>
          <cell r="I1608">
            <v>161</v>
          </cell>
        </row>
        <row r="1609">
          <cell r="C1609" t="str">
            <v>RO2440</v>
          </cell>
          <cell r="D1609" t="str">
            <v>42:металлический столб - проект УЦН</v>
          </cell>
          <cell r="E1609" t="str">
            <v>Район Тарасовский, Хутор Маноцкий, Улица Лесная</v>
          </cell>
          <cell r="F1609">
            <v>3.42</v>
          </cell>
          <cell r="G1609" t="str">
            <v>Осн.</v>
          </cell>
          <cell r="H1609" t="str">
            <v>Каменская</v>
          </cell>
          <cell r="I1609">
            <v>121</v>
          </cell>
        </row>
        <row r="1610">
          <cell r="C1610" t="str">
            <v>RO2441</v>
          </cell>
          <cell r="D1610" t="str">
            <v>43:железобетонный столб - проект УЦН</v>
          </cell>
          <cell r="E1610" t="str">
            <v>Область Ростовская, Район Миллеровский, Хутор Новая Деревня, Улица Центральная\примерно в 5 м по направлению на юг от границ земельного участка по адресу: ул. Центальная, д.4, с кадастровым номером: 61:22:0160601:37,</v>
          </cell>
          <cell r="F1610">
            <v>3.4</v>
          </cell>
          <cell r="G1610" t="str">
            <v>Осн.</v>
          </cell>
          <cell r="H1610" t="str">
            <v>Каменская</v>
          </cell>
          <cell r="I1610">
            <v>120</v>
          </cell>
        </row>
        <row r="1611">
          <cell r="C1611" t="str">
            <v>RO2442</v>
          </cell>
          <cell r="D1611" t="str">
            <v>43:железобетонный столб - проект УЦН</v>
          </cell>
          <cell r="E1611" t="str">
            <v>Область Ростовская, Район Родионово-Несветайский, Хутор Новопрохоровка, Улица Советская, Строение 1а\Примерно 37м. по направлению на север от границ участка по ул. Советская, 1А</v>
          </cell>
          <cell r="F1611">
            <v>2.6799999999999997</v>
          </cell>
          <cell r="G1611" t="str">
            <v>Осн.</v>
          </cell>
          <cell r="H1611" t="str">
            <v>Ростовская</v>
          </cell>
          <cell r="I1611">
            <v>84</v>
          </cell>
        </row>
        <row r="1612">
          <cell r="C1612" t="str">
            <v>RO2443</v>
          </cell>
          <cell r="D1612" t="str">
            <v>44:пригруженная опора - проект УЦН</v>
          </cell>
          <cell r="E1612" t="str">
            <v>Область Ростовская, Район Красносулинский, Хутор Платово\примерно 17 м по направлению на север от границ участка по адресу: хутор Платово (кадастровый номер: 61:18:0600001:616)</v>
          </cell>
          <cell r="F1612">
            <v>2.2000000000000002</v>
          </cell>
          <cell r="G1612" t="str">
            <v>Осн.</v>
          </cell>
          <cell r="H1612" t="str">
            <v>Каменская</v>
          </cell>
          <cell r="I1612">
            <v>60</v>
          </cell>
        </row>
        <row r="1613">
          <cell r="C1613" t="str">
            <v>RO2453</v>
          </cell>
          <cell r="D1613" t="str">
            <v>30:трубостойки на АМС БК Пилар</v>
          </cell>
          <cell r="E1613" t="str">
            <v>Город Ростов-на-Дону, Улица Нансена, Дом 150</v>
          </cell>
          <cell r="F1613">
            <v>1.1000000000000001</v>
          </cell>
          <cell r="G1613" t="str">
            <v>Осн.</v>
          </cell>
          <cell r="H1613" t="str">
            <v>Ростовская</v>
          </cell>
          <cell r="I1613">
            <v>5</v>
          </cell>
        </row>
        <row r="1614">
          <cell r="C1614" t="str">
            <v>RO2455</v>
          </cell>
          <cell r="D1614" t="str">
            <v>31:трубостойки на чужой АМС на земле/крыше</v>
          </cell>
          <cell r="E1614" t="str">
            <v>Область Ростовская, Район Дубовский, Село Дубовское, Переулок Строительный\участок 31, АМС ФГУП РТРС</v>
          </cell>
          <cell r="F1614">
            <v>2.42</v>
          </cell>
          <cell r="G1614" t="str">
            <v>Осн.</v>
          </cell>
          <cell r="H1614" t="str">
            <v>Волгодонская</v>
          </cell>
          <cell r="I1614">
            <v>71</v>
          </cell>
        </row>
        <row r="1615">
          <cell r="C1615" t="str">
            <v>RO2456</v>
          </cell>
          <cell r="D1615" t="str">
            <v>31:трубостойки на чужой АМС на земле/крыше</v>
          </cell>
          <cell r="E1615" t="str">
            <v>Область Ростовская, Город Гуково, Улица Колодезная, Здание 2д\АМС ФГУП РТРС</v>
          </cell>
          <cell r="F1615">
            <v>2.08</v>
          </cell>
          <cell r="G1615" t="str">
            <v>Осн.</v>
          </cell>
          <cell r="H1615" t="str">
            <v>Каменская</v>
          </cell>
          <cell r="I1615">
            <v>54</v>
          </cell>
        </row>
        <row r="1616">
          <cell r="C1616" t="str">
            <v>RO2457</v>
          </cell>
          <cell r="D1616" t="str">
            <v>52:индорсайт</v>
          </cell>
          <cell r="E1616" t="str">
            <v>Ростовская Область, Ростов-на-Дону Город, Космонавтов Проспект, дом 19А/28Ж ТЦ ПАРК</v>
          </cell>
          <cell r="F1616">
            <v>1.2</v>
          </cell>
          <cell r="G1616" t="str">
            <v>Осн.</v>
          </cell>
          <cell r="H1616" t="str">
            <v>Ростовская</v>
          </cell>
          <cell r="I1616">
            <v>10</v>
          </cell>
        </row>
        <row r="1617">
          <cell r="C1617" t="str">
            <v>RO2459</v>
          </cell>
          <cell r="D1617" t="str">
            <v>21:собст. АМС до 10 м на крыше</v>
          </cell>
          <cell r="E1617" t="str">
            <v>Область Ростовская, Город Ростов-на-Дону, Улица Левобережная, Земельный участок 2Б</v>
          </cell>
          <cell r="F1617">
            <v>1.1200000000000001</v>
          </cell>
          <cell r="G1617" t="str">
            <v>Осн.</v>
          </cell>
          <cell r="H1617" t="str">
            <v>Ростовская</v>
          </cell>
          <cell r="I1617">
            <v>6</v>
          </cell>
        </row>
        <row r="1618">
          <cell r="C1618" t="str">
            <v>RO2471</v>
          </cell>
          <cell r="D1618" t="str">
            <v>30:трубостойки на АМС БК Пилар</v>
          </cell>
          <cell r="E1618" t="str">
            <v>Область Ростовская, Район Аксайский\Трасса "М4 Дон" развязка в района пос. Красный колос</v>
          </cell>
          <cell r="F1618">
            <v>2</v>
          </cell>
          <cell r="G1618" t="str">
            <v>Осн.</v>
          </cell>
          <cell r="H1618" t="str">
            <v>Ростовская</v>
          </cell>
          <cell r="I1618">
            <v>50</v>
          </cell>
        </row>
        <row r="1619">
          <cell r="C1619" t="str">
            <v>RO2472</v>
          </cell>
          <cell r="D1619" t="str">
            <v>30:трубостойки на АМС БК Пилар</v>
          </cell>
          <cell r="E1619" t="str">
            <v>Область Ростовская, Район Аксайский\Трасса "М4 Дон" обход Ростова-на-Дону</v>
          </cell>
          <cell r="F1619">
            <v>1.9</v>
          </cell>
          <cell r="G1619" t="str">
            <v>Осн.</v>
          </cell>
          <cell r="H1619" t="str">
            <v>Ростовская</v>
          </cell>
          <cell r="I1619">
            <v>45</v>
          </cell>
        </row>
        <row r="1620">
          <cell r="C1620" t="str">
            <v>RO2474</v>
          </cell>
          <cell r="D1620" t="str">
            <v>30:трубостойки на АМС БК Пилар</v>
          </cell>
          <cell r="E1620" t="str">
            <v>Область Ростовская, Район Аксайский\Трасса "М4 Дон" в районе песчаного карьера Чистый песок</v>
          </cell>
          <cell r="F1620">
            <v>1.56</v>
          </cell>
          <cell r="G1620" t="str">
            <v>Осн.</v>
          </cell>
          <cell r="H1620" t="str">
            <v>Ростовская</v>
          </cell>
          <cell r="I1620">
            <v>28</v>
          </cell>
        </row>
        <row r="1621">
          <cell r="C1621" t="str">
            <v>RO2482</v>
          </cell>
          <cell r="D1621" t="str">
            <v>31:трубостойки на чужой АМС на земле/крыше</v>
          </cell>
          <cell r="E1621" t="str">
            <v>Район Аксайский, Хутор Ленина</v>
          </cell>
          <cell r="F1621">
            <v>1.54</v>
          </cell>
          <cell r="G1621" t="str">
            <v>Осн.</v>
          </cell>
          <cell r="H1621" t="str">
            <v>Ростовская</v>
          </cell>
          <cell r="I1621">
            <v>27</v>
          </cell>
        </row>
        <row r="1622">
          <cell r="C1622" t="str">
            <v>RO2489</v>
          </cell>
          <cell r="D1622" t="str">
            <v>43:железобетонный столб - проект УЦН</v>
          </cell>
          <cell r="E1622" t="str">
            <v>Область Ростовская, Район Тацинский, Хутор Малокачалин, Улица Садовая, Домовладение 58\Примерно 30м. по направлению на север от границ участка по ул. Садовая, 60</v>
          </cell>
          <cell r="F1622">
            <v>3.64</v>
          </cell>
          <cell r="G1622" t="str">
            <v>Осн.</v>
          </cell>
          <cell r="H1622" t="str">
            <v>Каменская</v>
          </cell>
          <cell r="I1622">
            <v>132</v>
          </cell>
        </row>
        <row r="1623">
          <cell r="C1623" t="str">
            <v>RO2495</v>
          </cell>
          <cell r="D1623" t="str">
            <v>43:железобетонный столб - проект УЦН</v>
          </cell>
          <cell r="E1623" t="str">
            <v>Область Ростовская, Район Тацинский, Поселок Сухая Балка, Улица Черемушки, Дом 17\кв 2, 21 м на север</v>
          </cell>
          <cell r="F1623">
            <v>3.22</v>
          </cell>
          <cell r="G1623" t="str">
            <v>Осн.</v>
          </cell>
          <cell r="H1623" t="str">
            <v>Каменская</v>
          </cell>
          <cell r="I1623">
            <v>111</v>
          </cell>
        </row>
        <row r="1624">
          <cell r="C1624" t="str">
            <v>RO2523</v>
          </cell>
          <cell r="D1624" t="str">
            <v>33:трубостойки, АМС инфраструктурного оператора</v>
          </cell>
          <cell r="E1624" t="str">
            <v>Область Ростовская, Район Октябрьский, Поселок Интернациональный, Переулок Гаражный\9</v>
          </cell>
          <cell r="F1624">
            <v>2.66</v>
          </cell>
          <cell r="G1624" t="str">
            <v>Осн.</v>
          </cell>
          <cell r="H1624" t="str">
            <v>Ростовская</v>
          </cell>
          <cell r="I1624">
            <v>83</v>
          </cell>
        </row>
        <row r="1625">
          <cell r="C1625" t="str">
            <v>RO2582</v>
          </cell>
          <cell r="D1625" t="str">
            <v>33:трубостойки, АМС инфраструктурного оператора</v>
          </cell>
          <cell r="E1625" t="str">
            <v>Область Ростовская, Район Тарасовский, Поселок Тарасовский, Улица М.Горького\дом 7</v>
          </cell>
          <cell r="F1625">
            <v>2.02</v>
          </cell>
          <cell r="G1625" t="str">
            <v>Осн.</v>
          </cell>
          <cell r="H1625" t="str">
            <v>Каменская</v>
          </cell>
          <cell r="I1625">
            <v>51</v>
          </cell>
        </row>
        <row r="1626">
          <cell r="C1626" t="str">
            <v>RO2596</v>
          </cell>
          <cell r="D1626" t="str">
            <v>33:трубостойки, АМС инфраструктурного оператора</v>
          </cell>
          <cell r="E1626" t="str">
            <v>Район Аксайский, Поселок Верхнетемерницкий, Переулок Плутона, Дом 12/28, Строение 1</v>
          </cell>
          <cell r="F1626">
            <v>1.28</v>
          </cell>
          <cell r="G1626" t="str">
            <v>Осн.</v>
          </cell>
          <cell r="H1626" t="str">
            <v>Ростовская</v>
          </cell>
          <cell r="I1626">
            <v>14</v>
          </cell>
        </row>
        <row r="1627">
          <cell r="C1627" t="str">
            <v>RO2620</v>
          </cell>
          <cell r="D1627" t="str">
            <v>43:железобетонный столб - проект УЦН</v>
          </cell>
          <cell r="E1627" t="str">
            <v>Область Ростовская, Район Белокалитвинский, Хутор Дубовой</v>
          </cell>
          <cell r="F1627">
            <v>2.98</v>
          </cell>
          <cell r="G1627" t="str">
            <v>Осн.</v>
          </cell>
          <cell r="H1627" t="str">
            <v>Каменская</v>
          </cell>
          <cell r="I1627">
            <v>99</v>
          </cell>
        </row>
        <row r="1628">
          <cell r="C1628" t="str">
            <v>RO2621</v>
          </cell>
          <cell r="D1628" t="str">
            <v>43:железобетонный столб - проект УЦН</v>
          </cell>
          <cell r="E1628" t="str">
            <v>Ростовская обл., р-н Боковский, с. Вербовка, ул. Кристальная, 50, кв.1</v>
          </cell>
          <cell r="F1628">
            <v>5.42</v>
          </cell>
          <cell r="G1628" t="str">
            <v>Осн.</v>
          </cell>
          <cell r="H1628" t="str">
            <v>Каменская</v>
          </cell>
          <cell r="I1628">
            <v>221</v>
          </cell>
        </row>
        <row r="1629">
          <cell r="C1629" t="str">
            <v>RO2624</v>
          </cell>
          <cell r="D1629" t="str">
            <v>43:железобетонный столб - проект УЦН</v>
          </cell>
          <cell r="E1629" t="str">
            <v>Область Ростовская, Район Милютинский, Хутор Севостьянов, Улица Молодежная, Домовладение 31\Примерно 60 м. по направлению на восток от границ участка по ул. Молодежная, 31.</v>
          </cell>
          <cell r="F1629">
            <v>4.9800000000000004</v>
          </cell>
          <cell r="G1629" t="str">
            <v>Осн.</v>
          </cell>
          <cell r="H1629" t="str">
            <v>Каменская</v>
          </cell>
          <cell r="I1629">
            <v>199</v>
          </cell>
        </row>
        <row r="1630">
          <cell r="C1630" t="str">
            <v>RO2625</v>
          </cell>
          <cell r="D1630" t="str">
            <v>43:железобетонный столб - проект УЦН</v>
          </cell>
          <cell r="E1630" t="str">
            <v>Область Ростовская, Район Азовский, Хутор Полтава 2-я\примерно 35 м. по направлению на восток от границ участка по ул. Молодежная, 49</v>
          </cell>
          <cell r="F1630">
            <v>2.58</v>
          </cell>
          <cell r="G1630" t="str">
            <v>Осн.</v>
          </cell>
          <cell r="H1630" t="str">
            <v>Ростовская</v>
          </cell>
          <cell r="I1630">
            <v>79</v>
          </cell>
        </row>
        <row r="1631">
          <cell r="C1631" t="str">
            <v>RO2626</v>
          </cell>
          <cell r="D1631" t="str">
            <v>43:железобетонный столб - проект УЦН</v>
          </cell>
          <cell r="E1631" t="str">
            <v>Область Ростовская, Район Верхнедонской, Хутор Парижский, Улица Парижская\примерно в 52 м по направлению на северо-запад от границ земельного участка с кадастровым номером: 61:07:0010101:164, расположенного по адресу: х. Парижский, ул. Парижская, 62</v>
          </cell>
          <cell r="F1631">
            <v>6.62</v>
          </cell>
          <cell r="G1631" t="str">
            <v>Осн.</v>
          </cell>
          <cell r="H1631" t="str">
            <v>Каменская</v>
          </cell>
          <cell r="I1631">
            <v>281</v>
          </cell>
        </row>
        <row r="1632">
          <cell r="C1632" t="str">
            <v>RO2627</v>
          </cell>
          <cell r="D1632" t="str">
            <v>43:железобетонный столб - проект УЦН</v>
          </cell>
          <cell r="E1632" t="str">
            <v>Ростовская обл., р-н Шолоховский, х. Калиновский, пер. Южный, 12, квартира 2</v>
          </cell>
          <cell r="F1632">
            <v>5.78</v>
          </cell>
          <cell r="G1632" t="str">
            <v>Осн.</v>
          </cell>
          <cell r="H1632" t="str">
            <v>Каменская</v>
          </cell>
          <cell r="I1632">
            <v>239</v>
          </cell>
        </row>
        <row r="1633">
          <cell r="C1633" t="str">
            <v>RO2628</v>
          </cell>
          <cell r="D1633" t="str">
            <v>43:железобетонный столб - проект УЦН</v>
          </cell>
          <cell r="E1633" t="str">
            <v>Область Ростовская, Район Белокалитвинский, Хутор Усть-Быстрый, Улица Нижняя</v>
          </cell>
          <cell r="F1633">
            <v>2.94</v>
          </cell>
          <cell r="G1633" t="str">
            <v>Осн.</v>
          </cell>
          <cell r="H1633" t="str">
            <v>Каменская</v>
          </cell>
          <cell r="I1633">
            <v>97</v>
          </cell>
        </row>
        <row r="1634">
          <cell r="C1634" t="str">
            <v>RO2629</v>
          </cell>
          <cell r="D1634" t="str">
            <v>43:железобетонный столб - проект УЦН</v>
          </cell>
          <cell r="E1634" t="str">
            <v>Область Ростовская, Район Шолоховский, Хутор Нижнекривской\примерно в 33 м по направлению на юго-запад от границ земельного участка с кадастровым номером:61:43:0600016:774, ул. Родниковая, 48</v>
          </cell>
          <cell r="F1634">
            <v>5.88</v>
          </cell>
          <cell r="G1634" t="str">
            <v>Осн.</v>
          </cell>
          <cell r="H1634" t="str">
            <v>Каменская</v>
          </cell>
          <cell r="I1634">
            <v>244</v>
          </cell>
        </row>
        <row r="1635">
          <cell r="C1635" t="str">
            <v>RO2630</v>
          </cell>
          <cell r="D1635" t="str">
            <v>33:трубостойки, АМС инфраструктурного оператора</v>
          </cell>
          <cell r="E1635" t="str">
            <v>Область Ростовская, Район Верхнедонской, Станица Казанская, Улица Ленина, Здание 28</v>
          </cell>
          <cell r="F1635">
            <v>5.46</v>
          </cell>
          <cell r="G1635" t="str">
            <v>Осн.</v>
          </cell>
          <cell r="H1635" t="str">
            <v>Каменская</v>
          </cell>
          <cell r="I1635">
            <v>223</v>
          </cell>
        </row>
        <row r="1636">
          <cell r="C1636" t="str">
            <v>RO2631</v>
          </cell>
          <cell r="D1636" t="str">
            <v>43:железобетонный столб - проект УЦН</v>
          </cell>
          <cell r="E1636" t="str">
            <v>Область Ростовская, Район Тацинский, Хутор Надежевка, Улица Пролетарская, Домовладение 22\Примерно 47 м. по направлению на северо - восток от границ участка по ул. Пролетарская, 22</v>
          </cell>
          <cell r="F1636">
            <v>3.06</v>
          </cell>
          <cell r="G1636" t="str">
            <v>Осн.</v>
          </cell>
          <cell r="H1636" t="str">
            <v>Каменская</v>
          </cell>
          <cell r="I1636">
            <v>103</v>
          </cell>
        </row>
        <row r="1637">
          <cell r="C1637" t="str">
            <v>RO2632</v>
          </cell>
          <cell r="D1637" t="str">
            <v>43:железобетонный столб - проект УЦН</v>
          </cell>
          <cell r="E1637" t="str">
            <v>Область Ростовская, Район Азовский, Хутор Метелев\примерно 42 м. по направлению на север от границ участка по ул. Мичурина, 30/2</v>
          </cell>
          <cell r="F1637">
            <v>2.7199999999999998</v>
          </cell>
          <cell r="G1637" t="str">
            <v>Осн.</v>
          </cell>
          <cell r="H1637" t="str">
            <v>Ростовская</v>
          </cell>
          <cell r="I1637">
            <v>86</v>
          </cell>
        </row>
        <row r="1638">
          <cell r="C1638" t="str">
            <v>RO2715</v>
          </cell>
          <cell r="D1638" t="str">
            <v>31:трубостойки на чужой АМС на земле/крыше</v>
          </cell>
          <cell r="E1638" t="str">
            <v>Ростовская Область, Верхнедонской Район, Суходольный Поселок, Школьная Улица, дом стр1а\АМС ФГУП РТРС</v>
          </cell>
          <cell r="F1638">
            <v>5.0999999999999996</v>
          </cell>
          <cell r="G1638" t="str">
            <v>Осн.</v>
          </cell>
          <cell r="H1638" t="str">
            <v>Каменская</v>
          </cell>
          <cell r="I1638">
            <v>205</v>
          </cell>
        </row>
        <row r="1639">
          <cell r="C1639" t="str">
            <v>RO2744</v>
          </cell>
          <cell r="D1639" t="str">
            <v>30:трубостойки на АМС БК Пилар</v>
          </cell>
          <cell r="E1639" t="str">
            <v>Область Ростовская, Район Миллеровский, Слобода Нижненагольная\пересечение улицы Российская и улицы Молодежная</v>
          </cell>
          <cell r="F1639">
            <v>3.5</v>
          </cell>
          <cell r="G1639" t="str">
            <v>Осн.</v>
          </cell>
          <cell r="H1639" t="str">
            <v>Каменская</v>
          </cell>
          <cell r="I1639">
            <v>125</v>
          </cell>
        </row>
        <row r="1640">
          <cell r="C1640" t="str">
            <v>RO2761</v>
          </cell>
          <cell r="D1640" t="str">
            <v xml:space="preserve"> 30:трубостойки на АМС БК Пилар</v>
          </cell>
          <cell r="E1640" t="str">
            <v>Область Ростовская, Район Ремонтненский, Село Богородское, Улица Болдырева, Дом 25\43 м по направлению на запад</v>
          </cell>
          <cell r="F1640">
            <v>5.16</v>
          </cell>
          <cell r="G1640" t="str">
            <v>Осн.</v>
          </cell>
          <cell r="H1640" t="str">
            <v>Волгодонская</v>
          </cell>
          <cell r="I1640">
            <v>208</v>
          </cell>
        </row>
        <row r="1641">
          <cell r="C1641" t="str">
            <v>RO2793</v>
          </cell>
          <cell r="D1641" t="str">
            <v>30:трубостойки на АМС БК Пилар</v>
          </cell>
          <cell r="E1641" t="str">
            <v>Область Ростовская, Район Ремонтненский, Поселок Новопривольный, Улица Восточная, Дом 2\100 м на северо запад</v>
          </cell>
          <cell r="F1641">
            <v>4.24</v>
          </cell>
          <cell r="G1641" t="str">
            <v>Осн.</v>
          </cell>
          <cell r="H1641" t="str">
            <v>Волгодонская</v>
          </cell>
          <cell r="I1641">
            <v>162</v>
          </cell>
        </row>
        <row r="1642">
          <cell r="C1642" t="str">
            <v>RO2795</v>
          </cell>
          <cell r="D1642" t="str">
            <v>43:железобетонный столб - проект УЦН</v>
          </cell>
          <cell r="E1642" t="str">
            <v>Область Ростовская, Район Матвеево-Курганский, Село Новоандриановка, Улица Школьная 30\2</v>
          </cell>
          <cell r="F1642">
            <v>2.1</v>
          </cell>
          <cell r="G1642" t="str">
            <v>Доп.</v>
          </cell>
          <cell r="H1642" t="str">
            <v>Таганрогская</v>
          </cell>
          <cell r="I1642">
            <v>55</v>
          </cell>
        </row>
        <row r="1643">
          <cell r="C1643" t="str">
            <v>RO2800</v>
          </cell>
          <cell r="D1643" t="str">
            <v>43:железобетонный столб - проект УЦН</v>
          </cell>
          <cell r="E1643" t="str">
            <v>Область Ростовская, Район Чертковский, Село Греково-Степановка, Улица Центральная</v>
          </cell>
          <cell r="F1643">
            <v>3.64</v>
          </cell>
          <cell r="G1643" t="str">
            <v>Осн.</v>
          </cell>
          <cell r="H1643" t="str">
            <v>Каменская</v>
          </cell>
          <cell r="I1643">
            <v>132</v>
          </cell>
        </row>
        <row r="1644">
          <cell r="C1644" t="str">
            <v>RO2817</v>
          </cell>
          <cell r="D1644" t="str">
            <v>43:железобетонный столб - проект УЦН</v>
          </cell>
          <cell r="E1644" t="str">
            <v>Область Ростовская, Район Орловский, Хутор Широкий, Улица Весенняя</v>
          </cell>
          <cell r="F1644">
            <v>2.6799999999999997</v>
          </cell>
          <cell r="G1644" t="str">
            <v>Доп.</v>
          </cell>
          <cell r="H1644" t="str">
            <v>Сальская</v>
          </cell>
          <cell r="I1644">
            <v>84</v>
          </cell>
        </row>
        <row r="1645">
          <cell r="C1645" t="str">
            <v>RO2832</v>
          </cell>
          <cell r="D1645" t="str">
            <v>30:трубостойки на АМС БК Пилар</v>
          </cell>
          <cell r="E1645" t="str">
            <v>Область Ростовская, Район Заветинский, Хутор Шебалин\примерно 15 м по направлению на север от границ земельного участка по адресу: ул. Гагарина, 7, кв.2</v>
          </cell>
          <cell r="F1645">
            <v>3.96</v>
          </cell>
          <cell r="G1645" t="str">
            <v>Осн.</v>
          </cell>
          <cell r="H1645" t="str">
            <v>Волгодонская</v>
          </cell>
          <cell r="I1645">
            <v>148</v>
          </cell>
        </row>
        <row r="1646">
          <cell r="C1646" t="str">
            <v>RO2838</v>
          </cell>
          <cell r="D1646" t="str">
            <v>31:трубостойки на чужой АМС на земле/крыше</v>
          </cell>
          <cell r="E1646" t="str">
            <v>Ростовская Область, Азовский Район\2.6 км северо-западнее ПТ "Павло-Очаково", опора МТС</v>
          </cell>
          <cell r="F1646">
            <v>2.46</v>
          </cell>
          <cell r="G1646" t="str">
            <v>Осн.</v>
          </cell>
          <cell r="H1646" t="str">
            <v>Ростовская</v>
          </cell>
          <cell r="I1646">
            <v>73</v>
          </cell>
        </row>
        <row r="1647">
          <cell r="C1647" t="str">
            <v>RO2843</v>
          </cell>
          <cell r="D1647" t="str">
            <v>33:трубостойки, АМС инфраструктурного оператора</v>
          </cell>
          <cell r="E1647" t="str">
            <v>Область Ростовская, Город Ростов-на-Дону, Проспект Ленина, Дом 125</v>
          </cell>
          <cell r="F1647">
            <v>1.1200000000000001</v>
          </cell>
          <cell r="G1647" t="str">
            <v>Осн.</v>
          </cell>
          <cell r="H1647" t="str">
            <v>Ростовская</v>
          </cell>
          <cell r="I1647">
            <v>6</v>
          </cell>
        </row>
        <row r="1648">
          <cell r="C1648" t="str">
            <v>RO2851</v>
          </cell>
          <cell r="D1648" t="str">
            <v>33:трубостойки, АМС инфраструктурного оператора</v>
          </cell>
          <cell r="E1648" t="str">
            <v>Область Ростовская, Город Ростов-на-Дону, Улица Красноармейская\напротив д. 157Д</v>
          </cell>
          <cell r="F1648">
            <v>1.1000000000000001</v>
          </cell>
          <cell r="G1648" t="str">
            <v>Осн.</v>
          </cell>
          <cell r="H1648" t="str">
            <v>Ростовская</v>
          </cell>
          <cell r="I1648">
            <v>5</v>
          </cell>
        </row>
        <row r="1649">
          <cell r="C1649" t="str">
            <v>RO2864</v>
          </cell>
          <cell r="D1649" t="str">
            <v>31:трубостойки на чужой АМС на земле/крыше</v>
          </cell>
          <cell r="E1649" t="str">
            <v>Область Ростовская, Район Октябрьский, Станица Кривянская, Улица Кирпичная, Дом 88</v>
          </cell>
          <cell r="F1649">
            <v>2.12</v>
          </cell>
          <cell r="G1649" t="str">
            <v>Осн.</v>
          </cell>
          <cell r="H1649" t="str">
            <v>Ростовская</v>
          </cell>
          <cell r="I1649">
            <v>56</v>
          </cell>
        </row>
        <row r="1650">
          <cell r="C1650" t="str">
            <v>RO2887</v>
          </cell>
          <cell r="D1650" t="str">
            <v>30:трубостойки на АМС БК Пилар</v>
          </cell>
          <cell r="E1650" t="str">
            <v>Город Таганрог, Переулок Трудовых Резервов, Дом 10</v>
          </cell>
          <cell r="F1650">
            <v>1.1200000000000001</v>
          </cell>
          <cell r="G1650" t="str">
            <v>Доп.</v>
          </cell>
          <cell r="H1650" t="str">
            <v>Таганрогская</v>
          </cell>
          <cell r="I1650">
            <v>6</v>
          </cell>
        </row>
        <row r="1651">
          <cell r="C1651" t="str">
            <v>RO2888</v>
          </cell>
          <cell r="D1651" t="str">
            <v>53:репитер</v>
          </cell>
          <cell r="E1651" t="str">
            <v xml:space="preserve"> Область Ростовская, Город Ростов-на-Дону, Улица Социалистическая, Дом 74</v>
          </cell>
          <cell r="F1651">
            <v>1.1000000000000001</v>
          </cell>
          <cell r="G1651" t="str">
            <v>Осн.</v>
          </cell>
          <cell r="H1651" t="str">
            <v>Ростовская</v>
          </cell>
          <cell r="I1651">
            <v>5</v>
          </cell>
        </row>
        <row r="1652">
          <cell r="C1652" t="str">
            <v>RO2890</v>
          </cell>
          <cell r="D1652" t="str">
            <v>33:трубостойки, АМС инфраструктурного оператора</v>
          </cell>
          <cell r="E1652" t="str">
            <v>Область Ростовская, Город Шахты, Улица Объединенная, Здание 1</v>
          </cell>
          <cell r="F1652">
            <v>2.8200000000000003</v>
          </cell>
          <cell r="G1652" t="str">
            <v>Осн.</v>
          </cell>
          <cell r="H1652" t="str">
            <v>Ростовская</v>
          </cell>
          <cell r="I1652">
            <v>91</v>
          </cell>
        </row>
        <row r="1653">
          <cell r="C1653" t="str">
            <v>RO2899</v>
          </cell>
          <cell r="D1653" t="str">
            <v>33:трубостойки, АМС инфраструктурного оператора</v>
          </cell>
          <cell r="E1653" t="str">
            <v>Область Ростовская, Город Ростов-на-Дону, Переулок Магаданский, Дом 2</v>
          </cell>
          <cell r="F1653">
            <v>1.22</v>
          </cell>
          <cell r="G1653" t="str">
            <v>Осн.</v>
          </cell>
          <cell r="H1653" t="str">
            <v>Ростовская</v>
          </cell>
          <cell r="I1653">
            <v>11</v>
          </cell>
        </row>
        <row r="1654">
          <cell r="C1654" t="str">
            <v>RO2905</v>
          </cell>
          <cell r="D1654" t="str">
            <v>33:трубостойки, АМС инфраструктурного оператора</v>
          </cell>
          <cell r="E1654" t="str">
            <v>Область Ростовская, Город Ростов-на-Дону, Улица Немировича-Данченко, Дом 21</v>
          </cell>
          <cell r="F1654">
            <v>1.1000000000000001</v>
          </cell>
          <cell r="G1654" t="str">
            <v>Осн.</v>
          </cell>
          <cell r="H1654" t="str">
            <v>Ростовская</v>
          </cell>
          <cell r="I1654">
            <v>5</v>
          </cell>
        </row>
        <row r="1655">
          <cell r="C1655" t="str">
            <v>RO2907</v>
          </cell>
          <cell r="D1655" t="str">
            <v xml:space="preserve"> 30:трубостойки на АМС БК Пилар</v>
          </cell>
          <cell r="E1655" t="str">
            <v>Область Ростовская, Город Ростов-на-Дону, Улица Нансена\103и бокс 11</v>
          </cell>
          <cell r="F1655">
            <v>1.1000000000000001</v>
          </cell>
          <cell r="G1655" t="str">
            <v>Осн.</v>
          </cell>
          <cell r="H1655" t="str">
            <v>Ростовская</v>
          </cell>
          <cell r="I1655">
            <v>5</v>
          </cell>
        </row>
        <row r="1656">
          <cell r="C1656" t="str">
            <v>RO2909</v>
          </cell>
          <cell r="D1656" t="str">
            <v>33:трубостойки, АМС инфраструктурного оператора</v>
          </cell>
          <cell r="E1656" t="str">
            <v>Область Ростовская, Город Ростов-на-Дону, Улица Коровкина, Дом 76</v>
          </cell>
          <cell r="F1656">
            <v>1.04</v>
          </cell>
          <cell r="G1656" t="str">
            <v>Осн.</v>
          </cell>
          <cell r="H1656" t="str">
            <v>Ростовская</v>
          </cell>
          <cell r="I1656">
            <v>2</v>
          </cell>
        </row>
        <row r="1657">
          <cell r="C1657" t="str">
            <v>RO2910</v>
          </cell>
          <cell r="D1657" t="str">
            <v>33:трубостойки, АМС инфраструктурного оператора</v>
          </cell>
          <cell r="E1657" t="str">
            <v>Область Ростовская, Город Ростов-на-Дону, Улица Донская  34</v>
          </cell>
          <cell r="F1657">
            <v>1.06</v>
          </cell>
          <cell r="G1657" t="str">
            <v>Осн.</v>
          </cell>
          <cell r="H1657" t="str">
            <v>Ростовская</v>
          </cell>
          <cell r="I1657">
            <v>3</v>
          </cell>
        </row>
        <row r="1658">
          <cell r="C1658" t="str">
            <v>RO2911</v>
          </cell>
          <cell r="D1658" t="str">
            <v>33:трубостойки, АМС инфраструктурного оператора</v>
          </cell>
          <cell r="E1658" t="str">
            <v>Область Ростовская, Город Ростов-на-Дону, Переулок Чувашский\14</v>
          </cell>
          <cell r="F1658">
            <v>1.1000000000000001</v>
          </cell>
          <cell r="G1658" t="str">
            <v>Осн.</v>
          </cell>
          <cell r="H1658" t="str">
            <v>Ростовская</v>
          </cell>
          <cell r="I1658">
            <v>5</v>
          </cell>
        </row>
        <row r="1659">
          <cell r="C1659" t="str">
            <v>RO2913</v>
          </cell>
          <cell r="D1659" t="str">
            <v>21:собст. АМС до 10 м на крыше</v>
          </cell>
          <cell r="E1659" t="str">
            <v>Область Ростовская, Город Ростов-на-Дону, Улица 40-я линия, Дом 57/31\Улица 40-я линия/ ул. Буйнакская, Дом 57/31</v>
          </cell>
          <cell r="F1659">
            <v>1.1599999999999999</v>
          </cell>
          <cell r="G1659" t="str">
            <v>Осн.</v>
          </cell>
          <cell r="H1659" t="str">
            <v>Ростовская</v>
          </cell>
          <cell r="I1659">
            <v>8</v>
          </cell>
        </row>
        <row r="1660">
          <cell r="C1660" t="str">
            <v>RO2918</v>
          </cell>
          <cell r="D1660" t="str">
            <v>33:трубостойки, АМС инфраструктурного оператора</v>
          </cell>
          <cell r="E1660" t="str">
            <v>Область Ростовская, Город Ростов-на-Дону, Улица Коллективная, Дом 72</v>
          </cell>
          <cell r="F1660">
            <v>1.2</v>
          </cell>
          <cell r="G1660" t="str">
            <v>Осн.</v>
          </cell>
          <cell r="H1660" t="str">
            <v>Ростовская</v>
          </cell>
          <cell r="I1660">
            <v>10</v>
          </cell>
        </row>
        <row r="1661">
          <cell r="C1661" t="str">
            <v>RO2919</v>
          </cell>
          <cell r="D1661" t="str">
            <v>21:собст. АМС до 10 м на крыше</v>
          </cell>
          <cell r="E1661" t="str">
            <v>Область Ростовская, Город Ростов-на-Дону, Улица Берберовская, Дом 6, Строение 1</v>
          </cell>
          <cell r="F1661">
            <v>1.2</v>
          </cell>
          <cell r="G1661" t="str">
            <v>Осн.</v>
          </cell>
          <cell r="H1661" t="str">
            <v>Ростовская</v>
          </cell>
          <cell r="I1661">
            <v>10</v>
          </cell>
        </row>
        <row r="1662">
          <cell r="C1662" t="str">
            <v>RO2921</v>
          </cell>
          <cell r="D1662" t="str">
            <v>31:трубостойки на чужой АМС на земле/крыше</v>
          </cell>
          <cell r="E1662" t="str">
            <v>Ростов-на-Дону, Проспект Космонавтов, Дом 27/4\рядом с домом</v>
          </cell>
          <cell r="F1662">
            <v>1.22</v>
          </cell>
          <cell r="G1662" t="str">
            <v>Осн.</v>
          </cell>
          <cell r="H1662" t="str">
            <v>Ростовская</v>
          </cell>
          <cell r="I1662">
            <v>11</v>
          </cell>
        </row>
        <row r="1663">
          <cell r="C1663" t="str">
            <v>RO2923</v>
          </cell>
          <cell r="D1663" t="str">
            <v>21:собст. АМС до 10 м на крыше</v>
          </cell>
          <cell r="E1663" t="str">
            <v>Область Ростовская, Город Ростов-на-Дону, Улица Штахановского, Дом 16</v>
          </cell>
          <cell r="F1663">
            <v>1.24</v>
          </cell>
          <cell r="G1663" t="str">
            <v>Осн.</v>
          </cell>
          <cell r="H1663" t="str">
            <v>Ростовская</v>
          </cell>
          <cell r="I1663">
            <v>12</v>
          </cell>
        </row>
        <row r="1664">
          <cell r="C1664" t="str">
            <v>RO2927</v>
          </cell>
          <cell r="D1664" t="str">
            <v>21:собст. АМС до 10 м на крыше</v>
          </cell>
          <cell r="E1664" t="str">
            <v>Область Ростовская, Город Ростов-на-Дону, Улица Оганова 20, Строение 1</v>
          </cell>
          <cell r="F1664">
            <v>1.2</v>
          </cell>
          <cell r="G1664" t="str">
            <v>Осн.</v>
          </cell>
          <cell r="H1664" t="str">
            <v>Ростовская</v>
          </cell>
          <cell r="I1664">
            <v>10</v>
          </cell>
        </row>
        <row r="1665">
          <cell r="C1665" t="str">
            <v>RO2929</v>
          </cell>
          <cell r="D1665" t="str">
            <v>31:трубостойки на чужой АМС на земле/крыше</v>
          </cell>
          <cell r="E1665" t="str">
            <v>Область Ростовская, Город Ростов-на-Дону, Улица Зрелищная, Земельный участок 26/162</v>
          </cell>
          <cell r="F1665">
            <v>1.26</v>
          </cell>
          <cell r="G1665" t="str">
            <v>Осн.</v>
          </cell>
          <cell r="H1665" t="str">
            <v>Ростовская</v>
          </cell>
          <cell r="I1665">
            <v>13</v>
          </cell>
        </row>
        <row r="1666">
          <cell r="C1666" t="str">
            <v>RO2937</v>
          </cell>
          <cell r="D1666" t="str">
            <v>21:собст. АМС до 10 м на крыше</v>
          </cell>
          <cell r="E1666" t="str">
            <v>Область Ростовская, Город Азов, Улица Московская, Дом 76</v>
          </cell>
          <cell r="F1666">
            <v>1.74</v>
          </cell>
          <cell r="G1666" t="str">
            <v>Осн.</v>
          </cell>
          <cell r="H1666" t="str">
            <v>Ростовская</v>
          </cell>
          <cell r="I1666">
            <v>37</v>
          </cell>
        </row>
        <row r="1667">
          <cell r="C1667" t="str">
            <v>RO2954</v>
          </cell>
          <cell r="D1667" t="str">
            <v>33:трубостойки, АМС инфраструктурного оператора</v>
          </cell>
          <cell r="E1667" t="str">
            <v>Область Ростовская, Город Шахты, Проспект Ленинского Комсомола, Земельный участок 37д</v>
          </cell>
          <cell r="F1667">
            <v>2.94</v>
          </cell>
          <cell r="G1667" t="str">
            <v>Осн.</v>
          </cell>
          <cell r="H1667" t="str">
            <v>Ростовская</v>
          </cell>
          <cell r="I1667">
            <v>97</v>
          </cell>
        </row>
        <row r="1668">
          <cell r="C1668" t="str">
            <v>RO2972</v>
          </cell>
          <cell r="D1668" t="str">
            <v>33:трубостойки, АМС инфраструктурного оператора</v>
          </cell>
          <cell r="E1668" t="str">
            <v>Город Таганрог, Проезд Калужский, Дом 3/11</v>
          </cell>
          <cell r="F1668">
            <v>1.18</v>
          </cell>
          <cell r="G1668" t="str">
            <v>Доп.</v>
          </cell>
          <cell r="H1668" t="str">
            <v>Таганрогская</v>
          </cell>
          <cell r="I1668">
            <v>9</v>
          </cell>
        </row>
        <row r="1669">
          <cell r="C1669" t="str">
            <v>RO2983</v>
          </cell>
          <cell r="D1669" t="str">
            <v>31:трубостойки на чужой АМС на земле/крыше</v>
          </cell>
          <cell r="E1669" t="str">
            <v>Область Ростовская, Город Таганрог, Шоссе Северо-Западное, Дом 40\АМС ФГУП "РТРС"</v>
          </cell>
          <cell r="F1669">
            <v>1.3599999999999999</v>
          </cell>
          <cell r="G1669" t="str">
            <v>Доп.</v>
          </cell>
          <cell r="H1669" t="str">
            <v>Таганрогская</v>
          </cell>
          <cell r="I1669">
            <v>18</v>
          </cell>
        </row>
        <row r="1670">
          <cell r="C1670" t="str">
            <v>RO9001</v>
          </cell>
          <cell r="D1670" t="str">
            <v>21:собст. АМС до 10 м на крыше</v>
          </cell>
          <cell r="E1670" t="str">
            <v>Ростовская Область, Новошахтинск Город, Ленина Проспект, дом 4</v>
          </cell>
          <cell r="F1670">
            <v>2.7</v>
          </cell>
          <cell r="G1670" t="str">
            <v>Осн.</v>
          </cell>
          <cell r="H1670" t="str">
            <v>Ростовская</v>
          </cell>
          <cell r="I1670">
            <v>85</v>
          </cell>
        </row>
        <row r="1671">
          <cell r="C1671" t="str">
            <v>RO9005</v>
          </cell>
          <cell r="D1671" t="str">
            <v>50:транспортная точка без АМС и без оборудования БС</v>
          </cell>
          <cell r="E1671" t="str">
            <v>Ростовская Область, Ростов-на-Дону Город, Газетный Переулок, дом 49</v>
          </cell>
          <cell r="F1671">
            <v>1.06</v>
          </cell>
          <cell r="G1671" t="str">
            <v>Осн.</v>
          </cell>
          <cell r="H1671" t="str">
            <v>Ростовская</v>
          </cell>
          <cell r="I1671">
            <v>3</v>
          </cell>
        </row>
        <row r="1672">
          <cell r="C1672" t="str">
            <v>RO9342</v>
          </cell>
          <cell r="D1672" t="str">
            <v>31:трубостойки на чужой АМС на земле/крыше</v>
          </cell>
          <cell r="E1672" t="str">
            <v xml:space="preserve">Ростовская Область Кашарский Район Усть-Мечетка Село </v>
          </cell>
          <cell r="F1672">
            <v>3.86</v>
          </cell>
          <cell r="G1672" t="str">
            <v>Осн.</v>
          </cell>
          <cell r="H1672" t="str">
            <v>Каменская</v>
          </cell>
          <cell r="I1672">
            <v>143</v>
          </cell>
        </row>
        <row r="1673">
          <cell r="C1673" t="str">
            <v>RO9401</v>
          </cell>
          <cell r="D1673" t="str">
            <v>50:транспортная точка без АМС и без оборудования БС</v>
          </cell>
          <cell r="E1673" t="str">
            <v>Ростовская Область, Таганрог Город, Фрунзе Улица, дом 38</v>
          </cell>
          <cell r="F1673">
            <v>1.08</v>
          </cell>
          <cell r="G1673" t="str">
            <v>Доп.</v>
          </cell>
          <cell r="H1673" t="str">
            <v>Таганрогская</v>
          </cell>
          <cell r="I1673">
            <v>4</v>
          </cell>
        </row>
        <row r="1674">
          <cell r="C1674" t="str">
            <v>RO9601</v>
          </cell>
          <cell r="D1674" t="str">
            <v>50:транспортная точка без АМС и без оборудования БС</v>
          </cell>
          <cell r="E1674" t="str">
            <v>Область Ростовская, Город Шахты, Проспект Карла Маркса, Владение 106</v>
          </cell>
          <cell r="F1674">
            <v>2.6</v>
          </cell>
          <cell r="G1674" t="str">
            <v>Осн.</v>
          </cell>
          <cell r="H1674" t="str">
            <v>Ростовская</v>
          </cell>
          <cell r="I1674">
            <v>80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Ф"/>
      <sheetName val="Работы"/>
      <sheetName val="Расстояния"/>
      <sheetName val="Opex"/>
      <sheetName val="СИМ"/>
      <sheetName val="КС2"/>
      <sheetName val="КС3"/>
    </sheetNames>
    <sheetDataSet>
      <sheetData sheetId="0"/>
      <sheetData sheetId="1">
        <row r="1">
          <cell r="A1" t="str">
            <v>№ п/п</v>
          </cell>
          <cell r="B1" t="str">
            <v>Наименование работ*</v>
          </cell>
        </row>
        <row r="2">
          <cell r="A2" t="str">
            <v>1. Антенно - фидерное устройство Объекта </v>
          </cell>
        </row>
        <row r="3">
          <cell r="A3" t="str">
            <v>.1.1.</v>
          </cell>
          <cell r="B3" t="str">
            <v>Диагностика, измерение потерь оптической линии между аппаратной и оборудованием на АМС рефлектометром (длина линии, расстояние до повреждения, затухание)</v>
          </cell>
        </row>
        <row r="4">
          <cell r="A4" t="str">
            <v>1.2.</v>
          </cell>
          <cell r="B4" t="str">
            <v>Диагностика и устранение дефектов АФУ сектора БС (локализация неисправности или перепуток Net Monitor'ом, проверка/ремонт разъёмов, соединительных джемперов, проверка КСВ)</v>
          </cell>
        </row>
        <row r="5">
          <cell r="A5" t="str">
            <v>1.3.</v>
          </cell>
          <cell r="B5" t="str">
            <v>Замена RF кабеля БС 1/2, RF кабеля РРЛ (с установкой креплений, заземлением, включая крепёжные элементы)</v>
          </cell>
        </row>
        <row r="6">
          <cell r="A6" t="str">
            <v>1.4.</v>
          </cell>
          <cell r="B6" t="str">
            <v>Замена RF кабеля БС 7/8 (с установкой креплений, заземлением, включая крепёжные элементы)</v>
          </cell>
        </row>
        <row r="7">
          <cell r="A7" t="str">
            <v>1.5.</v>
          </cell>
          <cell r="B7" t="str">
            <v>Замена RF кабеля GPS антенны</v>
          </cell>
        </row>
        <row r="8">
          <cell r="A8" t="str">
            <v>1.6.</v>
          </cell>
          <cell r="B8" t="str">
            <v>Диагностика, замена или ремонт RF разъёмов БС и RF разъёмов РРЛ N-type на АМС</v>
          </cell>
        </row>
        <row r="9">
          <cell r="A9" t="str">
            <v>1.7.</v>
          </cell>
          <cell r="B9" t="str">
            <v>Диагностика, замена или ремонт RF разъёмов БС и RF разъёмов РРЛ N-type в аппаратной</v>
          </cell>
        </row>
        <row r="10">
          <cell r="A10" t="str">
            <v>1.8.</v>
          </cell>
          <cell r="B10" t="str">
            <v>Диагностика и замена outdoor джамперов 1/2"</v>
          </cell>
        </row>
        <row r="11">
          <cell r="A11" t="str">
            <v>1.9.</v>
          </cell>
          <cell r="B11" t="str">
            <v>Диагностика и замена indoor джамперов 1/2"</v>
          </cell>
        </row>
        <row r="12">
          <cell r="A12" t="str">
            <v>1.10.</v>
          </cell>
          <cell r="B12" t="str">
            <v>Диагностика и замена кабеля управления RET</v>
          </cell>
        </row>
        <row r="13">
          <cell r="A13" t="str">
            <v>1.11.</v>
          </cell>
          <cell r="B13" t="str">
            <v>Диагностика и замена устройств регулировки угла наклона (RET)</v>
          </cell>
        </row>
        <row r="14">
          <cell r="A14" t="str">
            <v>1.12.</v>
          </cell>
          <cell r="B14" t="str">
            <v>Замена, подключение и юстировка антенн базовых станций (вкл. джамперы, заземления, грозоразрядники)</v>
          </cell>
        </row>
        <row r="15">
          <cell r="A15" t="str">
            <v>1.13.</v>
          </cell>
          <cell r="B15" t="str">
            <v>Изменение механического угла наклона или азимута одной антенны</v>
          </cell>
        </row>
        <row r="16">
          <cell r="A16" t="str">
            <v>1.14.</v>
          </cell>
          <cell r="B16" t="str">
            <v>Изменение электрических углов наклона на одной антенне вне зависимости от количества механизмов регулировки углов</v>
          </cell>
        </row>
        <row r="17">
          <cell r="A17" t="str">
            <v>1.15.</v>
          </cell>
          <cell r="B17" t="str">
            <v>Замена антенны GPS</v>
          </cell>
        </row>
        <row r="18">
          <cell r="A18" t="str">
            <v>1.16.</v>
          </cell>
          <cell r="B18" t="str">
            <v>Сверка АФУ с данными RDB с предоставлением фотоотчёта</v>
          </cell>
        </row>
        <row r="19">
          <cell r="A19" t="str">
            <v>1.17.</v>
          </cell>
          <cell r="B19" t="str">
            <v>Приведение АФУ в соответствие RDB (коррекция азимута, механического и электрических углов наклона, фотоотчёт)</v>
          </cell>
        </row>
        <row r="20">
          <cell r="A20" t="str">
            <v>1.18.</v>
          </cell>
          <cell r="B20" t="str">
            <v>Замена ОВ кабеля до 48 волокон по зданиям включая, но не ограничиваясь: пробивка/сверление/заделка отверстий, герметизация каналов (при необходимости), прокладка кабеля в существующих кабель-ростах, трубах, коробах, кабель-каналах и проч., крепление кабеля, установка защиты в опасных местах, измерение характеристик ОВ кабеля после монтажа (без учёта стоимости материалов)</v>
          </cell>
        </row>
        <row r="21">
          <cell r="A21" t="str">
            <v>1.19.</v>
          </cell>
          <cell r="B21" t="str">
            <v>Сварка оптических волокон включая измерения характеристик волокон после сварки</v>
          </cell>
        </row>
        <row r="22">
          <cell r="A22" t="str">
            <v>1.20.</v>
          </cell>
          <cell r="B22" t="str">
            <v>Замена муфты оптической, включая сварку волокон (до 16 ОВ)</v>
          </cell>
        </row>
        <row r="23">
          <cell r="A23" t="str">
            <v>1.21.</v>
          </cell>
          <cell r="B23" t="str">
            <v>Замена кросса оптического, включая варку волокон в разъёмы (до 16 ОВ)</v>
          </cell>
        </row>
        <row r="24">
          <cell r="A24" t="str">
            <v>1.22.</v>
          </cell>
          <cell r="B24" t="str">
            <v>Замена аттенюатора (включая интеграцию и настройку)</v>
          </cell>
        </row>
        <row r="25">
          <cell r="A25" t="str">
            <v>1.23.</v>
          </cell>
          <cell r="B25" t="str">
            <v>Измерение мощности оптического сигнала</v>
          </cell>
        </row>
        <row r="26">
          <cell r="A26" t="str">
            <v xml:space="preserve">2. Оборудование Объекта </v>
          </cell>
        </row>
        <row r="27">
          <cell r="A27" t="str">
            <v>2.1.</v>
          </cell>
          <cell r="B27" t="str">
            <v>Диагностика и замена модуля передатчиков БС в аппаратной, включая монтаж всех крепёжных элементов и кабелей, переключение джемперов и созданием логических объектов на стороне БС</v>
          </cell>
        </row>
        <row r="28">
          <cell r="A28" t="str">
            <v>2.2.</v>
          </cell>
          <cell r="B28" t="str">
            <v>Диагностика и замена модуля передатчиков БС на АМС, включая монтаж всех крепёжных элементов и кабелей, переключение джамперов и созданием логических объектов на стороне БС</v>
          </cell>
        </row>
        <row r="29">
          <cell r="A29" t="str">
            <v>2.3.</v>
          </cell>
          <cell r="B29" t="str">
            <v>Диагностика и замена системного модуля БС в аппаратной или ниже 10м на Объекте (включая монтаж всех крепёжных элементов и кабелей и создание логических объектов на стороне БС)</v>
          </cell>
        </row>
        <row r="30">
          <cell r="A30" t="str">
            <v>2.4.</v>
          </cell>
          <cell r="B30" t="str">
            <v>Диагностика и замена системного модуля БС на АМС (включая монтаж всех крепёжных элементов и кабелей, переключение джамперов и созданием логических объектов на стороне БС)</v>
          </cell>
        </row>
        <row r="31">
          <cell r="A31" t="str">
            <v>2.5.</v>
          </cell>
          <cell r="B31" t="str">
            <v>Диагностика и замена модуля в корзине БС (TCU, FIQB, FTIF, FIQA, или аналогичного) или платы расширения системы (FBBA и аналогичного) в аппаратной или ниже 10 метров на Объекте, включая монтаж всех крепёжных элементов и кабелей. Создание логических объектов на стороне БС</v>
          </cell>
        </row>
        <row r="32">
          <cell r="A32" t="str">
            <v>2.6.</v>
          </cell>
          <cell r="B32" t="str">
            <v>Диагностика и замена модуля в корзине БС (TCU, FIQB, FTIF, FIQA, или аналогичного) или платы расширения системы (FBBA и аналогичного) на АМС, выше 10 метров, включая монтаж всех крепёжных элементов и кабелей. Создание логических объектов на стороне БС</v>
          </cell>
        </row>
        <row r="33">
          <cell r="A33" t="str">
            <v>2.7.</v>
          </cell>
          <cell r="B33" t="str">
            <v>Диагностика и замена корзины питания модулей DUW/DUS/TCU или аналогичных</v>
          </cell>
        </row>
        <row r="34">
          <cell r="A34" t="str">
            <v>2.8.</v>
          </cell>
          <cell r="B34" t="str">
            <v>Диагностика и замена оптического модуля SFP в оборудование, смонтированное в аппаратной или ниже 10 метров</v>
          </cell>
        </row>
        <row r="35">
          <cell r="A35" t="str">
            <v>2.9.</v>
          </cell>
          <cell r="B35" t="str">
            <v>Диагностика и замена оптического модуля SFP в оборудование, смонтированное на АМС, выше 10 метров</v>
          </cell>
        </row>
        <row r="36">
          <cell r="A36" t="str">
            <v>2.10.</v>
          </cell>
          <cell r="B36" t="str">
            <v xml:space="preserve">Замена и подключение кабелей питания DC 48В между системой питания и оборудованием БС или трансмиссии в аппаратной </v>
          </cell>
        </row>
        <row r="37">
          <cell r="A37" t="str">
            <v>2.11.</v>
          </cell>
          <cell r="B37" t="str">
            <v>Диагностика, замена FAN-модуля (вентиляторов в EXDA, FXEA, FXEB или аналогичных модулях)</v>
          </cell>
        </row>
        <row r="38">
          <cell r="A38" t="str">
            <v>2.12.</v>
          </cell>
          <cell r="B38" t="str">
            <v>Диагностика, замена соединительных кабелей на АМС (Power, заземление)</v>
          </cell>
        </row>
        <row r="39">
          <cell r="A39" t="str">
            <v>2.13.</v>
          </cell>
          <cell r="B39" t="str">
            <v>Диагностика, замена кабеля (оптического и UTP/FTP) между оборудованием в аппаратной и оборудованием на АМС</v>
          </cell>
        </row>
        <row r="40">
          <cell r="A40" t="str">
            <v>2.14.</v>
          </cell>
          <cell r="B40" t="str">
            <v>Диагностика, замена аттенюатора, делителя, сумматора, комбайнера, антенн для indoor АФТ</v>
          </cell>
        </row>
        <row r="41">
          <cell r="A41" t="str">
            <v>2.15.</v>
          </cell>
          <cell r="B41" t="str">
            <v>Замена кабеля питания DC (СИП 4*35, 4*50) по кабельному мосту, включая заземление, зажимы, наконечники, колпачки, ПВЗ (без учёта стоимости материала)</v>
          </cell>
        </row>
        <row r="42">
          <cell r="A42" t="str">
            <v>2.16.</v>
          </cell>
          <cell r="B42" t="str">
            <v>Замена ПВ З кабеля 1*25 / 1*35/ 1*10, включая крепления (трасса до 5 метров)</v>
          </cell>
        </row>
        <row r="43">
          <cell r="A43" t="str">
            <v>2.17.</v>
          </cell>
          <cell r="B43" t="str">
            <v xml:space="preserve">Замена прокалывающего зажима </v>
          </cell>
        </row>
        <row r="44">
          <cell r="A44" t="str">
            <v>2.18.</v>
          </cell>
          <cell r="B44" t="str">
            <v xml:space="preserve">Ремонт, замена распределительной коробки электропитания на АМС </v>
          </cell>
        </row>
        <row r="45">
          <cell r="A45" t="str">
            <v>2.19.</v>
          </cell>
          <cell r="B45" t="str">
            <v>Замена репитера для indoor БС</v>
          </cell>
        </row>
        <row r="46">
          <cell r="A46" t="str">
            <v>2.20.</v>
          </cell>
          <cell r="B46" t="str">
            <v>Диагностика, замена температурного датчика, включая прокладку кабеля (без учёта материалов)</v>
          </cell>
        </row>
        <row r="47">
          <cell r="A47" t="str">
            <v>2.21.</v>
          </cell>
          <cell r="B47" t="str">
            <v xml:space="preserve">Замена indoor 19" стойки (включая стоимость материалов, демонтажа/монтажа и смещения блоков, не включая стоимость стойки 19") </v>
          </cell>
        </row>
        <row r="48">
          <cell r="A48" t="str">
            <v>2.22.</v>
          </cell>
          <cell r="B48" t="str">
            <v>Установка температурных режимов на оборудовании Объекта</v>
          </cell>
        </row>
        <row r="49">
          <cell r="A49" t="str">
            <v>2.23.</v>
          </cell>
          <cell r="B49" t="str">
            <v>Работы по монтажу системы мониторинга оборудования связи в климатическом шкафу</v>
          </cell>
        </row>
        <row r="50">
          <cell r="A50" t="str">
            <v>2.24.</v>
          </cell>
          <cell r="B50" t="str">
            <v>Диагностика, расшивка внешних аварий на одном Объекте (питание Power, отсутствие фазы rectifier, низкая температура, высокая температура, датчик двери, пожар) включая монтаж кабеля Alarm</v>
          </cell>
        </row>
        <row r="51">
          <cell r="A51" t="str">
            <v>2.25.</v>
          </cell>
          <cell r="B51" t="str">
            <v>Установка или замена программного обеспечения (софт или конфигурационный файл) без замены блоков на одной единице оборудования</v>
          </cell>
        </row>
        <row r="52">
          <cell r="A52" t="str">
            <v>2.26.</v>
          </cell>
          <cell r="B52" t="str">
            <v>Чистка оптических коннекторов, портов, типа SC, FC, LC (методом сухой, влажной чистки при помощи чистящей ручки, салфетки со спиртом)</v>
          </cell>
        </row>
        <row r="53">
          <cell r="A53" t="str">
            <v>2.27.</v>
          </cell>
          <cell r="B53" t="str">
            <v>Чистка от загрязнения вентиляторов выпрямителей, внутренних модулей БС, трансмиссии</v>
          </cell>
        </row>
        <row r="54">
          <cell r="A54" t="str">
            <v>3. Работы в отношении антенно - фидерного устройства радиорелейной линии (РРЛ)</v>
          </cell>
        </row>
        <row r="55">
          <cell r="A55" t="str">
            <v>3.1.</v>
          </cell>
          <cell r="B55" t="str">
            <v>Замена антенны РРЛ 0,3 м (в комплекте с радиомодулем), заземление</v>
          </cell>
        </row>
        <row r="56">
          <cell r="A56" t="str">
            <v>3.2.</v>
          </cell>
          <cell r="B56" t="str">
            <v>Замена антенны РРЛ 0,6 (0,9) м (в комплекте с радиомодулем), заземление</v>
          </cell>
        </row>
        <row r="57">
          <cell r="A57" t="str">
            <v>3.3.</v>
          </cell>
          <cell r="B57" t="str">
            <v>Замена антенны РРЛ 1,2 – 1,8 м (в комплекте с радиомодулем), заземление</v>
          </cell>
        </row>
        <row r="58">
          <cell r="A58" t="str">
            <v>3.4.</v>
          </cell>
          <cell r="B58" t="str">
            <v>Юстировка РРЛ пролёта (диам. от 0,3 до 0,9м)</v>
          </cell>
        </row>
        <row r="59">
          <cell r="A59" t="str">
            <v>3.5.</v>
          </cell>
          <cell r="B59" t="str">
            <v>Юстировка РРЛ пролёта (диам. от 1м до 1,8)</v>
          </cell>
        </row>
        <row r="60">
          <cell r="A60" t="str">
            <v>3.6.</v>
          </cell>
          <cell r="B60" t="str">
            <v>Юстировка РРЛ полупролета (диам. от 0,3 до 0,9м)</v>
          </cell>
        </row>
        <row r="61">
          <cell r="A61" t="str">
            <v>3.7.</v>
          </cell>
          <cell r="B61" t="str">
            <v>Юстировка РРЛ полупролета (диам. от 1м до 1,8)</v>
          </cell>
        </row>
        <row r="62">
          <cell r="A62" t="str">
            <v>3.8.</v>
          </cell>
          <cell r="B62" t="str">
            <v>Диагностика, замена, ремонт заземления РРЛ-фидера (Комплект на один фидер)</v>
          </cell>
        </row>
        <row r="63">
          <cell r="A63" t="str">
            <v>3.9.</v>
          </cell>
          <cell r="B63" t="str">
            <v>Восстановление крепления кабелей РРЛ, оптических кабелей, цифровых кабелей (1xAlarm, 1xLMP, 4xE1, 2xEthernet), кабелей питания DC (СИП 4*35, 4*50, ВБбШв2*25) по кабельному мосту, АМС включая зажимы, стяжки</v>
          </cell>
        </row>
        <row r="64">
          <cell r="A64" t="str">
            <v>3.10.</v>
          </cell>
          <cell r="B64" t="str">
            <v>Герметизация соединения оптического кабеля (между системным блоком и радиоблоком) включая материал лента VM, лента 88Т</v>
          </cell>
        </row>
        <row r="65">
          <cell r="A65" t="str">
            <v>3.11.</v>
          </cell>
          <cell r="B65" t="str">
            <v>Диагностика АФУ РРЛ (проверка/ремонт разъёмов, осмотр Ground Kit`ов, соединительных джамперов, КСВ фидерной трассы, поиск неисправности средствами диагностики РРЛ)</v>
          </cell>
        </row>
        <row r="66">
          <cell r="A66" t="str">
            <v>3.12.</v>
          </cell>
          <cell r="B66" t="str">
            <v>Замена радио-блока (ODU) РРЛ с настройкой параметров магазина и внутренних блоков РРС одного полукомплекта РРС включая герметизацию RF разъёма</v>
          </cell>
        </row>
        <row r="67">
          <cell r="A67" t="str">
            <v>4. Работы в отношении оборудования радиорелейной линии, трансмиссионного оборудования</v>
          </cell>
        </row>
        <row r="68">
          <cell r="A68" t="str">
            <v>4.1.</v>
          </cell>
          <cell r="B68" t="str">
            <v>Диагностика, замена, настройка и интеграция трансмиссионного оборудования (полукомлект РРЛ, MUX, модем, MBH, CWDM, оптический медиаконвертер (преобразователь FOL-ETH))</v>
          </cell>
        </row>
        <row r="69">
          <cell r="A69" t="str">
            <v>4.2.</v>
          </cell>
          <cell r="B69" t="str">
            <v>Замена корзины РРЛ, внутренних блоков РРЛ, узла доступа, узла агрегации, включая перенос блоков, монтаж всех крепежных элементов, кабелей и интеграцию</v>
          </cell>
        </row>
        <row r="70">
          <cell r="A70" t="str">
            <v>4.3.</v>
          </cell>
          <cell r="B70" t="str">
            <v>Настройка параметров трансмиссионного оборудования (полукомлект РРЛ, MUX, модем, MBH)</v>
          </cell>
        </row>
        <row r="71">
          <cell r="A71" t="str">
            <v>4.4.</v>
          </cell>
          <cell r="B71" t="str">
            <v>Замена indoor плат на трансмиссионном оборудовании (включая интеграцию)</v>
          </cell>
        </row>
        <row r="72">
          <cell r="A72" t="str">
            <v>4.5.</v>
          </cell>
          <cell r="B72" t="str">
            <v>Замена оптического или медного патч-корда</v>
          </cell>
        </row>
        <row r="73">
          <cell r="A73" t="str">
            <v>4.6.</v>
          </cell>
          <cell r="B73" t="str">
            <v>Кроссировка, маршрутизация и проверка потоков (независимо от кол-ва потоков)</v>
          </cell>
        </row>
        <row r="74">
          <cell r="A74" t="str">
            <v xml:space="preserve">5. Работы в отношении энергопринимающего устройства </v>
          </cell>
        </row>
        <row r="75">
          <cell r="A75" t="str">
            <v>5.1.</v>
          </cell>
          <cell r="B75" t="str">
            <v>Диагностика и замена управляющего блока стойки питания (включая подключение и конфигурацию)</v>
          </cell>
        </row>
        <row r="76">
          <cell r="A76" t="str">
            <v>5.2.</v>
          </cell>
          <cell r="B76" t="str">
            <v>Диагностика и замена выпрямительного модуля (включая подключение и конфигурацию)</v>
          </cell>
        </row>
        <row r="77">
          <cell r="A77" t="str">
            <v>5.3.</v>
          </cell>
          <cell r="B77" t="str">
            <v>Осмотр и тестирование аккумуляторов источников бесперебойного питания (ИБП) по упрощенной методике (разряд на штатную нагрузку ИБП до 2 (двух) часов с измерением их параметров)</v>
          </cell>
        </row>
        <row r="78">
          <cell r="A78" t="str">
            <v>5.4.</v>
          </cell>
          <cell r="B78" t="str">
            <v>Замена одной аккумуляторной батареи в группе</v>
          </cell>
        </row>
        <row r="79">
          <cell r="A79" t="str">
            <v>5.5.</v>
          </cell>
          <cell r="B79" t="str">
            <v>Замена группы аккумуляторных батарей</v>
          </cell>
        </row>
        <row r="80">
          <cell r="A80" t="str">
            <v>5.6.</v>
          </cell>
          <cell r="B80" t="str">
            <v xml:space="preserve">Замена, ремонт кабеля соединения с заземляющим устройством ГЗШ </v>
          </cell>
        </row>
        <row r="81">
          <cell r="A81" t="str">
            <v>5.7.</v>
          </cell>
          <cell r="B81" t="str">
            <v xml:space="preserve">Замена, ремонт вводного кабеля, кабелей электропитания оборудования </v>
          </cell>
        </row>
        <row r="82">
          <cell r="A82" t="str">
            <v>5.8.</v>
          </cell>
          <cell r="B82" t="str">
            <v>Замена, ремонт распределительного щита (outdoor, indoor)</v>
          </cell>
        </row>
        <row r="83">
          <cell r="A83" t="str">
            <v>5.9.</v>
          </cell>
          <cell r="B83" t="str">
            <v>Диагностика и замена контактора/пускателя в щите автоматического включения резерва (АВР) (без учета стоимости контактора/пускателя)</v>
          </cell>
        </row>
        <row r="84">
          <cell r="A84" t="str">
            <v>5.10.</v>
          </cell>
          <cell r="B84" t="str">
            <v>Диагностика и замена АСКУЭ</v>
          </cell>
        </row>
        <row r="85">
          <cell r="A85" t="str">
            <v>5.11.</v>
          </cell>
          <cell r="B85" t="str">
            <v xml:space="preserve">Замена электросчетчика </v>
          </cell>
        </row>
        <row r="86">
          <cell r="A86" t="str">
            <v>5.12.</v>
          </cell>
          <cell r="B86" t="str">
            <v>Замена автоматического выключателя (АВВ или аналог) или элемента устройства защиты от импульсных перенапряжений (УЗИП) или плавкой вставки или устройства защитного отключения (УЗО) или перемещение фазы подключения (без учета стоимости материалов)</v>
          </cell>
        </row>
        <row r="87">
          <cell r="A87" t="str">
            <v>5.13.</v>
          </cell>
          <cell r="B87" t="str">
            <v xml:space="preserve">Замена вводного автоматического выключателя, рубильника </v>
          </cell>
        </row>
        <row r="88">
          <cell r="A88" t="str">
            <v>5.14.</v>
          </cell>
          <cell r="B88" t="str">
            <v>Снятие показаний электросчётчика</v>
          </cell>
        </row>
        <row r="89">
          <cell r="A89" t="str">
            <v>5.15.</v>
          </cell>
          <cell r="B89" t="str">
            <v>Замена стойки питания БС (Eltek, Huawei, PowerOne, Энергомера, Интеркросс или любые аналоги)  - включая: заземление, подключение к сети 220VAC, подключение нагрузки к 48VDC и специальных кабелей, настройку ИБП. - не включая: замену АКБ (осмечивается отдельным пунктом прайса)</v>
          </cell>
        </row>
        <row r="90">
          <cell r="A90" t="str">
            <v>5.16.</v>
          </cell>
          <cell r="B90" t="str">
            <v>Замена ИБП (в составе стойки энергопитания или климатическом шкафу)</v>
          </cell>
        </row>
        <row r="91">
          <cell r="A91" t="str">
            <v>5.17.</v>
          </cell>
          <cell r="B91" t="str">
            <v>Настройка, прописка ИБП, включая подключение и тестирование внешних аварий</v>
          </cell>
        </row>
        <row r="92">
          <cell r="A92" t="str">
            <v>5.18.</v>
          </cell>
          <cell r="B92" t="str">
            <v>Замена или ремонт узла отключения неприоритетной нагрузки</v>
          </cell>
        </row>
        <row r="93">
          <cell r="A93" t="str">
            <v>5.19.</v>
          </cell>
          <cell r="B93" t="str">
            <v>Замена магазина автоматических выключателей 48VDC (DCDU, PDU)</v>
          </cell>
        </row>
        <row r="94">
          <cell r="A94" t="str">
            <v>6. Общестроительные работы</v>
          </cell>
        </row>
        <row r="95">
          <cell r="A95" t="str">
            <v>6.1.</v>
          </cell>
          <cell r="B95" t="str">
            <v>Замена розетки, выключателя (с учётом стоимости материалов)</v>
          </cell>
        </row>
        <row r="96">
          <cell r="A96" t="str">
            <v>6.2.</v>
          </cell>
          <cell r="B96" t="str">
            <v>Ремонт, замена, внутреннего кабель-роста (демонтаж-монтаж кабель-роста и перекладка существующего кабеля)</v>
          </cell>
        </row>
        <row r="97">
          <cell r="A97" t="str">
            <v>6.3.</v>
          </cell>
          <cell r="B97" t="str">
            <v>Ремонт, перемещение и замена наружного кабель-роста (демонтаж-монтаж кабель-роста и перекладка существующего кабеля)</v>
          </cell>
        </row>
        <row r="98">
          <cell r="A98" t="str">
            <v>6.4.</v>
          </cell>
          <cell r="B98" t="str">
            <v>Устранение протечек (изготовление/восстановление кровли контейнера, с учетом стоимости материалов)</v>
          </cell>
        </row>
        <row r="99">
          <cell r="A99" t="str">
            <v>6.5.</v>
          </cell>
          <cell r="B99" t="str">
            <v>Изготовление ключа (с учетом стоимости материалов)</v>
          </cell>
        </row>
        <row r="100">
          <cell r="A100" t="str">
            <v>6.6.</v>
          </cell>
          <cell r="B100" t="str">
            <v>Устранение нарушений конструкций обеспечивающих безопасность объектов (антивандальные ограждение и т.п., без учета стоимости материалов)</v>
          </cell>
        </row>
        <row r="101">
          <cell r="A101" t="str">
            <v>6.7.</v>
          </cell>
          <cell r="B101" t="str">
            <v>Ремонт и замена несущих антенных конструкций, трубостойки</v>
          </cell>
        </row>
        <row r="102">
          <cell r="A102" t="str">
            <v>6.8.</v>
          </cell>
          <cell r="B102" t="str">
            <v>Изготовление несущих антенных конструкций, трубостойки</v>
          </cell>
        </row>
        <row r="103">
          <cell r="A103" t="str">
            <v>6.9.</v>
          </cell>
          <cell r="B103" t="str">
            <v>Ремонт и замена двери (демонтаж-монтаж с расходным материалом без стоимости двери)</v>
          </cell>
        </row>
        <row r="104">
          <cell r="A104" t="str">
            <v>6.10.</v>
          </cell>
          <cell r="B104" t="str">
            <v>Ремонт стен, потолка, пола, включая покраску</v>
          </cell>
        </row>
        <row r="105">
          <cell r="A105" t="str">
            <v>6.11.</v>
          </cell>
          <cell r="B105" t="str">
            <v>Покраска металлоконструкций</v>
          </cell>
        </row>
        <row r="106">
          <cell r="A106" t="str">
            <v>6.12.</v>
          </cell>
          <cell r="B106" t="str">
            <v xml:space="preserve">Ремонт антистатического линолеума </v>
          </cell>
        </row>
        <row r="107">
          <cell r="A107" t="str">
            <v>6.13.</v>
          </cell>
          <cell r="B107" t="str">
            <v>Вскрытие либо замена замка двери контейнера БС и климат. шкафа, калитки ограждения, люка АМС</v>
          </cell>
        </row>
        <row r="108">
          <cell r="A108" t="str">
            <v>6.14.</v>
          </cell>
          <cell r="B108" t="str">
            <v>Восстановление герметизации контейнера (дверь, фидерный ввод, вентиляция) (с учетом стоимости материалов)</v>
          </cell>
        </row>
        <row r="109">
          <cell r="A109" t="str">
            <v>6.15.</v>
          </cell>
          <cell r="B109" t="str">
            <v>Ремонт неисправного светильника СОМ (плафон/патрон/лампа), в том числе на АМС (без учёта стоимости материалов)</v>
          </cell>
        </row>
        <row r="110">
          <cell r="A110" t="str">
            <v>6.16.</v>
          </cell>
          <cell r="B110" t="str">
            <v>Перенос существующей трубостойки на 1 сайте (без учета демонтажа/монтажа навешенного оборудования)</v>
          </cell>
        </row>
        <row r="111">
          <cell r="A111" t="str">
            <v>6.17.</v>
          </cell>
          <cell r="B111" t="str">
            <v>Перенос существующей пригруженной трубостойки на 1 сайте (без учета демонтажа/монтажа навешенного оборудования)</v>
          </cell>
        </row>
        <row r="112">
          <cell r="A112" t="str">
            <v>6.18.</v>
          </cell>
          <cell r="B112" t="str">
            <v>Замена антивандальной защиты (работы, с учетом стоимости расходных материалов, без учета стоимости металла)</v>
          </cell>
        </row>
        <row r="113">
          <cell r="A113" t="str">
            <v>6.15.</v>
          </cell>
          <cell r="B113" t="str">
            <v>Замена стеллажа для размещения одной группы АКБ (включая подключение к ИБП, не включая монтаж кабельной трассы между стеллажом и ИБП)</v>
          </cell>
        </row>
        <row r="114">
          <cell r="A114" t="str">
            <v>6.16.</v>
          </cell>
          <cell r="B114" t="str">
            <v>Замена климатического шкафа для аккумуляторных батарей (включая: подключение к ИБП, подключение и настройку внешних аварий, не включая монтаж кабельной трассы между КШ АКБ и ИБП)</v>
          </cell>
        </row>
        <row r="115">
          <cell r="A115" t="str">
            <v>6.17.</v>
          </cell>
          <cell r="B115" t="str">
            <v>Замена основания под размещение КШ АКБ на грунт</v>
          </cell>
        </row>
        <row r="116">
          <cell r="A116" t="str">
            <v>6.18.</v>
          </cell>
          <cell r="B116" t="str">
            <v>Замена основания под размещение КШ АКБ на стену</v>
          </cell>
        </row>
        <row r="117">
          <cell r="A117" t="str">
            <v>6.15.</v>
          </cell>
          <cell r="B117" t="str">
            <v>Замена основания под размещение КШ АКБ на готовое основание</v>
          </cell>
        </row>
        <row r="118">
          <cell r="A118" t="str">
            <v>7. Помещения Объекта </v>
          </cell>
        </row>
        <row r="119">
          <cell r="A119" t="str">
            <v>7.1.</v>
          </cell>
          <cell r="B119" t="str">
            <v>Замена перегоревших ламп и неисправных светильников в помещениях базовых станций</v>
          </cell>
        </row>
        <row r="120">
          <cell r="A120" t="str">
            <v>8. Работы в отношении охранно-пожарной сигнализации</v>
          </cell>
        </row>
        <row r="121">
          <cell r="A121" t="str">
            <v>8.1.</v>
          </cell>
          <cell r="B121" t="str">
            <v>Диагностика и замена ОПС (комплект, включая извещатели, кодовые панели, укладку кабелей, пуско-наладку и проверку прохождения сигналов в NOC)  (без учета стоимости материалов)</v>
          </cell>
        </row>
        <row r="122">
          <cell r="A122" t="str">
            <v>8.2.</v>
          </cell>
          <cell r="B122" t="str">
            <v>Замена аккумулятора для пожароохранной сигнализации в приёмо-контрольный прибор (без учета стоимости материалов)</v>
          </cell>
        </row>
        <row r="123">
          <cell r="A123" t="str">
            <v>8.3.</v>
          </cell>
          <cell r="B123" t="str">
            <v>Диагностика, замена прибора приемно-контрольного (включая кодовые панели, настройку и пуско-наладку) (без учета стоимости материалов)</v>
          </cell>
        </row>
        <row r="124">
          <cell r="A124" t="str">
            <v>8.4.</v>
          </cell>
          <cell r="B124" t="str">
            <v xml:space="preserve">Монтаж шлейфа сигнализации (кабель КСПВ) </v>
          </cell>
        </row>
        <row r="125">
          <cell r="A125" t="str">
            <v>8.5.</v>
          </cell>
          <cell r="B125" t="str">
            <v xml:space="preserve">Замена извещателя ОПС (дымового, инфракрасного, магнитоконтактного, без стоимости материалов) </v>
          </cell>
        </row>
        <row r="126">
          <cell r="A126" t="str">
            <v>9. Драйв-тесты (Работы по радиоизмерению качества и покрытия сети)***</v>
          </cell>
        </row>
        <row r="127">
          <cell r="A127" t="str">
            <v>9.1.</v>
          </cell>
          <cell r="B127" t="str">
            <v>Стоимость Работ по проведению Драйв-теста Indoor продолжительностью Работ до 5 часов на одном Объекте тестирования</v>
          </cell>
        </row>
        <row r="128">
          <cell r="A128" t="str">
            <v>9.2.</v>
          </cell>
          <cell r="B128" t="str">
            <v>Стоимость Работ по проведению Драйв-теста Indoor, свыше  5 часов на одном Объекте тестирования. Ставка применяется по истечению 5 (пятого) часа выполнения Работ</v>
          </cell>
        </row>
        <row r="129">
          <cell r="A129" t="str">
            <v>9.3.</v>
          </cell>
          <cell r="B129" t="str">
            <v>Стоимость Работ по проведению Драйв-теста Outdoor, независимо от времени выполнения Работ</v>
          </cell>
        </row>
        <row r="130">
          <cell r="A130" t="str">
            <v>10. Иные Работы </v>
          </cell>
        </row>
        <row r="131">
          <cell r="A131" t="str">
            <v>10.1.</v>
          </cell>
          <cell r="B131" t="str">
            <v>Покос травы, вырубка поросли, обработка реагентами, уборка на территории размещения Объекта</v>
          </cell>
        </row>
        <row r="132">
          <cell r="A132" t="str">
            <v>10.2.</v>
          </cell>
          <cell r="B132" t="str">
            <v>Оказание содействия при проведении государственного контроля (надзора), муниципального контроля организации и проведения проверок на территории размещения Объектов органами, уполномоченными на осуществление государственного контроля (надзора), муниципального контроля, либо оперативных - розыскных мероприятий уполномоченными органами по факту хищения оборудования Объектов</v>
          </cell>
        </row>
        <row r="133">
          <cell r="A133" t="str">
            <v>10.3.</v>
          </cell>
          <cell r="B133" t="str">
            <v>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</v>
          </cell>
        </row>
        <row r="134">
          <cell r="A134" t="str">
            <v>10.4.</v>
          </cell>
          <cell r="B134" t="str">
            <v>Работы по осмотру и проверке работоспособности нового Объекта. Оплата Работ по Драйв-тесту, выполняемых в ходе осмотра и проверки работоспособности нового Объекта, осуществляется отдельно в соответствии с условиями пункта 9 настоящего Приложения №10.3</v>
          </cell>
        </row>
        <row r="135">
          <cell r="A135" t="str">
            <v>10.5.</v>
          </cell>
          <cell r="B135" t="str">
            <v>Обследование с целью определения схем монтажа комплекта радиоретранслятора, small-cell, пико-соты и т.д.</v>
          </cell>
        </row>
        <row r="136">
          <cell r="A136" t="str">
            <v>10.6.</v>
          </cell>
          <cell r="B136" t="str">
            <v>Организация минерализованной полосы шириной до 1,5 м.</v>
          </cell>
        </row>
        <row r="137">
          <cell r="A137" t="str">
            <v>10.7.</v>
          </cell>
          <cell r="B137" t="str">
            <v>Маркировка РЭС в соответствии с требованиями законодательства РФ (расклейка маркировочных табличек)</v>
          </cell>
        </row>
        <row r="138">
          <cell r="A138" t="str">
            <v>11. Материалы </v>
          </cell>
        </row>
        <row r="139">
          <cell r="A139" t="str">
            <v>11.1.</v>
          </cell>
          <cell r="B139" t="str">
            <v>Кабель питания DC (СИП 4*35)</v>
          </cell>
        </row>
        <row r="140">
          <cell r="A140" t="str">
            <v>11.2.</v>
          </cell>
          <cell r="B140" t="str">
            <v>Кабель питания DC (СИП 4*50)</v>
          </cell>
        </row>
        <row r="141">
          <cell r="A141" t="str">
            <v>11.3.</v>
          </cell>
          <cell r="B141" t="str">
            <v>Кабель ПВ3 1*25мм2</v>
          </cell>
        </row>
        <row r="142">
          <cell r="A142" t="str">
            <v>11.4.</v>
          </cell>
          <cell r="B142" t="str">
            <v>Кабель ПВ3 1*16мм2</v>
          </cell>
        </row>
        <row r="143">
          <cell r="A143" t="str">
            <v>11.5.</v>
          </cell>
          <cell r="B143" t="str">
            <v>Кабель ПВ3 1*10мм2</v>
          </cell>
        </row>
        <row r="144">
          <cell r="A144" t="str">
            <v>11.6.</v>
          </cell>
          <cell r="B144" t="str">
            <v>Антивандальная защита (без учета стоимости расходных материалов, с учетом стоимости металла)</v>
          </cell>
        </row>
        <row r="145">
          <cell r="A145" t="str">
            <v>1. Техническое обслуживание</v>
          </cell>
        </row>
        <row r="146">
          <cell r="A146" t="str">
            <v>1.1.</v>
          </cell>
          <cell r="B146" t="str">
            <v>Техническое обслуживание БС</v>
          </cell>
        </row>
        <row r="147">
          <cell r="A147" t="str">
            <v>3. Аварийно-восстановительные работы </v>
          </cell>
        </row>
        <row r="148">
          <cell r="A148" t="str">
            <v>3.1. Аварийно-восстановительные работы до 5 часов:</v>
          </cell>
        </row>
        <row r="149">
          <cell r="A149" t="str">
            <v>- включают любые виды работ, необходимые для устранения аварийной ситуации указанной Заказчиком;</v>
          </cell>
        </row>
        <row r="150">
          <cell r="A150" t="str">
            <v>- не включают работы по обеспечению временного энергоснабжения Объекта с помощью автономной генераторной установки.</v>
          </cell>
        </row>
        <row r="151">
          <cell r="A151" t="str">
            <v>3.1.1.</v>
          </cell>
          <cell r="B151" t="str">
            <v>Стоимость аварийно-восстановительных работ, заявка по которым получена в течение рабочего времени</v>
          </cell>
        </row>
        <row r="152">
          <cell r="A152" t="str">
            <v>3.1.2.</v>
          </cell>
          <cell r="B152" t="str">
            <v>Стоимость аварийно-восстановительных работ, заявка по которым получена во внерабочее время</v>
          </cell>
        </row>
        <row r="153">
          <cell r="A153" t="str">
            <v>3.2. Аварийно-восстановительные работы свыше 5 часов:</v>
          </cell>
        </row>
        <row r="154">
          <cell r="A154" t="str">
            <v>- включают любые виды работ, необходимые для устранения аварийной ситуации указанной Заказчиком;</v>
          </cell>
        </row>
        <row r="155">
          <cell r="A155" t="str">
            <v>- не включают работы по обеспечению временного энергоснабжения Объекта с помощью автономной генераторной установки.</v>
          </cell>
        </row>
        <row r="156">
          <cell r="A156" t="str">
            <v>Ставка применяется по истечению 5 часа выполнения Аварийно-восстановительных работ.</v>
          </cell>
        </row>
        <row r="157">
          <cell r="A157" t="str">
            <v>3.2.1.</v>
          </cell>
          <cell r="B157" t="str">
            <v>Стоимость аварийно-восстановительных работ, заявка по которым получена в течение рабочего времени</v>
          </cell>
        </row>
        <row r="158">
          <cell r="A158" t="str">
            <v>3.2.2.</v>
          </cell>
          <cell r="B158" t="str">
            <v>Стоимость Аварийно-восстановительных работ, заявка по которым получена во внерабочее время</v>
          </cell>
        </row>
        <row r="159">
          <cell r="A159" t="str">
            <v>3.3. Аварийно-восстановительные работы исключительно по обеспечению временного энергоснабжения Объекта с помощью автономной генераторной установки (Стоимость работ включает расходы на приобретение топлива для работы автономной генераторной установки).</v>
          </cell>
        </row>
        <row r="160">
          <cell r="A160" t="str">
            <v>3.3.1.</v>
          </cell>
          <cell r="B160" t="str">
    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    </cell>
        </row>
        <row r="161">
          <cell r="A161" t="str">
            <v>3.3.2.</v>
          </cell>
          <cell r="B161" t="str">
            <v>Стоимость Аварийно-восстановительных работ по обеспечению временного электроснабжения продолжительностью 24 часа. (Ставка применяется с 1 по 72 час выполнения Работ, для оплаты каждых полных суток (24 часа) выполнения Работ)</v>
          </cell>
        </row>
        <row r="162">
          <cell r="A162" t="str">
            <v>3.3.3.</v>
          </cell>
          <cell r="B162" t="str">
            <v>Стоимость Аварийно-восстановительных работ по обеспечению временного электроснабжения продолжительностью более 72 часов. (Ставка применяется по истечению 72 часа выполнения Работ, для оплаты каждых полных суток (24 часа) выполнения Работ)</v>
          </cell>
        </row>
        <row r="163">
          <cell r="A163" t="str">
            <v>3.4. Оплата вызова Подрядчика на Аварийно-восстановительные работы, в случае отмены Заказчиком заявки на их выполнение</v>
          </cell>
        </row>
        <row r="164">
          <cell r="A164" t="str">
            <v>3.4.1.</v>
          </cell>
          <cell r="B164" t="str">
            <v>Стоимость отменённого вызова на Аварийно-восстановительные работы, заявка по которым получена в рабочее время</v>
          </cell>
        </row>
        <row r="165">
          <cell r="A165" t="str">
            <v>3.4.2.</v>
          </cell>
          <cell r="B165" t="str">
            <v>Стоимость отменённого вызова на Аварийно-восстановительные работы, заявка по которым получена во внерабочее время</v>
          </cell>
        </row>
        <row r="166">
          <cell r="A166" t="str">
            <v>4. Иное</v>
          </cell>
        </row>
        <row r="167">
          <cell r="A167" t="str">
            <v>4.1</v>
          </cell>
          <cell r="B167" t="str">
            <v>Стоимость аренды специальной техники - автовышка до 28 метров, автокран и прочее</v>
          </cell>
        </row>
        <row r="168">
          <cell r="A168" t="str">
            <v>4.2</v>
          </cell>
          <cell r="B168" t="str">
            <v>Стоимость аренды специальной техники - автовышка свыше 28 метров</v>
          </cell>
        </row>
        <row r="169">
          <cell r="A169" t="str">
            <v>.4.3.</v>
          </cell>
          <cell r="B169" t="str">
            <v>Стоимость аренды специальной техники - автовышка повышенной проходимости до 28 метров</v>
          </cell>
        </row>
        <row r="170">
          <cell r="A170" t="str">
            <v>4.4</v>
          </cell>
          <cell r="B170" t="str">
            <v>Стоимость аренды специальной техники - автовышка повышенной проходимости свыше 28 метров</v>
          </cell>
        </row>
        <row r="171">
          <cell r="A171" t="str">
            <v>4.5</v>
          </cell>
          <cell r="B171" t="str">
            <v>Стоимость проведения инвентаризации Объекта.</v>
          </cell>
        </row>
        <row r="172">
          <cell r="A172" t="str">
            <v>4.6.</v>
          </cell>
          <cell r="B172" t="str">
            <v>Фиксированная ставка на компенсацию длительного (более 24-х часов) пребывания в населенных пунктах с Объектами, требующими для проезда к ним авиа, железнодорожный и прочий спецтранспорт, соответствующим образом отмеченными в Приложении №11 к Договору (применяется единоразово для всех участников длительного пребывания)</v>
          </cell>
        </row>
        <row r="173">
          <cell r="A173" t="str">
            <v>5. Работы в отношении мобильной базовой станции</v>
          </cell>
        </row>
        <row r="174">
          <cell r="A174" t="str">
            <v>5.1.</v>
          </cell>
          <cell r="B174" t="str">
            <v>Стоимость Работ по развёртыванию и свёртыванию Мобильной базовой станции без замены оборудования, входящего в состав Мобильной базовой станции</v>
          </cell>
        </row>
        <row r="175">
          <cell r="A175" t="str">
            <v>5.2.</v>
          </cell>
          <cell r="B175" t="str">
            <v>Стоимость Работ по замене оборудования базовой станции одного производителя на оборудование другого, входящего в состав Мобильной базовой станции</v>
          </cell>
        </row>
        <row r="176">
          <cell r="A176" t="str">
            <v>5.3.</v>
          </cell>
          <cell r="B176" t="str">
            <v>Стоимость Работ по сопровождению функционирования Мобильной базовой станции, включая организацию и обеспечение бесперебойного временного электроснабжения, охрану и контроль состояния Мобильной базовой станции. Стоимость работ включает расходы на приобретение топлива для работы автономной генераторной установки.</v>
          </cell>
        </row>
        <row r="177">
          <cell r="A177" t="str">
            <v>6. Ставка компенсации транспортных расходов при работах в отношении мобильной базовой станции</v>
          </cell>
        </row>
        <row r="178">
          <cell r="A178" t="str">
            <v>6.1.</v>
          </cell>
          <cell r="B178" t="str">
            <v>Компенсация расходов на проезд от местонахождения Подрядчика к местонахождению Мобильной базовой станции, на транспортировку Мобильной базовой станции к месту установки, указанному в Заказе на выполнение работ, и обратно, а также на проезд до позиции монтажа/юстировки/демонтажа ответной части транспортного канала и обратно.</v>
          </cell>
        </row>
        <row r="179">
          <cell r="A179" t="str">
            <v xml:space="preserve">Ставки для компенсации Транспортных расходов: </v>
          </cell>
        </row>
        <row r="180">
          <cell r="A180" t="str">
            <v>1.1</v>
          </cell>
          <cell r="B180" t="str">
            <v>Стоимость Километро - вызова до Объекта*</v>
          </cell>
        </row>
        <row r="181">
          <cell r="A181" t="str">
            <v>1.2.</v>
          </cell>
          <cell r="B181" t="str">
            <v>Стоимость Километро - вызова до Объекта транспортом грузоподъёмностью от 3,5 тонн**</v>
          </cell>
        </row>
        <row r="182">
          <cell r="A182" t="str">
            <v>1.3.</v>
          </cell>
          <cell r="B182" t="str">
            <v>Компенсация расходов на проезд к Объектам, находящимся в труднодоступной местности (с отметкой об этом в Перечне Объектов к Договору) ***.</v>
          </cell>
        </row>
        <row r="183">
          <cell r="A183" t="str">
            <v>1.4.</v>
          </cell>
          <cell r="B183" t="str">
            <v xml:space="preserve">Компенсация прямых расходов на оплату авиа-, железнодорожного и прочего транспорта, использованного представителями Подрядчика для проезда к Объектам ***. 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 activeCell="C10" sqref="C10:C17"/>
    </sheetView>
  </sheetViews>
  <sheetFormatPr defaultColWidth="8.7109375" defaultRowHeight="12.75" x14ac:dyDescent="0.2"/>
  <cols>
    <col min="2" max="2" width="21.28515625" bestFit="1" customWidth="1"/>
    <col min="3" max="3" width="44.42578125" customWidth="1"/>
    <col min="4" max="4" width="10" bestFit="1" customWidth="1"/>
    <col min="5" max="5" width="6.7109375" bestFit="1" customWidth="1"/>
    <col min="6" max="6" width="44.85546875" customWidth="1"/>
    <col min="7" max="7" width="25.140625" bestFit="1" customWidth="1"/>
    <col min="9" max="9" width="5.28515625" customWidth="1"/>
    <col min="10" max="10" width="6.28515625" customWidth="1"/>
  </cols>
  <sheetData>
    <row r="1" spans="1:10" ht="27.95" customHeight="1" x14ac:dyDescent="0.2">
      <c r="B1" s="371" t="s">
        <v>0</v>
      </c>
      <c r="C1" s="372"/>
      <c r="H1" s="1"/>
      <c r="I1" s="1"/>
      <c r="J1" s="1"/>
    </row>
    <row r="2" spans="1:10" x14ac:dyDescent="0.2">
      <c r="B2" s="2" t="s">
        <v>1</v>
      </c>
      <c r="C2" s="3" t="s">
        <v>2</v>
      </c>
      <c r="D2" s="4">
        <v>46111</v>
      </c>
      <c r="H2" s="1"/>
      <c r="I2" s="1"/>
      <c r="J2" s="1"/>
    </row>
    <row r="3" spans="1:10" x14ac:dyDescent="0.2">
      <c r="B3" s="5" t="s">
        <v>3</v>
      </c>
      <c r="C3" s="6">
        <v>45901</v>
      </c>
      <c r="H3" s="1"/>
      <c r="I3" s="1"/>
      <c r="J3" s="1"/>
    </row>
    <row r="4" spans="1:10" x14ac:dyDescent="0.2">
      <c r="B4" s="5" t="s">
        <v>4</v>
      </c>
      <c r="C4" s="7" t="s">
        <v>4286</v>
      </c>
      <c r="E4" s="8"/>
      <c r="F4" s="8"/>
      <c r="G4" s="8"/>
      <c r="J4" s="4"/>
    </row>
    <row r="5" spans="1:10" x14ac:dyDescent="0.2">
      <c r="B5" s="5" t="s">
        <v>6</v>
      </c>
      <c r="C5" s="9"/>
      <c r="D5" s="10"/>
      <c r="E5" s="8"/>
      <c r="F5" s="8"/>
      <c r="G5" s="8"/>
      <c r="J5" s="4"/>
    </row>
    <row r="6" spans="1:10" x14ac:dyDescent="0.2">
      <c r="B6" s="5" t="s">
        <v>7</v>
      </c>
      <c r="C6" s="11" t="s">
        <v>4277</v>
      </c>
      <c r="E6" s="8"/>
      <c r="G6" s="8"/>
    </row>
    <row r="7" spans="1:10" x14ac:dyDescent="0.2">
      <c r="B7" s="13" t="s">
        <v>9</v>
      </c>
      <c r="C7" s="14" t="s">
        <v>4278</v>
      </c>
      <c r="E7" s="10"/>
      <c r="G7" s="16"/>
    </row>
    <row r="8" spans="1:10" ht="25.5" hidden="1" x14ac:dyDescent="0.2">
      <c r="B8" s="17" t="s">
        <v>11</v>
      </c>
      <c r="C8" s="15" t="s">
        <v>12</v>
      </c>
      <c r="E8" s="10"/>
      <c r="G8" s="16"/>
    </row>
    <row r="9" spans="1:10" hidden="1" x14ac:dyDescent="0.2">
      <c r="B9" s="18" t="s">
        <v>11</v>
      </c>
      <c r="C9" s="19" t="s">
        <v>13</v>
      </c>
      <c r="E9" s="10"/>
      <c r="F9" s="16"/>
      <c r="G9" s="16"/>
    </row>
    <row r="10" spans="1:10" ht="38.25" x14ac:dyDescent="0.2">
      <c r="A10" s="377" t="s">
        <v>5</v>
      </c>
      <c r="B10" s="12" t="s">
        <v>8</v>
      </c>
      <c r="C10" s="15" t="s">
        <v>10</v>
      </c>
      <c r="E10" s="10"/>
      <c r="F10" s="10"/>
      <c r="G10" s="16"/>
    </row>
    <row r="11" spans="1:10" ht="24.95" customHeight="1" x14ac:dyDescent="0.2">
      <c r="A11" s="378"/>
      <c r="B11" s="21" t="s">
        <v>15</v>
      </c>
      <c r="C11" s="19" t="s">
        <v>18</v>
      </c>
    </row>
    <row r="12" spans="1:10" ht="25.5" x14ac:dyDescent="0.2">
      <c r="A12" s="379"/>
      <c r="B12" s="21" t="s">
        <v>22</v>
      </c>
      <c r="C12" s="24" t="s">
        <v>25</v>
      </c>
    </row>
    <row r="13" spans="1:10" x14ac:dyDescent="0.2">
      <c r="A13" s="380"/>
      <c r="B13" s="27" t="s">
        <v>26</v>
      </c>
      <c r="C13" s="28">
        <v>91130665</v>
      </c>
    </row>
    <row r="14" spans="1:10" ht="25.5" x14ac:dyDescent="0.2">
      <c r="A14" s="373" t="s">
        <v>14</v>
      </c>
      <c r="B14" s="20" t="s">
        <v>16</v>
      </c>
      <c r="C14" s="22" t="s">
        <v>17</v>
      </c>
    </row>
    <row r="15" spans="1:10" ht="25.5" x14ac:dyDescent="0.2">
      <c r="A15" s="374"/>
      <c r="B15" s="23" t="s">
        <v>19</v>
      </c>
      <c r="C15" s="24" t="s">
        <v>20</v>
      </c>
    </row>
    <row r="16" spans="1:10" ht="38.25" x14ac:dyDescent="0.2">
      <c r="A16" s="375"/>
      <c r="B16" s="23" t="s">
        <v>21</v>
      </c>
      <c r="C16" s="24" t="s">
        <v>23</v>
      </c>
    </row>
    <row r="17" spans="1:3" x14ac:dyDescent="0.2">
      <c r="A17" s="376"/>
      <c r="B17" s="25" t="s">
        <v>24</v>
      </c>
      <c r="C17" s="26">
        <v>17872715</v>
      </c>
    </row>
    <row r="18" spans="1:3" ht="65.25" customHeight="1" x14ac:dyDescent="0.2"/>
  </sheetData>
  <sortState ref="B16:B18">
    <sortCondition ref="B16:B18"/>
  </sortState>
  <mergeCells count="3">
    <mergeCell ref="B1:C1"/>
    <mergeCell ref="A14:A17"/>
    <mergeCell ref="A10:A13"/>
  </mergeCells>
  <pageMargins left="0.70000004768371582" right="0.70000004768371582" top="0.75" bottom="0.75" header="0.30000001192092896" footer="0.30000001192092896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2"/>
  <sheetViews>
    <sheetView workbookViewId="0">
      <pane ySplit="1" topLeftCell="A172" activePane="bottomLeft" state="frozen"/>
      <selection pane="bottomLeft" activeCell="B28" sqref="B28"/>
    </sheetView>
  </sheetViews>
  <sheetFormatPr defaultColWidth="9.140625" defaultRowHeight="15" zeroHeight="1" x14ac:dyDescent="0.25"/>
  <cols>
    <col min="1" max="1" width="8" style="256" customWidth="1"/>
    <col min="2" max="2" width="56.42578125" style="256" customWidth="1"/>
    <col min="3" max="3" width="10.140625" style="256" customWidth="1"/>
    <col min="4" max="4" width="15.28515625" style="358" customWidth="1"/>
    <col min="5" max="16384" width="9.140625" style="256"/>
  </cols>
  <sheetData>
    <row r="1" spans="1:4" ht="28.5" customHeight="1" x14ac:dyDescent="0.25">
      <c r="A1" s="253" t="s">
        <v>27</v>
      </c>
      <c r="B1" s="254" t="s">
        <v>28</v>
      </c>
      <c r="C1" s="255" t="s">
        <v>29</v>
      </c>
      <c r="D1" s="254" t="s">
        <v>30</v>
      </c>
    </row>
    <row r="2" spans="1:4" ht="28.5" customHeight="1" thickBot="1" x14ac:dyDescent="0.3">
      <c r="A2" s="257" t="s">
        <v>31</v>
      </c>
      <c r="B2" s="258"/>
      <c r="C2" s="258"/>
    </row>
    <row r="3" spans="1:4" ht="39" thickBot="1" x14ac:dyDescent="0.3">
      <c r="A3" s="259" t="s">
        <v>32</v>
      </c>
      <c r="B3" s="260" t="s">
        <v>33</v>
      </c>
      <c r="C3" s="261" t="s">
        <v>34</v>
      </c>
      <c r="D3" s="358">
        <v>503</v>
      </c>
    </row>
    <row r="4" spans="1:4" ht="51.75" thickBot="1" x14ac:dyDescent="0.3">
      <c r="A4" s="262" t="s">
        <v>35</v>
      </c>
      <c r="B4" s="263" t="s">
        <v>36</v>
      </c>
      <c r="C4" s="264" t="s">
        <v>37</v>
      </c>
      <c r="D4" s="358">
        <v>4180</v>
      </c>
    </row>
    <row r="5" spans="1:4" ht="26.25" thickBot="1" x14ac:dyDescent="0.3">
      <c r="A5" s="262" t="s">
        <v>38</v>
      </c>
      <c r="B5" s="263" t="s">
        <v>39</v>
      </c>
      <c r="C5" s="264" t="s">
        <v>40</v>
      </c>
      <c r="D5" s="358">
        <v>205</v>
      </c>
    </row>
    <row r="6" spans="1:4" ht="26.25" thickBot="1" x14ac:dyDescent="0.3">
      <c r="A6" s="262" t="s">
        <v>42</v>
      </c>
      <c r="B6" s="263" t="s">
        <v>43</v>
      </c>
      <c r="C6" s="264" t="s">
        <v>40</v>
      </c>
      <c r="D6" s="358">
        <v>270</v>
      </c>
    </row>
    <row r="7" spans="1:4" ht="15.75" thickBot="1" x14ac:dyDescent="0.3">
      <c r="A7" s="262" t="s">
        <v>45</v>
      </c>
      <c r="B7" s="263" t="s">
        <v>46</v>
      </c>
      <c r="C7" s="264" t="s">
        <v>40</v>
      </c>
      <c r="D7" s="358">
        <v>158</v>
      </c>
    </row>
    <row r="8" spans="1:4" ht="26.25" thickBot="1" x14ac:dyDescent="0.3">
      <c r="A8" s="262" t="s">
        <v>48</v>
      </c>
      <c r="B8" s="263" t="s">
        <v>49</v>
      </c>
      <c r="C8" s="264" t="s">
        <v>50</v>
      </c>
      <c r="D8" s="358">
        <v>2365</v>
      </c>
    </row>
    <row r="9" spans="1:4" ht="26.25" thickBot="1" x14ac:dyDescent="0.3">
      <c r="A9" s="262" t="s">
        <v>51</v>
      </c>
      <c r="B9" s="263" t="s">
        <v>52</v>
      </c>
      <c r="C9" s="264" t="s">
        <v>50</v>
      </c>
      <c r="D9" s="358">
        <v>773</v>
      </c>
    </row>
    <row r="10" spans="1:4" ht="15.75" thickBot="1" x14ac:dyDescent="0.3">
      <c r="A10" s="262" t="s">
        <v>53</v>
      </c>
      <c r="B10" s="263" t="s">
        <v>55</v>
      </c>
      <c r="C10" s="264" t="s">
        <v>50</v>
      </c>
      <c r="D10" s="358">
        <v>2728</v>
      </c>
    </row>
    <row r="11" spans="1:4" ht="15.75" thickBot="1" x14ac:dyDescent="0.3">
      <c r="A11" s="262" t="s">
        <v>57</v>
      </c>
      <c r="B11" s="263" t="s">
        <v>58</v>
      </c>
      <c r="C11" s="264" t="s">
        <v>50</v>
      </c>
      <c r="D11" s="358">
        <v>1489</v>
      </c>
    </row>
    <row r="12" spans="1:4" ht="15.75" thickBot="1" x14ac:dyDescent="0.3">
      <c r="A12" s="262" t="s">
        <v>59</v>
      </c>
      <c r="B12" s="263" t="s">
        <v>60</v>
      </c>
      <c r="C12" s="264" t="s">
        <v>50</v>
      </c>
      <c r="D12" s="358">
        <v>2104</v>
      </c>
    </row>
    <row r="13" spans="1:4" ht="26.25" thickBot="1" x14ac:dyDescent="0.3">
      <c r="A13" s="262" t="s">
        <v>61</v>
      </c>
      <c r="B13" s="263" t="s">
        <v>62</v>
      </c>
      <c r="C13" s="264" t="s">
        <v>50</v>
      </c>
      <c r="D13" s="358">
        <v>2160</v>
      </c>
    </row>
    <row r="14" spans="1:4" ht="26.25" thickBot="1" x14ac:dyDescent="0.3">
      <c r="A14" s="262" t="s">
        <v>64</v>
      </c>
      <c r="B14" s="263" t="s">
        <v>65</v>
      </c>
      <c r="C14" s="264" t="s">
        <v>50</v>
      </c>
      <c r="D14" s="358">
        <v>6935</v>
      </c>
    </row>
    <row r="15" spans="1:4" ht="26.25" thickBot="1" x14ac:dyDescent="0.3">
      <c r="A15" s="262" t="s">
        <v>66</v>
      </c>
      <c r="B15" s="263" t="s">
        <v>67</v>
      </c>
      <c r="C15" s="264" t="s">
        <v>50</v>
      </c>
      <c r="D15" s="358">
        <v>2085</v>
      </c>
    </row>
    <row r="16" spans="1:4" ht="39" thickBot="1" x14ac:dyDescent="0.3">
      <c r="A16" s="262" t="s">
        <v>68</v>
      </c>
      <c r="B16" s="263" t="s">
        <v>70</v>
      </c>
      <c r="C16" s="264" t="s">
        <v>50</v>
      </c>
      <c r="D16" s="358">
        <v>1350</v>
      </c>
    </row>
    <row r="17" spans="1:4" ht="15.75" thickBot="1" x14ac:dyDescent="0.3">
      <c r="A17" s="262" t="s">
        <v>71</v>
      </c>
      <c r="B17" s="263" t="s">
        <v>72</v>
      </c>
      <c r="C17" s="264" t="s">
        <v>50</v>
      </c>
      <c r="D17" s="358">
        <v>931</v>
      </c>
    </row>
    <row r="18" spans="1:4" ht="15.75" thickBot="1" x14ac:dyDescent="0.3">
      <c r="A18" s="262" t="s">
        <v>73</v>
      </c>
      <c r="B18" s="263" t="s">
        <v>74</v>
      </c>
      <c r="C18" s="264" t="s">
        <v>75</v>
      </c>
      <c r="D18" s="358">
        <v>1108</v>
      </c>
    </row>
    <row r="19" spans="1:4" ht="26.25" thickBot="1" x14ac:dyDescent="0.3">
      <c r="A19" s="262" t="s">
        <v>76</v>
      </c>
      <c r="B19" s="263" t="s">
        <v>78</v>
      </c>
      <c r="C19" s="264" t="s">
        <v>75</v>
      </c>
      <c r="D19" s="358">
        <v>2448</v>
      </c>
    </row>
    <row r="20" spans="1:4" ht="90" thickBot="1" x14ac:dyDescent="0.3">
      <c r="A20" s="262" t="s">
        <v>79</v>
      </c>
      <c r="B20" s="263" t="s">
        <v>80</v>
      </c>
      <c r="C20" s="264" t="s">
        <v>40</v>
      </c>
      <c r="D20" s="358">
        <v>158</v>
      </c>
    </row>
    <row r="21" spans="1:4" ht="26.25" thickBot="1" x14ac:dyDescent="0.3">
      <c r="A21" s="262" t="s">
        <v>81</v>
      </c>
      <c r="B21" s="263" t="s">
        <v>82</v>
      </c>
      <c r="C21" s="264" t="s">
        <v>83</v>
      </c>
      <c r="D21" s="358">
        <v>559</v>
      </c>
    </row>
    <row r="22" spans="1:4" ht="26.25" thickBot="1" x14ac:dyDescent="0.3">
      <c r="A22" s="262" t="s">
        <v>85</v>
      </c>
      <c r="B22" s="263" t="s">
        <v>86</v>
      </c>
      <c r="C22" s="265" t="s">
        <v>50</v>
      </c>
      <c r="D22" s="358">
        <v>3379</v>
      </c>
    </row>
    <row r="23" spans="1:4" ht="26.25" thickBot="1" x14ac:dyDescent="0.3">
      <c r="A23" s="262" t="s">
        <v>87</v>
      </c>
      <c r="B23" s="263" t="s">
        <v>88</v>
      </c>
      <c r="C23" s="265" t="s">
        <v>50</v>
      </c>
      <c r="D23" s="358">
        <v>2830</v>
      </c>
    </row>
    <row r="24" spans="1:4" ht="15.75" thickBot="1" x14ac:dyDescent="0.3">
      <c r="A24" s="262" t="s">
        <v>90</v>
      </c>
      <c r="B24" s="266" t="s">
        <v>91</v>
      </c>
      <c r="C24" s="265" t="s">
        <v>50</v>
      </c>
      <c r="D24" s="358">
        <v>130</v>
      </c>
    </row>
    <row r="25" spans="1:4" ht="15.75" thickBot="1" x14ac:dyDescent="0.3">
      <c r="A25" s="262" t="s">
        <v>92</v>
      </c>
      <c r="B25" s="266" t="s">
        <v>93</v>
      </c>
      <c r="C25" s="265" t="s">
        <v>83</v>
      </c>
      <c r="D25" s="358">
        <v>140</v>
      </c>
    </row>
    <row r="26" spans="1:4" ht="28.5" customHeight="1" thickBot="1" x14ac:dyDescent="0.3">
      <c r="A26" s="257" t="s">
        <v>95</v>
      </c>
      <c r="B26" s="258"/>
      <c r="C26" s="258"/>
    </row>
    <row r="27" spans="1:4" ht="51.75" thickBot="1" x14ac:dyDescent="0.3">
      <c r="A27" s="267" t="s">
        <v>97</v>
      </c>
      <c r="B27" s="268" t="s">
        <v>98</v>
      </c>
      <c r="C27" s="261" t="s">
        <v>50</v>
      </c>
      <c r="D27" s="358">
        <v>1052</v>
      </c>
    </row>
    <row r="28" spans="1:4" ht="51.75" thickBot="1" x14ac:dyDescent="0.3">
      <c r="A28" s="269" t="s">
        <v>99</v>
      </c>
      <c r="B28" s="270" t="s">
        <v>100</v>
      </c>
      <c r="C28" s="264" t="s">
        <v>50</v>
      </c>
      <c r="D28" s="358">
        <v>2830</v>
      </c>
    </row>
    <row r="29" spans="1:4" ht="51.75" thickBot="1" x14ac:dyDescent="0.3">
      <c r="A29" s="269" t="s">
        <v>102</v>
      </c>
      <c r="B29" s="270" t="s">
        <v>103</v>
      </c>
      <c r="C29" s="264" t="s">
        <v>50</v>
      </c>
      <c r="D29" s="358">
        <v>1117</v>
      </c>
    </row>
    <row r="30" spans="1:4" ht="51.75" thickBot="1" x14ac:dyDescent="0.3">
      <c r="A30" s="269" t="s">
        <v>105</v>
      </c>
      <c r="B30" s="270" t="s">
        <v>106</v>
      </c>
      <c r="C30" s="264" t="s">
        <v>50</v>
      </c>
      <c r="D30" s="358">
        <v>2830</v>
      </c>
    </row>
    <row r="31" spans="1:4" ht="77.25" customHeight="1" thickBot="1" x14ac:dyDescent="0.3">
      <c r="A31" s="269" t="s">
        <v>108</v>
      </c>
      <c r="B31" s="270" t="s">
        <v>109</v>
      </c>
      <c r="C31" s="264" t="s">
        <v>50</v>
      </c>
      <c r="D31" s="358">
        <v>624</v>
      </c>
    </row>
    <row r="32" spans="1:4" ht="64.5" thickBot="1" x14ac:dyDescent="0.3">
      <c r="A32" s="269" t="s">
        <v>110</v>
      </c>
      <c r="B32" s="270" t="s">
        <v>111</v>
      </c>
      <c r="C32" s="264" t="s">
        <v>50</v>
      </c>
      <c r="D32" s="358">
        <v>1359</v>
      </c>
    </row>
    <row r="33" spans="1:4" ht="26.25" thickBot="1" x14ac:dyDescent="0.3">
      <c r="A33" s="269" t="s">
        <v>113</v>
      </c>
      <c r="B33" s="270" t="s">
        <v>114</v>
      </c>
      <c r="C33" s="264" t="s">
        <v>50</v>
      </c>
      <c r="D33" s="358">
        <v>1117</v>
      </c>
    </row>
    <row r="34" spans="1:4" ht="39" thickBot="1" x14ac:dyDescent="0.3">
      <c r="A34" s="269" t="s">
        <v>116</v>
      </c>
      <c r="B34" s="270" t="s">
        <v>117</v>
      </c>
      <c r="C34" s="264" t="s">
        <v>50</v>
      </c>
      <c r="D34" s="358">
        <v>130</v>
      </c>
    </row>
    <row r="35" spans="1:4" ht="26.25" thickBot="1" x14ac:dyDescent="0.3">
      <c r="A35" s="269" t="s">
        <v>118</v>
      </c>
      <c r="B35" s="270" t="s">
        <v>119</v>
      </c>
      <c r="C35" s="264" t="s">
        <v>50</v>
      </c>
      <c r="D35" s="358">
        <v>987</v>
      </c>
    </row>
    <row r="36" spans="1:4" ht="39" thickBot="1" x14ac:dyDescent="0.3">
      <c r="A36" s="269" t="s">
        <v>121</v>
      </c>
      <c r="B36" s="270" t="s">
        <v>122</v>
      </c>
      <c r="C36" s="264" t="s">
        <v>40</v>
      </c>
      <c r="D36" s="358">
        <v>400</v>
      </c>
    </row>
    <row r="37" spans="1:4" ht="26.25" thickBot="1" x14ac:dyDescent="0.3">
      <c r="A37" s="269" t="s">
        <v>124</v>
      </c>
      <c r="B37" s="270" t="s">
        <v>125</v>
      </c>
      <c r="C37" s="264" t="s">
        <v>50</v>
      </c>
      <c r="D37" s="358">
        <v>307</v>
      </c>
    </row>
    <row r="38" spans="1:4" ht="26.25" thickBot="1" x14ac:dyDescent="0.3">
      <c r="A38" s="269" t="s">
        <v>126</v>
      </c>
      <c r="B38" s="270" t="s">
        <v>127</v>
      </c>
      <c r="C38" s="264" t="s">
        <v>40</v>
      </c>
      <c r="D38" s="358">
        <v>484</v>
      </c>
    </row>
    <row r="39" spans="1:4" ht="26.25" thickBot="1" x14ac:dyDescent="0.3">
      <c r="A39" s="269" t="s">
        <v>129</v>
      </c>
      <c r="B39" s="270" t="s">
        <v>131</v>
      </c>
      <c r="C39" s="264" t="s">
        <v>40</v>
      </c>
      <c r="D39" s="358">
        <v>149</v>
      </c>
    </row>
    <row r="40" spans="1:4" ht="26.25" thickBot="1" x14ac:dyDescent="0.3">
      <c r="A40" s="269" t="s">
        <v>132</v>
      </c>
      <c r="B40" s="270" t="s">
        <v>133</v>
      </c>
      <c r="C40" s="264" t="s">
        <v>50</v>
      </c>
      <c r="D40" s="358">
        <v>1974</v>
      </c>
    </row>
    <row r="41" spans="1:4" ht="39" thickBot="1" x14ac:dyDescent="0.3">
      <c r="A41" s="269" t="s">
        <v>134</v>
      </c>
      <c r="B41" s="270" t="s">
        <v>136</v>
      </c>
      <c r="C41" s="264" t="s">
        <v>40</v>
      </c>
      <c r="D41" s="358">
        <v>298</v>
      </c>
    </row>
    <row r="42" spans="1:4" ht="26.25" thickBot="1" x14ac:dyDescent="0.3">
      <c r="A42" s="269" t="s">
        <v>138</v>
      </c>
      <c r="B42" s="270" t="s">
        <v>139</v>
      </c>
      <c r="C42" s="264" t="s">
        <v>40</v>
      </c>
      <c r="D42" s="358">
        <v>205</v>
      </c>
    </row>
    <row r="43" spans="1:4" ht="15.75" thickBot="1" x14ac:dyDescent="0.3">
      <c r="A43" s="269" t="s">
        <v>140</v>
      </c>
      <c r="B43" s="270" t="s">
        <v>141</v>
      </c>
      <c r="C43" s="264" t="s">
        <v>50</v>
      </c>
      <c r="D43" s="358">
        <v>987</v>
      </c>
    </row>
    <row r="44" spans="1:4" ht="26.25" thickBot="1" x14ac:dyDescent="0.3">
      <c r="A44" s="269" t="s">
        <v>143</v>
      </c>
      <c r="B44" s="270" t="s">
        <v>144</v>
      </c>
      <c r="C44" s="264" t="s">
        <v>50</v>
      </c>
      <c r="D44" s="358">
        <v>1974</v>
      </c>
    </row>
    <row r="45" spans="1:4" ht="15.75" thickBot="1" x14ac:dyDescent="0.3">
      <c r="A45" s="269" t="s">
        <v>145</v>
      </c>
      <c r="B45" s="270" t="s">
        <v>146</v>
      </c>
      <c r="C45" s="264" t="s">
        <v>50</v>
      </c>
      <c r="D45" s="358">
        <v>2458</v>
      </c>
    </row>
    <row r="46" spans="1:4" ht="26.25" thickBot="1" x14ac:dyDescent="0.3">
      <c r="A46" s="269" t="s">
        <v>148</v>
      </c>
      <c r="B46" s="270" t="s">
        <v>149</v>
      </c>
      <c r="C46" s="264" t="s">
        <v>50</v>
      </c>
      <c r="D46" s="358">
        <v>261</v>
      </c>
    </row>
    <row r="47" spans="1:4" ht="39" thickBot="1" x14ac:dyDescent="0.3">
      <c r="A47" s="269" t="s">
        <v>151</v>
      </c>
      <c r="B47" s="270" t="s">
        <v>153</v>
      </c>
      <c r="C47" s="264" t="s">
        <v>50</v>
      </c>
      <c r="D47" s="358">
        <v>5399</v>
      </c>
    </row>
    <row r="48" spans="1:4" ht="26.25" customHeight="1" thickBot="1" x14ac:dyDescent="0.3">
      <c r="A48" s="269" t="s">
        <v>154</v>
      </c>
      <c r="B48" s="270" t="s">
        <v>155</v>
      </c>
      <c r="C48" s="264" t="s">
        <v>156</v>
      </c>
      <c r="D48" s="358">
        <v>251</v>
      </c>
    </row>
    <row r="49" spans="1:4" ht="26.25" thickBot="1" x14ac:dyDescent="0.3">
      <c r="A49" s="269" t="s">
        <v>158</v>
      </c>
      <c r="B49" s="270" t="s">
        <v>159</v>
      </c>
      <c r="C49" s="264" t="s">
        <v>156</v>
      </c>
      <c r="D49" s="358">
        <v>1415</v>
      </c>
    </row>
    <row r="50" spans="1:4" ht="51.75" thickBot="1" x14ac:dyDescent="0.3">
      <c r="A50" s="269" t="s">
        <v>161</v>
      </c>
      <c r="B50" s="270" t="s">
        <v>163</v>
      </c>
      <c r="C50" s="264" t="s">
        <v>156</v>
      </c>
      <c r="D50" s="358">
        <v>866</v>
      </c>
    </row>
    <row r="51" spans="1:4" ht="39" thickBot="1" x14ac:dyDescent="0.3">
      <c r="A51" s="269" t="s">
        <v>164</v>
      </c>
      <c r="B51" s="270" t="s">
        <v>166</v>
      </c>
      <c r="C51" s="264" t="s">
        <v>50</v>
      </c>
      <c r="D51" s="358">
        <v>735</v>
      </c>
    </row>
    <row r="52" spans="1:4" ht="39" thickBot="1" x14ac:dyDescent="0.3">
      <c r="A52" s="269" t="s">
        <v>168</v>
      </c>
      <c r="B52" s="270" t="s">
        <v>169</v>
      </c>
      <c r="C52" s="264" t="s">
        <v>50</v>
      </c>
      <c r="D52" s="358">
        <v>195</v>
      </c>
    </row>
    <row r="53" spans="1:4" ht="26.25" thickBot="1" x14ac:dyDescent="0.3">
      <c r="A53" s="269" t="s">
        <v>171</v>
      </c>
      <c r="B53" s="270" t="s">
        <v>172</v>
      </c>
      <c r="C53" s="264" t="s">
        <v>173</v>
      </c>
      <c r="D53" s="358">
        <v>493</v>
      </c>
    </row>
    <row r="54" spans="1:4" ht="28.5" customHeight="1" x14ac:dyDescent="0.25">
      <c r="A54" s="257" t="s">
        <v>174</v>
      </c>
      <c r="B54" s="258"/>
      <c r="C54" s="258"/>
    </row>
    <row r="55" spans="1:4" ht="28.5" customHeight="1" x14ac:dyDescent="0.25">
      <c r="A55" s="262" t="s">
        <v>176</v>
      </c>
      <c r="B55" s="271" t="s">
        <v>177</v>
      </c>
      <c r="C55" s="272" t="s">
        <v>34</v>
      </c>
      <c r="D55" s="358">
        <v>3807</v>
      </c>
    </row>
    <row r="56" spans="1:4" ht="28.5" customHeight="1" x14ac:dyDescent="0.25">
      <c r="A56" s="262" t="s">
        <v>178</v>
      </c>
      <c r="B56" s="271" t="s">
        <v>180</v>
      </c>
      <c r="C56" s="272" t="s">
        <v>34</v>
      </c>
      <c r="D56" s="358">
        <v>5520</v>
      </c>
    </row>
    <row r="57" spans="1:4" ht="28.5" customHeight="1" x14ac:dyDescent="0.25">
      <c r="A57" s="262" t="s">
        <v>182</v>
      </c>
      <c r="B57" s="271" t="s">
        <v>183</v>
      </c>
      <c r="C57" s="272" t="s">
        <v>34</v>
      </c>
      <c r="D57" s="358">
        <v>7727</v>
      </c>
    </row>
    <row r="58" spans="1:4" ht="28.5" customHeight="1" x14ac:dyDescent="0.25">
      <c r="A58" s="262" t="s">
        <v>185</v>
      </c>
      <c r="B58" s="271" t="s">
        <v>186</v>
      </c>
      <c r="C58" s="272" t="s">
        <v>187</v>
      </c>
      <c r="D58" s="358">
        <v>3686</v>
      </c>
    </row>
    <row r="59" spans="1:4" ht="28.5" customHeight="1" x14ac:dyDescent="0.25">
      <c r="A59" s="262" t="s">
        <v>189</v>
      </c>
      <c r="B59" s="271" t="s">
        <v>190</v>
      </c>
      <c r="C59" s="272" t="s">
        <v>187</v>
      </c>
      <c r="D59" s="358">
        <v>5148</v>
      </c>
    </row>
    <row r="60" spans="1:4" ht="28.5" customHeight="1" x14ac:dyDescent="0.25">
      <c r="A60" s="262" t="s">
        <v>191</v>
      </c>
      <c r="B60" s="271" t="s">
        <v>193</v>
      </c>
      <c r="C60" s="272" t="s">
        <v>194</v>
      </c>
      <c r="D60" s="358">
        <v>1843</v>
      </c>
    </row>
    <row r="61" spans="1:4" ht="28.5" customHeight="1" x14ac:dyDescent="0.25">
      <c r="A61" s="262" t="s">
        <v>195</v>
      </c>
      <c r="B61" s="271" t="s">
        <v>196</v>
      </c>
      <c r="C61" s="272" t="s">
        <v>194</v>
      </c>
      <c r="D61" s="358">
        <v>2579</v>
      </c>
    </row>
    <row r="62" spans="1:4" ht="25.5" x14ac:dyDescent="0.25">
      <c r="A62" s="262" t="s">
        <v>197</v>
      </c>
      <c r="B62" s="271" t="s">
        <v>199</v>
      </c>
      <c r="C62" s="272" t="s">
        <v>200</v>
      </c>
      <c r="D62" s="358">
        <v>484</v>
      </c>
    </row>
    <row r="63" spans="1:4" ht="63.75" customHeight="1" x14ac:dyDescent="0.25">
      <c r="A63" s="262" t="s">
        <v>201</v>
      </c>
      <c r="B63" s="271" t="s">
        <v>203</v>
      </c>
      <c r="C63" s="272" t="s">
        <v>204</v>
      </c>
      <c r="D63" s="358">
        <v>158</v>
      </c>
    </row>
    <row r="64" spans="1:4" ht="38.25" x14ac:dyDescent="0.25">
      <c r="A64" s="262" t="s">
        <v>205</v>
      </c>
      <c r="B64" s="271" t="s">
        <v>206</v>
      </c>
      <c r="C64" s="272" t="s">
        <v>34</v>
      </c>
      <c r="D64" s="358">
        <v>214</v>
      </c>
    </row>
    <row r="65" spans="1:4" ht="38.25" x14ac:dyDescent="0.25">
      <c r="A65" s="262" t="s">
        <v>207</v>
      </c>
      <c r="B65" s="271" t="s">
        <v>209</v>
      </c>
      <c r="C65" s="272" t="s">
        <v>210</v>
      </c>
      <c r="D65" s="358">
        <v>1545</v>
      </c>
    </row>
    <row r="66" spans="1:4" ht="38.25" x14ac:dyDescent="0.25">
      <c r="A66" s="262" t="s">
        <v>212</v>
      </c>
      <c r="B66" s="271" t="s">
        <v>213</v>
      </c>
      <c r="C66" s="272" t="s">
        <v>34</v>
      </c>
      <c r="D66" s="358">
        <v>2709</v>
      </c>
    </row>
    <row r="67" spans="1:4" ht="28.5" customHeight="1" x14ac:dyDescent="0.25">
      <c r="A67" s="257" t="s">
        <v>214</v>
      </c>
      <c r="B67" s="258"/>
      <c r="C67" s="258"/>
    </row>
    <row r="68" spans="1:4" ht="51" x14ac:dyDescent="0.25">
      <c r="A68" s="262" t="s">
        <v>215</v>
      </c>
      <c r="B68" s="271" t="s">
        <v>216</v>
      </c>
      <c r="C68" s="272" t="s">
        <v>50</v>
      </c>
      <c r="D68" s="358">
        <v>1238</v>
      </c>
    </row>
    <row r="69" spans="1:4" ht="38.25" x14ac:dyDescent="0.25">
      <c r="A69" s="262" t="s">
        <v>218</v>
      </c>
      <c r="B69" s="271" t="s">
        <v>220</v>
      </c>
      <c r="C69" s="272" t="s">
        <v>50</v>
      </c>
      <c r="D69" s="358">
        <v>1238</v>
      </c>
    </row>
    <row r="70" spans="1:4" ht="28.5" customHeight="1" x14ac:dyDescent="0.25">
      <c r="A70" s="262" t="s">
        <v>221</v>
      </c>
      <c r="B70" s="271" t="s">
        <v>222</v>
      </c>
      <c r="C70" s="272" t="s">
        <v>223</v>
      </c>
      <c r="D70" s="358">
        <v>745</v>
      </c>
    </row>
    <row r="71" spans="1:4" ht="28.5" customHeight="1" x14ac:dyDescent="0.25">
      <c r="A71" s="262" t="s">
        <v>224</v>
      </c>
      <c r="B71" s="271" t="s">
        <v>226</v>
      </c>
      <c r="C71" s="272" t="s">
        <v>50</v>
      </c>
      <c r="D71" s="358">
        <v>624</v>
      </c>
    </row>
    <row r="72" spans="1:4" ht="28.5" customHeight="1" x14ac:dyDescent="0.25">
      <c r="A72" s="262" t="s">
        <v>228</v>
      </c>
      <c r="B72" s="271" t="s">
        <v>229</v>
      </c>
      <c r="C72" s="272" t="s">
        <v>50</v>
      </c>
      <c r="D72" s="358">
        <v>261</v>
      </c>
    </row>
    <row r="73" spans="1:4" ht="28.5" customHeight="1" x14ac:dyDescent="0.25">
      <c r="A73" s="262" t="s">
        <v>230</v>
      </c>
      <c r="B73" s="271" t="s">
        <v>231</v>
      </c>
      <c r="C73" s="272" t="s">
        <v>156</v>
      </c>
      <c r="D73" s="358">
        <v>735</v>
      </c>
    </row>
    <row r="74" spans="1:4" ht="28.5" customHeight="1" x14ac:dyDescent="0.25">
      <c r="A74" s="257" t="s">
        <v>233</v>
      </c>
      <c r="B74" s="258"/>
      <c r="C74" s="258"/>
    </row>
    <row r="75" spans="1:4" ht="25.5" x14ac:dyDescent="0.25">
      <c r="A75" s="262" t="s">
        <v>234</v>
      </c>
      <c r="B75" s="271" t="s">
        <v>236</v>
      </c>
      <c r="C75" s="272" t="s">
        <v>34</v>
      </c>
      <c r="D75" s="358">
        <v>735</v>
      </c>
    </row>
    <row r="76" spans="1:4" ht="25.5" x14ac:dyDescent="0.25">
      <c r="A76" s="262" t="s">
        <v>237</v>
      </c>
      <c r="B76" s="271" t="s">
        <v>238</v>
      </c>
      <c r="C76" s="272" t="s">
        <v>34</v>
      </c>
      <c r="D76" s="358">
        <v>493</v>
      </c>
    </row>
    <row r="77" spans="1:4" ht="51" x14ac:dyDescent="0.25">
      <c r="A77" s="262" t="s">
        <v>239</v>
      </c>
      <c r="B77" s="271" t="s">
        <v>241</v>
      </c>
      <c r="C77" s="272" t="s">
        <v>242</v>
      </c>
      <c r="D77" s="358">
        <v>1778</v>
      </c>
    </row>
    <row r="78" spans="1:4" x14ac:dyDescent="0.25">
      <c r="A78" s="262" t="s">
        <v>243</v>
      </c>
      <c r="B78" s="271" t="s">
        <v>244</v>
      </c>
      <c r="C78" s="272" t="s">
        <v>50</v>
      </c>
      <c r="D78" s="358">
        <v>1843</v>
      </c>
    </row>
    <row r="79" spans="1:4" x14ac:dyDescent="0.25">
      <c r="A79" s="262" t="s">
        <v>246</v>
      </c>
      <c r="B79" s="271" t="s">
        <v>247</v>
      </c>
      <c r="C79" s="272" t="s">
        <v>50</v>
      </c>
      <c r="D79" s="358">
        <v>7345</v>
      </c>
    </row>
    <row r="80" spans="1:4" ht="25.5" x14ac:dyDescent="0.25">
      <c r="A80" s="262" t="s">
        <v>249</v>
      </c>
      <c r="B80" s="271" t="s">
        <v>250</v>
      </c>
      <c r="C80" s="272" t="s">
        <v>251</v>
      </c>
      <c r="D80" s="358">
        <v>326</v>
      </c>
    </row>
    <row r="81" spans="1:4" ht="25.5" x14ac:dyDescent="0.25">
      <c r="A81" s="262" t="s">
        <v>252</v>
      </c>
      <c r="B81" s="271" t="s">
        <v>253</v>
      </c>
      <c r="C81" s="272" t="s">
        <v>40</v>
      </c>
      <c r="D81" s="358">
        <v>382</v>
      </c>
    </row>
    <row r="82" spans="1:4" x14ac:dyDescent="0.25">
      <c r="A82" s="262" t="s">
        <v>255</v>
      </c>
      <c r="B82" s="271" t="s">
        <v>257</v>
      </c>
      <c r="C82" s="272" t="s">
        <v>50</v>
      </c>
      <c r="D82" s="358">
        <v>3081</v>
      </c>
    </row>
    <row r="83" spans="1:4" ht="38.25" x14ac:dyDescent="0.25">
      <c r="A83" s="262" t="s">
        <v>258</v>
      </c>
      <c r="B83" s="271" t="s">
        <v>259</v>
      </c>
      <c r="C83" s="272" t="s">
        <v>50</v>
      </c>
      <c r="D83" s="358">
        <v>1722</v>
      </c>
    </row>
    <row r="84" spans="1:4" x14ac:dyDescent="0.25">
      <c r="A84" s="262" t="s">
        <v>260</v>
      </c>
      <c r="B84" s="271" t="s">
        <v>261</v>
      </c>
      <c r="C84" s="272" t="s">
        <v>50</v>
      </c>
      <c r="D84" s="358">
        <v>745</v>
      </c>
    </row>
    <row r="85" spans="1:4" x14ac:dyDescent="0.25">
      <c r="A85" s="262" t="s">
        <v>263</v>
      </c>
      <c r="B85" s="271" t="s">
        <v>265</v>
      </c>
      <c r="C85" s="272" t="s">
        <v>50</v>
      </c>
      <c r="D85" s="358">
        <v>987</v>
      </c>
    </row>
    <row r="86" spans="1:4" ht="63.75" x14ac:dyDescent="0.25">
      <c r="A86" s="262" t="s">
        <v>266</v>
      </c>
      <c r="B86" s="271" t="s">
        <v>267</v>
      </c>
      <c r="C86" s="272" t="s">
        <v>50</v>
      </c>
      <c r="D86" s="358">
        <v>493</v>
      </c>
    </row>
    <row r="87" spans="1:4" x14ac:dyDescent="0.25">
      <c r="A87" s="262" t="s">
        <v>268</v>
      </c>
      <c r="B87" s="271" t="s">
        <v>270</v>
      </c>
      <c r="C87" s="272" t="s">
        <v>50</v>
      </c>
      <c r="D87" s="358">
        <v>987</v>
      </c>
    </row>
    <row r="88" spans="1:4" x14ac:dyDescent="0.25">
      <c r="A88" s="262" t="s">
        <v>272</v>
      </c>
      <c r="B88" s="271" t="s">
        <v>273</v>
      </c>
      <c r="C88" s="272" t="s">
        <v>156</v>
      </c>
      <c r="D88" s="358">
        <v>65</v>
      </c>
    </row>
    <row r="89" spans="1:4" ht="76.5" x14ac:dyDescent="0.25">
      <c r="A89" s="262" t="s">
        <v>274</v>
      </c>
      <c r="B89" s="271" t="s">
        <v>275</v>
      </c>
      <c r="C89" s="272" t="s">
        <v>50</v>
      </c>
      <c r="D89" s="358">
        <v>5055</v>
      </c>
    </row>
    <row r="90" spans="1:4" ht="25.5" x14ac:dyDescent="0.25">
      <c r="A90" s="262" t="s">
        <v>277</v>
      </c>
      <c r="B90" s="271" t="s">
        <v>278</v>
      </c>
      <c r="C90" s="272" t="s">
        <v>50</v>
      </c>
      <c r="D90" s="358">
        <v>4450</v>
      </c>
    </row>
    <row r="91" spans="1:4" ht="25.5" x14ac:dyDescent="0.25">
      <c r="A91" s="262" t="s">
        <v>280</v>
      </c>
      <c r="B91" s="271" t="s">
        <v>281</v>
      </c>
      <c r="C91" s="272" t="s">
        <v>50</v>
      </c>
      <c r="D91" s="358">
        <v>735</v>
      </c>
    </row>
    <row r="92" spans="1:4" ht="25.5" customHeight="1" x14ac:dyDescent="0.25">
      <c r="A92" s="262" t="s">
        <v>282</v>
      </c>
      <c r="B92" s="271" t="s">
        <v>283</v>
      </c>
      <c r="C92" s="272" t="s">
        <v>56</v>
      </c>
      <c r="D92" s="358">
        <v>1899</v>
      </c>
    </row>
    <row r="93" spans="1:4" ht="25.5" x14ac:dyDescent="0.25">
      <c r="A93" s="262" t="s">
        <v>285</v>
      </c>
      <c r="B93" s="271" t="s">
        <v>287</v>
      </c>
      <c r="C93" s="272" t="s">
        <v>50</v>
      </c>
      <c r="D93" s="358">
        <v>2020</v>
      </c>
    </row>
    <row r="94" spans="1:4" ht="28.5" customHeight="1" x14ac:dyDescent="0.25">
      <c r="A94" s="257" t="s">
        <v>288</v>
      </c>
      <c r="B94" s="258"/>
      <c r="C94" s="258"/>
    </row>
    <row r="95" spans="1:4" ht="25.5" x14ac:dyDescent="0.25">
      <c r="A95" s="262" t="s">
        <v>289</v>
      </c>
      <c r="B95" s="271" t="s">
        <v>290</v>
      </c>
      <c r="C95" s="272" t="s">
        <v>50</v>
      </c>
      <c r="D95" s="358">
        <v>438</v>
      </c>
    </row>
    <row r="96" spans="1:4" ht="25.5" x14ac:dyDescent="0.25">
      <c r="A96" s="262" t="s">
        <v>292</v>
      </c>
      <c r="B96" s="271" t="s">
        <v>293</v>
      </c>
      <c r="C96" s="272" t="s">
        <v>40</v>
      </c>
      <c r="D96" s="358">
        <v>1061</v>
      </c>
    </row>
    <row r="97" spans="1:4" ht="38.25" x14ac:dyDescent="0.25">
      <c r="A97" s="262" t="s">
        <v>294</v>
      </c>
      <c r="B97" s="271" t="s">
        <v>295</v>
      </c>
      <c r="C97" s="272" t="s">
        <v>40</v>
      </c>
      <c r="D97" s="358">
        <v>1592</v>
      </c>
    </row>
    <row r="98" spans="1:4" ht="25.5" x14ac:dyDescent="0.25">
      <c r="A98" s="262" t="s">
        <v>297</v>
      </c>
      <c r="B98" s="271" t="s">
        <v>299</v>
      </c>
      <c r="C98" s="272" t="s">
        <v>184</v>
      </c>
      <c r="D98" s="358">
        <v>2150</v>
      </c>
    </row>
    <row r="99" spans="1:4" x14ac:dyDescent="0.25">
      <c r="A99" s="262" t="s">
        <v>301</v>
      </c>
      <c r="B99" s="271" t="s">
        <v>302</v>
      </c>
      <c r="C99" s="272" t="s">
        <v>50</v>
      </c>
      <c r="D99" s="358">
        <v>745</v>
      </c>
    </row>
    <row r="100" spans="1:4" ht="38.25" x14ac:dyDescent="0.25">
      <c r="A100" s="262" t="s">
        <v>303</v>
      </c>
      <c r="B100" s="271" t="s">
        <v>305</v>
      </c>
      <c r="C100" s="272" t="s">
        <v>184</v>
      </c>
      <c r="D100" s="358">
        <v>2122</v>
      </c>
    </row>
    <row r="101" spans="1:4" ht="25.5" customHeight="1" x14ac:dyDescent="0.25">
      <c r="A101" s="262" t="s">
        <v>306</v>
      </c>
      <c r="B101" s="271" t="s">
        <v>307</v>
      </c>
      <c r="C101" s="272" t="s">
        <v>50</v>
      </c>
      <c r="D101" s="358">
        <v>4040</v>
      </c>
    </row>
    <row r="102" spans="1:4" x14ac:dyDescent="0.25">
      <c r="A102" s="262" t="s">
        <v>309</v>
      </c>
      <c r="B102" s="271" t="s">
        <v>310</v>
      </c>
      <c r="C102" s="272" t="s">
        <v>50</v>
      </c>
      <c r="D102" s="358">
        <v>13247</v>
      </c>
    </row>
    <row r="103" spans="1:4" ht="25.5" x14ac:dyDescent="0.25">
      <c r="A103" s="262" t="s">
        <v>311</v>
      </c>
      <c r="B103" s="271" t="s">
        <v>312</v>
      </c>
      <c r="C103" s="272" t="s">
        <v>50</v>
      </c>
      <c r="D103" s="358">
        <v>5827</v>
      </c>
    </row>
    <row r="104" spans="1:4" x14ac:dyDescent="0.25">
      <c r="A104" s="262" t="s">
        <v>314</v>
      </c>
      <c r="B104" s="271" t="s">
        <v>315</v>
      </c>
      <c r="C104" s="272" t="s">
        <v>184</v>
      </c>
      <c r="D104" s="358">
        <v>1061</v>
      </c>
    </row>
    <row r="105" spans="1:4" x14ac:dyDescent="0.25">
      <c r="A105" s="262" t="s">
        <v>316</v>
      </c>
      <c r="B105" s="271" t="s">
        <v>318</v>
      </c>
      <c r="C105" s="272" t="s">
        <v>184</v>
      </c>
      <c r="D105" s="358">
        <v>568</v>
      </c>
    </row>
    <row r="106" spans="1:4" x14ac:dyDescent="0.25">
      <c r="A106" s="262" t="s">
        <v>319</v>
      </c>
      <c r="B106" s="271" t="s">
        <v>320</v>
      </c>
      <c r="C106" s="272" t="s">
        <v>184</v>
      </c>
      <c r="D106" s="358">
        <v>1685</v>
      </c>
    </row>
    <row r="107" spans="1:4" ht="25.5" x14ac:dyDescent="0.25">
      <c r="A107" s="262" t="s">
        <v>322</v>
      </c>
      <c r="B107" s="271" t="s">
        <v>323</v>
      </c>
      <c r="C107" s="272" t="s">
        <v>50</v>
      </c>
      <c r="D107" s="358">
        <v>1471</v>
      </c>
    </row>
    <row r="108" spans="1:4" ht="25.5" x14ac:dyDescent="0.25">
      <c r="A108" s="262" t="s">
        <v>325</v>
      </c>
      <c r="B108" s="271" t="s">
        <v>326</v>
      </c>
      <c r="C108" s="272" t="s">
        <v>156</v>
      </c>
      <c r="D108" s="358">
        <v>1387</v>
      </c>
    </row>
    <row r="109" spans="1:4" ht="38.25" x14ac:dyDescent="0.25">
      <c r="A109" s="262" t="s">
        <v>328</v>
      </c>
      <c r="B109" s="271" t="s">
        <v>329</v>
      </c>
      <c r="C109" s="272" t="s">
        <v>50</v>
      </c>
      <c r="D109" s="358">
        <v>1173</v>
      </c>
    </row>
    <row r="110" spans="1:4" ht="25.5" x14ac:dyDescent="0.25">
      <c r="A110" s="262" t="s">
        <v>330</v>
      </c>
      <c r="B110" s="271" t="s">
        <v>331</v>
      </c>
      <c r="C110" s="272" t="s">
        <v>50</v>
      </c>
      <c r="D110" s="358">
        <v>4040</v>
      </c>
    </row>
    <row r="111" spans="1:4" ht="38.25" x14ac:dyDescent="0.25">
      <c r="A111" s="262" t="s">
        <v>333</v>
      </c>
      <c r="B111" s="271" t="s">
        <v>335</v>
      </c>
      <c r="C111" s="272" t="s">
        <v>50</v>
      </c>
      <c r="D111" s="358">
        <v>3919</v>
      </c>
    </row>
    <row r="112" spans="1:4" ht="25.5" x14ac:dyDescent="0.25">
      <c r="A112" s="262" t="s">
        <v>41</v>
      </c>
      <c r="B112" s="271" t="s">
        <v>44</v>
      </c>
      <c r="C112" s="272" t="s">
        <v>47</v>
      </c>
      <c r="D112" s="358">
        <v>76316</v>
      </c>
    </row>
    <row r="113" spans="1:4" ht="38.25" x14ac:dyDescent="0.25">
      <c r="A113" s="262" t="s">
        <v>4287</v>
      </c>
      <c r="B113" s="271" t="s">
        <v>54</v>
      </c>
      <c r="C113" s="272" t="s">
        <v>56</v>
      </c>
      <c r="D113" s="358">
        <v>2104</v>
      </c>
    </row>
    <row r="114" spans="1:4" ht="51" x14ac:dyDescent="0.25">
      <c r="A114" s="262" t="s">
        <v>4288</v>
      </c>
      <c r="B114" s="271" t="s">
        <v>63</v>
      </c>
      <c r="C114" s="272" t="s">
        <v>56</v>
      </c>
      <c r="D114" s="358">
        <v>6265</v>
      </c>
    </row>
    <row r="115" spans="1:4" x14ac:dyDescent="0.25">
      <c r="A115" s="262" t="s">
        <v>4289</v>
      </c>
      <c r="B115" s="271" t="s">
        <v>69</v>
      </c>
      <c r="C115" s="272" t="s">
        <v>50</v>
      </c>
      <c r="D115" s="358">
        <v>9951</v>
      </c>
    </row>
    <row r="116" spans="1:4" x14ac:dyDescent="0.25">
      <c r="A116" s="262" t="s">
        <v>4290</v>
      </c>
      <c r="B116" s="271" t="s">
        <v>77</v>
      </c>
      <c r="C116" s="272" t="s">
        <v>47</v>
      </c>
      <c r="D116" s="358">
        <v>159828</v>
      </c>
    </row>
    <row r="117" spans="1:4" ht="25.5" x14ac:dyDescent="0.25">
      <c r="A117" s="262" t="s">
        <v>4291</v>
      </c>
      <c r="B117" s="271" t="s">
        <v>84</v>
      </c>
      <c r="C117" s="272" t="s">
        <v>47</v>
      </c>
      <c r="D117" s="358">
        <v>44358</v>
      </c>
    </row>
    <row r="118" spans="1:4" ht="28.5" customHeight="1" x14ac:dyDescent="0.25">
      <c r="A118" s="257" t="s">
        <v>89</v>
      </c>
      <c r="B118" s="273"/>
      <c r="C118" s="258"/>
    </row>
    <row r="119" spans="1:4" ht="28.5" customHeight="1" x14ac:dyDescent="0.25">
      <c r="A119" s="262" t="s">
        <v>94</v>
      </c>
      <c r="B119" s="271" t="s">
        <v>96</v>
      </c>
      <c r="C119" s="272" t="s">
        <v>34</v>
      </c>
      <c r="D119" s="358">
        <v>261</v>
      </c>
    </row>
    <row r="120" spans="1:4" ht="28.5" customHeight="1" x14ac:dyDescent="0.25">
      <c r="A120" s="257" t="s">
        <v>101</v>
      </c>
      <c r="B120" s="258"/>
      <c r="C120" s="258"/>
    </row>
    <row r="121" spans="1:4" ht="51" x14ac:dyDescent="0.25">
      <c r="A121" s="262" t="s">
        <v>104</v>
      </c>
      <c r="B121" s="271" t="s">
        <v>107</v>
      </c>
      <c r="C121" s="272" t="s">
        <v>56</v>
      </c>
      <c r="D121" s="358">
        <v>1974</v>
      </c>
    </row>
    <row r="122" spans="1:4" ht="38.25" x14ac:dyDescent="0.25">
      <c r="A122" s="262" t="s">
        <v>112</v>
      </c>
      <c r="B122" s="271" t="s">
        <v>115</v>
      </c>
      <c r="C122" s="272" t="s">
        <v>50</v>
      </c>
      <c r="D122" s="358">
        <v>186</v>
      </c>
    </row>
    <row r="123" spans="1:4" ht="38.25" x14ac:dyDescent="0.25">
      <c r="A123" s="262" t="s">
        <v>120</v>
      </c>
      <c r="B123" s="271" t="s">
        <v>123</v>
      </c>
      <c r="C123" s="272" t="s">
        <v>50</v>
      </c>
      <c r="D123" s="358">
        <v>866</v>
      </c>
    </row>
    <row r="124" spans="1:4" x14ac:dyDescent="0.25">
      <c r="A124" s="262" t="s">
        <v>128</v>
      </c>
      <c r="B124" s="271" t="s">
        <v>130</v>
      </c>
      <c r="C124" s="272" t="s">
        <v>40</v>
      </c>
      <c r="D124" s="358">
        <v>74</v>
      </c>
    </row>
    <row r="125" spans="1:4" ht="25.5" x14ac:dyDescent="0.25">
      <c r="A125" s="262" t="s">
        <v>135</v>
      </c>
      <c r="B125" s="271" t="s">
        <v>137</v>
      </c>
      <c r="C125" s="272" t="s">
        <v>50</v>
      </c>
      <c r="D125" s="358">
        <v>130</v>
      </c>
    </row>
    <row r="126" spans="1:4" ht="28.5" customHeight="1" x14ac:dyDescent="0.25">
      <c r="A126" s="257" t="s">
        <v>142</v>
      </c>
      <c r="B126" s="274"/>
      <c r="C126" s="274"/>
    </row>
    <row r="127" spans="1:4" ht="38.25" x14ac:dyDescent="0.25">
      <c r="A127" s="262" t="s">
        <v>147</v>
      </c>
      <c r="B127" s="271" t="s">
        <v>150</v>
      </c>
      <c r="C127" s="272" t="s">
        <v>152</v>
      </c>
      <c r="D127" s="358">
        <v>3677</v>
      </c>
    </row>
    <row r="128" spans="1:4" ht="38.25" x14ac:dyDescent="0.25">
      <c r="A128" s="262" t="s">
        <v>157</v>
      </c>
      <c r="B128" s="271" t="s">
        <v>160</v>
      </c>
      <c r="C128" s="272" t="s">
        <v>162</v>
      </c>
      <c r="D128" s="358">
        <v>735</v>
      </c>
    </row>
    <row r="129" spans="1:4" ht="25.5" x14ac:dyDescent="0.25">
      <c r="A129" s="262" t="s">
        <v>165</v>
      </c>
      <c r="B129" s="271" t="s">
        <v>167</v>
      </c>
      <c r="C129" s="272" t="s">
        <v>170</v>
      </c>
      <c r="D129" s="358">
        <v>49.34</v>
      </c>
    </row>
    <row r="130" spans="1:4" ht="28.5" customHeight="1" x14ac:dyDescent="0.25">
      <c r="A130" s="257" t="s">
        <v>175</v>
      </c>
      <c r="B130" s="275"/>
      <c r="C130" s="275"/>
    </row>
    <row r="131" spans="1:4" ht="25.5" x14ac:dyDescent="0.25">
      <c r="A131" s="262" t="s">
        <v>179</v>
      </c>
      <c r="B131" s="271" t="s">
        <v>181</v>
      </c>
      <c r="C131" s="272" t="s">
        <v>184</v>
      </c>
      <c r="D131" s="358">
        <v>130</v>
      </c>
    </row>
    <row r="132" spans="1:4" ht="102" x14ac:dyDescent="0.25">
      <c r="A132" s="262" t="s">
        <v>188</v>
      </c>
      <c r="B132" s="271" t="s">
        <v>192</v>
      </c>
      <c r="C132" s="272" t="s">
        <v>162</v>
      </c>
      <c r="D132" s="358">
        <v>735</v>
      </c>
    </row>
    <row r="133" spans="1:4" ht="51" x14ac:dyDescent="0.25">
      <c r="A133" s="262" t="s">
        <v>198</v>
      </c>
      <c r="B133" s="271" t="s">
        <v>202</v>
      </c>
      <c r="C133" s="272" t="s">
        <v>162</v>
      </c>
      <c r="D133" s="358">
        <v>735</v>
      </c>
    </row>
    <row r="134" spans="1:4" ht="63.75" x14ac:dyDescent="0.25">
      <c r="A134" s="262" t="s">
        <v>208</v>
      </c>
      <c r="B134" s="271" t="s">
        <v>211</v>
      </c>
      <c r="C134" s="272" t="s">
        <v>156</v>
      </c>
      <c r="D134" s="358">
        <v>3221</v>
      </c>
    </row>
    <row r="135" spans="1:4" ht="25.5" x14ac:dyDescent="0.25">
      <c r="A135" s="262" t="s">
        <v>217</v>
      </c>
      <c r="B135" s="271" t="s">
        <v>219</v>
      </c>
      <c r="C135" s="272" t="s">
        <v>156</v>
      </c>
      <c r="D135" s="358">
        <v>2942</v>
      </c>
    </row>
    <row r="136" spans="1:4" x14ac:dyDescent="0.25">
      <c r="A136" s="262" t="s">
        <v>225</v>
      </c>
      <c r="B136" s="271" t="s">
        <v>227</v>
      </c>
      <c r="C136" s="272" t="s">
        <v>40</v>
      </c>
      <c r="D136" s="358">
        <v>447</v>
      </c>
    </row>
    <row r="137" spans="1:4" ht="25.5" x14ac:dyDescent="0.25">
      <c r="A137" s="262" t="s">
        <v>232</v>
      </c>
      <c r="B137" s="271" t="s">
        <v>235</v>
      </c>
      <c r="C137" s="272" t="s">
        <v>156</v>
      </c>
      <c r="D137" s="358">
        <v>1750</v>
      </c>
    </row>
    <row r="138" spans="1:4" ht="28.5" customHeight="1" x14ac:dyDescent="0.25">
      <c r="A138" s="276" t="s">
        <v>240</v>
      </c>
      <c r="B138" s="275"/>
      <c r="C138" s="275"/>
    </row>
    <row r="139" spans="1:4" ht="28.5" customHeight="1" x14ac:dyDescent="0.25">
      <c r="A139" s="262" t="s">
        <v>245</v>
      </c>
      <c r="B139" s="271" t="s">
        <v>248</v>
      </c>
      <c r="C139" s="272" t="s">
        <v>40</v>
      </c>
      <c r="D139" s="358">
        <v>214</v>
      </c>
    </row>
    <row r="140" spans="1:4" ht="28.5" customHeight="1" x14ac:dyDescent="0.25">
      <c r="A140" s="262" t="s">
        <v>254</v>
      </c>
      <c r="B140" s="271" t="s">
        <v>256</v>
      </c>
      <c r="C140" s="272" t="s">
        <v>40</v>
      </c>
      <c r="D140" s="358">
        <v>289</v>
      </c>
    </row>
    <row r="141" spans="1:4" ht="28.5" customHeight="1" x14ac:dyDescent="0.25">
      <c r="A141" s="262" t="s">
        <v>262</v>
      </c>
      <c r="B141" s="271" t="s">
        <v>264</v>
      </c>
      <c r="C141" s="272" t="s">
        <v>40</v>
      </c>
      <c r="D141" s="358">
        <v>261</v>
      </c>
    </row>
    <row r="142" spans="1:4" ht="28.5" customHeight="1" x14ac:dyDescent="0.25">
      <c r="A142" s="262" t="s">
        <v>269</v>
      </c>
      <c r="B142" s="271" t="s">
        <v>271</v>
      </c>
      <c r="C142" s="272" t="s">
        <v>40</v>
      </c>
      <c r="D142" s="358">
        <v>177</v>
      </c>
    </row>
    <row r="143" spans="1:4" ht="28.5" customHeight="1" x14ac:dyDescent="0.25">
      <c r="A143" s="262" t="s">
        <v>276</v>
      </c>
      <c r="B143" s="271" t="s">
        <v>279</v>
      </c>
      <c r="C143" s="272" t="s">
        <v>40</v>
      </c>
      <c r="D143" s="358">
        <v>121</v>
      </c>
    </row>
    <row r="144" spans="1:4" ht="28.5" customHeight="1" x14ac:dyDescent="0.25">
      <c r="A144" s="262" t="s">
        <v>284</v>
      </c>
      <c r="B144" s="271" t="s">
        <v>286</v>
      </c>
      <c r="C144" s="272" t="s">
        <v>47</v>
      </c>
      <c r="D144" s="358">
        <v>64605</v>
      </c>
    </row>
    <row r="145" spans="1:5" ht="28.5" customHeight="1" x14ac:dyDescent="0.25">
      <c r="A145" s="276" t="s">
        <v>291</v>
      </c>
      <c r="B145" s="275"/>
      <c r="C145" s="275"/>
    </row>
    <row r="146" spans="1:5" ht="28.5" customHeight="1" x14ac:dyDescent="0.25">
      <c r="A146" s="277" t="s">
        <v>296</v>
      </c>
      <c r="B146" s="278" t="s">
        <v>298</v>
      </c>
      <c r="C146" s="272" t="s">
        <v>300</v>
      </c>
      <c r="D146" s="358">
        <v>4143</v>
      </c>
    </row>
    <row r="147" spans="1:5" ht="15" customHeight="1" x14ac:dyDescent="0.25">
      <c r="A147" s="279" t="s">
        <v>304</v>
      </c>
      <c r="B147" s="280"/>
      <c r="C147" s="281"/>
    </row>
    <row r="148" spans="1:5" ht="15" customHeight="1" x14ac:dyDescent="0.25">
      <c r="A148" s="282" t="s">
        <v>308</v>
      </c>
      <c r="B148" s="283"/>
      <c r="C148" s="283"/>
    </row>
    <row r="149" spans="1:5" ht="15" customHeight="1" x14ac:dyDescent="0.25">
      <c r="A149" s="284" t="s">
        <v>313</v>
      </c>
      <c r="B149" s="285"/>
      <c r="C149" s="285"/>
    </row>
    <row r="150" spans="1:5" ht="15" customHeight="1" x14ac:dyDescent="0.25">
      <c r="A150" s="286" t="s">
        <v>317</v>
      </c>
      <c r="B150" s="287"/>
      <c r="C150" s="287"/>
    </row>
    <row r="151" spans="1:5" ht="25.5" x14ac:dyDescent="0.25">
      <c r="A151" s="277" t="s">
        <v>321</v>
      </c>
      <c r="B151" s="271" t="s">
        <v>324</v>
      </c>
      <c r="C151" s="272" t="s">
        <v>327</v>
      </c>
      <c r="D151" s="358">
        <v>3956</v>
      </c>
      <c r="E151" s="29"/>
    </row>
    <row r="152" spans="1:5" ht="28.5" customHeight="1" x14ac:dyDescent="0.25">
      <c r="A152" s="277" t="s">
        <v>332</v>
      </c>
      <c r="B152" s="288" t="s">
        <v>334</v>
      </c>
      <c r="C152" s="272" t="s">
        <v>327</v>
      </c>
      <c r="D152" s="358">
        <v>7187</v>
      </c>
      <c r="E152" s="29"/>
    </row>
    <row r="153" spans="1:5" x14ac:dyDescent="0.25">
      <c r="A153" s="279" t="s">
        <v>338</v>
      </c>
      <c r="B153" s="280"/>
      <c r="C153" s="281"/>
      <c r="E153" s="29"/>
    </row>
    <row r="154" spans="1:5" ht="14.25" customHeight="1" x14ac:dyDescent="0.25">
      <c r="A154" s="284" t="s">
        <v>313</v>
      </c>
      <c r="B154" s="283"/>
      <c r="C154" s="283"/>
      <c r="E154" s="29"/>
    </row>
    <row r="155" spans="1:5" x14ac:dyDescent="0.25">
      <c r="A155" s="284" t="s">
        <v>317</v>
      </c>
      <c r="B155" s="285"/>
      <c r="C155" s="285"/>
      <c r="E155" s="29"/>
    </row>
    <row r="156" spans="1:5" x14ac:dyDescent="0.25">
      <c r="A156" s="286" t="s">
        <v>346</v>
      </c>
      <c r="B156" s="287"/>
      <c r="C156" s="287"/>
      <c r="E156" s="29"/>
    </row>
    <row r="157" spans="1:5" ht="25.5" x14ac:dyDescent="0.25">
      <c r="A157" s="277" t="s">
        <v>349</v>
      </c>
      <c r="B157" s="271" t="s">
        <v>351</v>
      </c>
      <c r="C157" s="272" t="s">
        <v>162</v>
      </c>
      <c r="D157" s="358">
        <v>791</v>
      </c>
      <c r="E157" s="29"/>
    </row>
    <row r="158" spans="1:5" ht="26.25" x14ac:dyDescent="0.25">
      <c r="A158" s="277" t="s">
        <v>356</v>
      </c>
      <c r="B158" s="288" t="s">
        <v>359</v>
      </c>
      <c r="C158" s="272" t="s">
        <v>162</v>
      </c>
      <c r="D158" s="358">
        <v>1443</v>
      </c>
      <c r="E158" s="29"/>
    </row>
    <row r="159" spans="1:5" ht="39.75" customHeight="1" x14ac:dyDescent="0.25">
      <c r="A159" s="383" t="s">
        <v>364</v>
      </c>
      <c r="B159" s="383"/>
      <c r="C159" s="384"/>
      <c r="E159" s="29"/>
    </row>
    <row r="160" spans="1:5" ht="51.75" x14ac:dyDescent="0.25">
      <c r="A160" s="277" t="s">
        <v>367</v>
      </c>
      <c r="B160" s="288" t="s">
        <v>369</v>
      </c>
      <c r="C160" s="272" t="s">
        <v>162</v>
      </c>
      <c r="D160" s="358">
        <v>903</v>
      </c>
    </row>
    <row r="161" spans="1:4" ht="52.5" customHeight="1" x14ac:dyDescent="0.25">
      <c r="A161" s="277" t="s">
        <v>374</v>
      </c>
      <c r="B161" s="288" t="s">
        <v>376</v>
      </c>
      <c r="C161" s="272" t="s">
        <v>378</v>
      </c>
      <c r="D161" s="358">
        <v>32610</v>
      </c>
    </row>
    <row r="162" spans="1:4" ht="64.5" x14ac:dyDescent="0.25">
      <c r="A162" s="277" t="s">
        <v>375</v>
      </c>
      <c r="B162" s="288" t="s">
        <v>377</v>
      </c>
      <c r="C162" s="272" t="s">
        <v>378</v>
      </c>
      <c r="D162" s="358">
        <v>26847</v>
      </c>
    </row>
    <row r="163" spans="1:4" ht="27.75" customHeight="1" x14ac:dyDescent="0.25">
      <c r="A163" s="383" t="s">
        <v>366</v>
      </c>
      <c r="B163" s="383"/>
      <c r="C163" s="384"/>
    </row>
    <row r="164" spans="1:4" ht="33" customHeight="1" x14ac:dyDescent="0.25">
      <c r="A164" s="277" t="s">
        <v>368</v>
      </c>
      <c r="B164" s="288" t="s">
        <v>370</v>
      </c>
      <c r="C164" s="272" t="s">
        <v>50</v>
      </c>
      <c r="D164" s="358">
        <v>922</v>
      </c>
    </row>
    <row r="165" spans="1:4" ht="28.5" customHeight="1" x14ac:dyDescent="0.25">
      <c r="A165" s="277" t="s">
        <v>371</v>
      </c>
      <c r="B165" s="288" t="s">
        <v>372</v>
      </c>
      <c r="C165" s="272" t="s">
        <v>50</v>
      </c>
      <c r="D165" s="358">
        <v>1731</v>
      </c>
    </row>
    <row r="166" spans="1:4" ht="17.25" customHeight="1" x14ac:dyDescent="0.25">
      <c r="A166" s="383" t="s">
        <v>373</v>
      </c>
      <c r="B166" s="383"/>
      <c r="C166" s="384"/>
    </row>
    <row r="167" spans="1:4" ht="26.25" x14ac:dyDescent="0.25">
      <c r="A167" s="277" t="s">
        <v>4011</v>
      </c>
      <c r="B167" s="288" t="s">
        <v>336</v>
      </c>
      <c r="C167" s="272" t="s">
        <v>162</v>
      </c>
      <c r="D167" s="358">
        <v>18879</v>
      </c>
    </row>
    <row r="168" spans="1:4" ht="26.25" x14ac:dyDescent="0.25">
      <c r="A168" s="277" t="s">
        <v>4012</v>
      </c>
      <c r="B168" s="288" t="s">
        <v>337</v>
      </c>
      <c r="C168" s="272" t="s">
        <v>162</v>
      </c>
      <c r="D168" s="358">
        <v>23813</v>
      </c>
    </row>
    <row r="169" spans="1:4" ht="26.25" x14ac:dyDescent="0.25">
      <c r="A169" s="277" t="s">
        <v>221</v>
      </c>
      <c r="B169" s="288" t="s">
        <v>339</v>
      </c>
      <c r="C169" s="272" t="s">
        <v>162</v>
      </c>
      <c r="D169" s="358">
        <v>20089</v>
      </c>
    </row>
    <row r="170" spans="1:4" ht="26.25" x14ac:dyDescent="0.25">
      <c r="A170" s="277" t="s">
        <v>224</v>
      </c>
      <c r="B170" s="288" t="s">
        <v>340</v>
      </c>
      <c r="C170" s="272" t="s">
        <v>162</v>
      </c>
      <c r="D170" s="358">
        <v>25032</v>
      </c>
    </row>
    <row r="171" spans="1:4" x14ac:dyDescent="0.25">
      <c r="A171" s="277" t="s">
        <v>4013</v>
      </c>
      <c r="B171" s="288" t="s">
        <v>341</v>
      </c>
      <c r="C171" s="272" t="s">
        <v>156</v>
      </c>
      <c r="D171" s="358">
        <v>735</v>
      </c>
    </row>
    <row r="172" spans="1:4" ht="77.25" x14ac:dyDescent="0.25">
      <c r="A172" s="277" t="s">
        <v>230</v>
      </c>
      <c r="B172" s="288" t="s">
        <v>342</v>
      </c>
      <c r="C172" s="272" t="s">
        <v>343</v>
      </c>
      <c r="D172" s="358">
        <v>3724</v>
      </c>
    </row>
    <row r="173" spans="1:4" ht="12.75" customHeight="1" x14ac:dyDescent="0.25">
      <c r="A173" s="383" t="s">
        <v>344</v>
      </c>
      <c r="B173" s="383"/>
      <c r="C173" s="384"/>
    </row>
    <row r="174" spans="1:4" ht="39" x14ac:dyDescent="0.25">
      <c r="A174" s="277" t="s">
        <v>234</v>
      </c>
      <c r="B174" s="288" t="s">
        <v>345</v>
      </c>
      <c r="C174" s="272" t="s">
        <v>347</v>
      </c>
      <c r="D174" s="358">
        <v>37841</v>
      </c>
    </row>
    <row r="175" spans="1:4" ht="39" x14ac:dyDescent="0.25">
      <c r="A175" s="277" t="s">
        <v>237</v>
      </c>
      <c r="B175" s="288" t="s">
        <v>348</v>
      </c>
      <c r="C175" s="272" t="s">
        <v>347</v>
      </c>
      <c r="D175" s="358">
        <v>6442</v>
      </c>
    </row>
    <row r="176" spans="1:4" ht="77.25" x14ac:dyDescent="0.25">
      <c r="A176" s="277" t="s">
        <v>239</v>
      </c>
      <c r="B176" s="288" t="s">
        <v>350</v>
      </c>
      <c r="C176" s="289"/>
      <c r="D176" s="358" t="s">
        <v>352</v>
      </c>
    </row>
    <row r="177" spans="1:4" ht="28.5" customHeight="1" thickBot="1" x14ac:dyDescent="0.3">
      <c r="A177" s="385" t="s">
        <v>353</v>
      </c>
      <c r="B177" s="385"/>
      <c r="C177" s="386"/>
    </row>
    <row r="178" spans="1:4" ht="90" thickBot="1" x14ac:dyDescent="0.3">
      <c r="A178" s="277" t="s">
        <v>289</v>
      </c>
      <c r="B178" s="261" t="s">
        <v>354</v>
      </c>
      <c r="C178" s="289"/>
      <c r="D178" s="358" t="s">
        <v>355</v>
      </c>
    </row>
    <row r="179" spans="1:4" ht="28.5" customHeight="1" x14ac:dyDescent="0.25">
      <c r="A179" s="381" t="s">
        <v>357</v>
      </c>
      <c r="B179" s="381"/>
      <c r="C179" s="382"/>
    </row>
    <row r="180" spans="1:4" ht="28.5" customHeight="1" x14ac:dyDescent="0.25">
      <c r="A180" s="277" t="s">
        <v>358</v>
      </c>
      <c r="B180" s="288" t="s">
        <v>360</v>
      </c>
      <c r="C180" s="272" t="s">
        <v>170</v>
      </c>
      <c r="D180" s="358">
        <v>53.81</v>
      </c>
    </row>
    <row r="181" spans="1:4" ht="28.5" customHeight="1" x14ac:dyDescent="0.25">
      <c r="A181" s="277" t="s">
        <v>35</v>
      </c>
      <c r="B181" s="288" t="s">
        <v>361</v>
      </c>
      <c r="C181" s="272" t="s">
        <v>170</v>
      </c>
      <c r="D181" s="358">
        <v>81.92</v>
      </c>
    </row>
    <row r="182" spans="1:4" ht="39" x14ac:dyDescent="0.25">
      <c r="A182" s="277" t="s">
        <v>38</v>
      </c>
      <c r="B182" s="288" t="s">
        <v>362</v>
      </c>
      <c r="C182" s="272" t="s">
        <v>363</v>
      </c>
      <c r="D182" s="358">
        <v>4040</v>
      </c>
    </row>
    <row r="183" spans="1:4" ht="93.75" customHeight="1" x14ac:dyDescent="0.25">
      <c r="A183" s="277" t="s">
        <v>42</v>
      </c>
      <c r="B183" s="288" t="s">
        <v>365</v>
      </c>
      <c r="C183" s="289"/>
    </row>
    <row r="184" spans="1:4" ht="28.5" customHeight="1" x14ac:dyDescent="0.25">
      <c r="A184" s="289"/>
      <c r="B184" s="289"/>
      <c r="C184" s="289"/>
    </row>
    <row r="185" spans="1:4" ht="28.5" customHeight="1" x14ac:dyDescent="0.25"/>
    <row r="186" spans="1:4" ht="28.5" customHeight="1" x14ac:dyDescent="0.25"/>
    <row r="187" spans="1:4" ht="28.5" customHeight="1" x14ac:dyDescent="0.25"/>
    <row r="188" spans="1:4" ht="28.5" customHeight="1" x14ac:dyDescent="0.25"/>
    <row r="189" spans="1:4" ht="28.5" customHeight="1" x14ac:dyDescent="0.25"/>
    <row r="190" spans="1:4" ht="28.5" customHeight="1" x14ac:dyDescent="0.25"/>
    <row r="191" spans="1:4" ht="28.5" customHeight="1" x14ac:dyDescent="0.25"/>
    <row r="192" spans="1:4" ht="28.5" customHeight="1" x14ac:dyDescent="0.25"/>
    <row r="193" ht="28.5" customHeight="1" x14ac:dyDescent="0.25"/>
    <row r="194" ht="28.5" customHeight="1" x14ac:dyDescent="0.25"/>
    <row r="195" ht="28.5" customHeight="1" x14ac:dyDescent="0.25"/>
    <row r="196" ht="28.5" customHeight="1" x14ac:dyDescent="0.25"/>
    <row r="197" ht="12.75" hidden="1" customHeight="1" x14ac:dyDescent="0.25"/>
    <row r="198" ht="28.5" customHeight="1" x14ac:dyDescent="0.25"/>
    <row r="199" ht="28.5" customHeight="1" x14ac:dyDescent="0.25"/>
    <row r="200" ht="28.5" customHeight="1" x14ac:dyDescent="0.25"/>
    <row r="201" ht="28.5" customHeight="1" x14ac:dyDescent="0.25"/>
    <row r="202" ht="28.5" customHeight="1" x14ac:dyDescent="0.25"/>
    <row r="203" ht="28.5" customHeight="1" x14ac:dyDescent="0.25"/>
    <row r="204" ht="28.5" customHeight="1" x14ac:dyDescent="0.25"/>
    <row r="205" ht="28.5" customHeight="1" x14ac:dyDescent="0.25"/>
    <row r="206" ht="28.5" customHeight="1" x14ac:dyDescent="0.25"/>
    <row r="207" ht="28.5" customHeight="1" x14ac:dyDescent="0.25"/>
    <row r="208" ht="28.5" customHeight="1" x14ac:dyDescent="0.25"/>
    <row r="209" ht="28.5" customHeight="1" x14ac:dyDescent="0.25"/>
    <row r="210" ht="28.5" customHeight="1" x14ac:dyDescent="0.25"/>
    <row r="211" ht="28.5" customHeight="1" x14ac:dyDescent="0.25"/>
    <row r="212" ht="28.5" customHeight="1" x14ac:dyDescent="0.25"/>
    <row r="213" ht="28.5" customHeight="1" x14ac:dyDescent="0.25"/>
    <row r="214" ht="28.5" customHeight="1" x14ac:dyDescent="0.25"/>
    <row r="215" ht="28.5" customHeight="1" x14ac:dyDescent="0.25"/>
    <row r="216" ht="28.5" customHeight="1" x14ac:dyDescent="0.25"/>
    <row r="217" ht="28.5" customHeight="1" x14ac:dyDescent="0.25"/>
    <row r="218" ht="28.5" customHeight="1" x14ac:dyDescent="0.25"/>
    <row r="219" ht="28.5" customHeight="1" x14ac:dyDescent="0.25"/>
    <row r="220" ht="28.5" customHeight="1" x14ac:dyDescent="0.25"/>
    <row r="221" ht="28.5" customHeight="1" x14ac:dyDescent="0.25"/>
    <row r="222" ht="28.5" customHeight="1" x14ac:dyDescent="0.25"/>
  </sheetData>
  <autoFilter ref="A1:I183"/>
  <mergeCells count="6">
    <mergeCell ref="A179:C179"/>
    <mergeCell ref="A159:C159"/>
    <mergeCell ref="A163:C163"/>
    <mergeCell ref="A166:C166"/>
    <mergeCell ref="A173:C173"/>
    <mergeCell ref="A177:C177"/>
  </mergeCells>
  <conditionalFormatting sqref="A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9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6:C26 A23:A2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0000004768371582" right="0.70000004768371582" top="0.75" bottom="0.75" header="0.51180553436279297" footer="0.51180553436279297"/>
  <pageSetup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769"/>
  <sheetViews>
    <sheetView workbookViewId="0">
      <pane ySplit="1" topLeftCell="A2" activePane="bottomLeft" state="frozen"/>
      <selection activeCell="B208" sqref="B208"/>
      <selection pane="bottomLeft" activeCell="J280" sqref="J280"/>
    </sheetView>
  </sheetViews>
  <sheetFormatPr defaultColWidth="9.140625" defaultRowHeight="15" x14ac:dyDescent="0.25"/>
  <cols>
    <col min="1" max="1" width="6.28515625" style="321" customWidth="1"/>
    <col min="2" max="2" width="8.42578125" style="319" customWidth="1"/>
    <col min="3" max="3" width="17.42578125" style="322" customWidth="1"/>
    <col min="4" max="4" width="47.42578125" style="323" customWidth="1"/>
    <col min="5" max="5" width="7.140625" style="289" customWidth="1"/>
    <col min="6" max="6" width="8.5703125" style="289" customWidth="1"/>
    <col min="7" max="7" width="9.5703125" style="289" customWidth="1"/>
    <col min="8" max="8" width="8.140625" style="289" customWidth="1"/>
    <col min="9" max="9" width="17.5703125" style="289" bestFit="1" customWidth="1"/>
    <col min="10" max="10" width="9.28515625" style="324" customWidth="1"/>
    <col min="11" max="11" width="8.7109375" style="325" customWidth="1"/>
    <col min="12" max="13" width="12.42578125" style="325" customWidth="1"/>
    <col min="14" max="16384" width="9.140625" style="256"/>
  </cols>
  <sheetData>
    <row r="1" spans="1:13" s="30" customFormat="1" ht="192" x14ac:dyDescent="0.25">
      <c r="A1" s="309" t="s">
        <v>379</v>
      </c>
      <c r="B1" s="309" t="s">
        <v>380</v>
      </c>
      <c r="C1" s="310" t="s">
        <v>381</v>
      </c>
      <c r="D1" s="310" t="s">
        <v>382</v>
      </c>
      <c r="E1" s="309" t="s">
        <v>383</v>
      </c>
      <c r="F1" s="311" t="s">
        <v>384</v>
      </c>
      <c r="G1" s="312" t="s">
        <v>385</v>
      </c>
      <c r="H1" s="312" t="s">
        <v>386</v>
      </c>
      <c r="I1" s="312" t="s">
        <v>387</v>
      </c>
      <c r="J1" s="309" t="s">
        <v>388</v>
      </c>
      <c r="K1" s="309" t="s">
        <v>389</v>
      </c>
      <c r="L1" s="309" t="s">
        <v>390</v>
      </c>
      <c r="M1" s="309" t="s">
        <v>391</v>
      </c>
    </row>
    <row r="2" spans="1:13" ht="45" hidden="1" x14ac:dyDescent="0.25">
      <c r="A2" s="313">
        <v>1</v>
      </c>
      <c r="B2" s="314" t="s">
        <v>392</v>
      </c>
      <c r="C2" s="315" t="s">
        <v>393</v>
      </c>
      <c r="D2" s="316" t="s">
        <v>394</v>
      </c>
      <c r="E2" s="313">
        <v>2.62</v>
      </c>
      <c r="F2" s="313" t="s">
        <v>395</v>
      </c>
      <c r="G2" s="313" t="s">
        <v>395</v>
      </c>
      <c r="H2" s="313" t="s">
        <v>395</v>
      </c>
      <c r="I2" s="313" t="s">
        <v>396</v>
      </c>
      <c r="J2" s="313">
        <v>81</v>
      </c>
      <c r="K2" s="317" t="s">
        <v>397</v>
      </c>
      <c r="L2" s="317">
        <v>46.580750000000002</v>
      </c>
      <c r="M2" s="317">
        <v>40.654667000000003</v>
      </c>
    </row>
    <row r="3" spans="1:13" ht="30" hidden="1" x14ac:dyDescent="0.25">
      <c r="A3" s="313">
        <f>A2+1</f>
        <v>2</v>
      </c>
      <c r="B3" s="314" t="s">
        <v>398</v>
      </c>
      <c r="C3" s="315" t="s">
        <v>399</v>
      </c>
      <c r="D3" s="316" t="s">
        <v>400</v>
      </c>
      <c r="E3" s="313">
        <v>1.94</v>
      </c>
      <c r="F3" s="313" t="s">
        <v>395</v>
      </c>
      <c r="G3" s="313" t="s">
        <v>395</v>
      </c>
      <c r="H3" s="313" t="s">
        <v>395</v>
      </c>
      <c r="I3" s="313" t="s">
        <v>396</v>
      </c>
      <c r="J3" s="313">
        <v>47</v>
      </c>
      <c r="K3" s="317" t="s">
        <v>397</v>
      </c>
      <c r="L3" s="317">
        <v>46.538249999999998</v>
      </c>
      <c r="M3" s="317">
        <v>41.061332999999998</v>
      </c>
    </row>
    <row r="4" spans="1:13" ht="30" hidden="1" x14ac:dyDescent="0.25">
      <c r="A4" s="313">
        <f t="shared" ref="A4:A67" si="0">A3+1</f>
        <v>3</v>
      </c>
      <c r="B4" s="314" t="s">
        <v>404</v>
      </c>
      <c r="C4" s="315" t="s">
        <v>399</v>
      </c>
      <c r="D4" s="316" t="s">
        <v>405</v>
      </c>
      <c r="E4" s="313">
        <v>1.22</v>
      </c>
      <c r="F4" s="313" t="s">
        <v>395</v>
      </c>
      <c r="G4" s="313" t="s">
        <v>395</v>
      </c>
      <c r="H4" s="313" t="s">
        <v>395</v>
      </c>
      <c r="I4" s="313" t="s">
        <v>396</v>
      </c>
      <c r="J4" s="313">
        <v>11</v>
      </c>
      <c r="K4" s="317" t="s">
        <v>397</v>
      </c>
      <c r="L4" s="317">
        <v>46.473638999999999</v>
      </c>
      <c r="M4" s="317">
        <v>41.564833</v>
      </c>
    </row>
    <row r="5" spans="1:13" ht="60" hidden="1" x14ac:dyDescent="0.25">
      <c r="A5" s="313">
        <f t="shared" si="0"/>
        <v>4</v>
      </c>
      <c r="B5" s="314" t="s">
        <v>407</v>
      </c>
      <c r="C5" s="315" t="s">
        <v>408</v>
      </c>
      <c r="D5" s="316" t="s">
        <v>409</v>
      </c>
      <c r="E5" s="313">
        <v>1.28</v>
      </c>
      <c r="F5" s="313" t="s">
        <v>395</v>
      </c>
      <c r="G5" s="313" t="s">
        <v>395</v>
      </c>
      <c r="H5" s="313" t="s">
        <v>395</v>
      </c>
      <c r="I5" s="313" t="s">
        <v>396</v>
      </c>
      <c r="J5" s="313">
        <v>14</v>
      </c>
      <c r="K5" s="317" t="s">
        <v>397</v>
      </c>
      <c r="L5" s="317">
        <v>46.456389000000001</v>
      </c>
      <c r="M5" s="317">
        <v>41.538888999999998</v>
      </c>
    </row>
    <row r="6" spans="1:13" ht="45" hidden="1" x14ac:dyDescent="0.25">
      <c r="A6" s="313">
        <f t="shared" si="0"/>
        <v>5</v>
      </c>
      <c r="B6" s="314" t="s">
        <v>411</v>
      </c>
      <c r="C6" s="315" t="s">
        <v>412</v>
      </c>
      <c r="D6" s="316" t="s">
        <v>413</v>
      </c>
      <c r="E6" s="313">
        <v>1</v>
      </c>
      <c r="F6" s="313" t="s">
        <v>395</v>
      </c>
      <c r="G6" s="313" t="s">
        <v>395</v>
      </c>
      <c r="H6" s="313" t="s">
        <v>395</v>
      </c>
      <c r="I6" s="313" t="s">
        <v>396</v>
      </c>
      <c r="J6" s="313">
        <v>0</v>
      </c>
      <c r="K6" s="317" t="s">
        <v>397</v>
      </c>
      <c r="L6" s="317">
        <v>46.538361000000002</v>
      </c>
      <c r="M6" s="317">
        <v>41.577832999999998</v>
      </c>
    </row>
    <row r="7" spans="1:13" ht="30" hidden="1" x14ac:dyDescent="0.25">
      <c r="A7" s="313">
        <f t="shared" si="0"/>
        <v>6</v>
      </c>
      <c r="B7" s="314" t="s">
        <v>417</v>
      </c>
      <c r="C7" s="315" t="s">
        <v>399</v>
      </c>
      <c r="D7" s="316" t="s">
        <v>418</v>
      </c>
      <c r="E7" s="313">
        <v>1.48</v>
      </c>
      <c r="F7" s="313" t="s">
        <v>395</v>
      </c>
      <c r="G7" s="313" t="s">
        <v>395</v>
      </c>
      <c r="H7" s="313" t="s">
        <v>395</v>
      </c>
      <c r="I7" s="313" t="s">
        <v>396</v>
      </c>
      <c r="J7" s="313">
        <v>24</v>
      </c>
      <c r="K7" s="317" t="s">
        <v>397</v>
      </c>
      <c r="L7" s="317">
        <v>46.710749999999997</v>
      </c>
      <c r="M7" s="317">
        <v>41.707749999999997</v>
      </c>
    </row>
    <row r="8" spans="1:13" ht="45" hidden="1" x14ac:dyDescent="0.25">
      <c r="A8" s="313">
        <f t="shared" si="0"/>
        <v>7</v>
      </c>
      <c r="B8" s="314" t="s">
        <v>419</v>
      </c>
      <c r="C8" s="315" t="s">
        <v>412</v>
      </c>
      <c r="D8" s="316" t="s">
        <v>420</v>
      </c>
      <c r="E8" s="313">
        <v>1.46</v>
      </c>
      <c r="F8" s="313" t="s">
        <v>395</v>
      </c>
      <c r="G8" s="313" t="s">
        <v>395</v>
      </c>
      <c r="H8" s="313" t="s">
        <v>395</v>
      </c>
      <c r="I8" s="313" t="s">
        <v>396</v>
      </c>
      <c r="J8" s="313">
        <v>23</v>
      </c>
      <c r="K8" s="317" t="s">
        <v>397</v>
      </c>
      <c r="L8" s="317">
        <v>46.515833000000001</v>
      </c>
      <c r="M8" s="317">
        <v>41.356971999999999</v>
      </c>
    </row>
    <row r="9" spans="1:13" ht="45" hidden="1" x14ac:dyDescent="0.25">
      <c r="A9" s="313">
        <f t="shared" si="0"/>
        <v>8</v>
      </c>
      <c r="B9" s="314" t="s">
        <v>421</v>
      </c>
      <c r="C9" s="315" t="s">
        <v>412</v>
      </c>
      <c r="D9" s="316" t="s">
        <v>422</v>
      </c>
      <c r="E9" s="313">
        <v>1.78</v>
      </c>
      <c r="F9" s="313" t="s">
        <v>395</v>
      </c>
      <c r="G9" s="313" t="s">
        <v>395</v>
      </c>
      <c r="H9" s="313" t="s">
        <v>395</v>
      </c>
      <c r="I9" s="313" t="s">
        <v>396</v>
      </c>
      <c r="J9" s="313">
        <v>39</v>
      </c>
      <c r="K9" s="317" t="s">
        <v>397</v>
      </c>
      <c r="L9" s="317">
        <v>46.407667000000004</v>
      </c>
      <c r="M9" s="317">
        <v>41.853639000000001</v>
      </c>
    </row>
    <row r="10" spans="1:13" ht="45" hidden="1" x14ac:dyDescent="0.25">
      <c r="A10" s="313">
        <f t="shared" si="0"/>
        <v>9</v>
      </c>
      <c r="B10" s="314" t="s">
        <v>425</v>
      </c>
      <c r="C10" s="315" t="s">
        <v>412</v>
      </c>
      <c r="D10" s="316" t="s">
        <v>426</v>
      </c>
      <c r="E10" s="313">
        <v>2.2400000000000002</v>
      </c>
      <c r="F10" s="313" t="s">
        <v>395</v>
      </c>
      <c r="G10" s="313" t="s">
        <v>395</v>
      </c>
      <c r="H10" s="313" t="s">
        <v>395</v>
      </c>
      <c r="I10" s="313" t="s">
        <v>396</v>
      </c>
      <c r="J10" s="313">
        <v>62</v>
      </c>
      <c r="K10" s="317" t="s">
        <v>397</v>
      </c>
      <c r="L10" s="317">
        <v>46.867666999999997</v>
      </c>
      <c r="M10" s="317">
        <v>42.080472</v>
      </c>
    </row>
    <row r="11" spans="1:13" ht="75" hidden="1" x14ac:dyDescent="0.25">
      <c r="A11" s="313">
        <f t="shared" si="0"/>
        <v>10</v>
      </c>
      <c r="B11" s="314" t="s">
        <v>427</v>
      </c>
      <c r="C11" s="315" t="s">
        <v>428</v>
      </c>
      <c r="D11" s="316" t="s">
        <v>429</v>
      </c>
      <c r="E11" s="313">
        <v>1.22</v>
      </c>
      <c r="F11" s="313" t="s">
        <v>395</v>
      </c>
      <c r="G11" s="313" t="s">
        <v>395</v>
      </c>
      <c r="H11" s="313" t="s">
        <v>395</v>
      </c>
      <c r="I11" s="313" t="s">
        <v>396</v>
      </c>
      <c r="J11" s="313">
        <v>11</v>
      </c>
      <c r="K11" s="317" t="s">
        <v>397</v>
      </c>
      <c r="L11" s="317">
        <v>46.475360999999999</v>
      </c>
      <c r="M11" s="317">
        <v>41.532639000000003</v>
      </c>
    </row>
    <row r="12" spans="1:13" ht="75" hidden="1" x14ac:dyDescent="0.25">
      <c r="A12" s="313">
        <f t="shared" si="0"/>
        <v>11</v>
      </c>
      <c r="B12" s="314" t="s">
        <v>430</v>
      </c>
      <c r="C12" s="315" t="s">
        <v>428</v>
      </c>
      <c r="D12" s="316" t="s">
        <v>432</v>
      </c>
      <c r="E12" s="313">
        <v>1.18</v>
      </c>
      <c r="F12" s="313" t="s">
        <v>395</v>
      </c>
      <c r="G12" s="313" t="s">
        <v>395</v>
      </c>
      <c r="H12" s="313" t="s">
        <v>395</v>
      </c>
      <c r="I12" s="313" t="s">
        <v>396</v>
      </c>
      <c r="J12" s="313">
        <v>9</v>
      </c>
      <c r="K12" s="317" t="s">
        <v>397</v>
      </c>
      <c r="L12" s="317">
        <v>46.485833</v>
      </c>
      <c r="M12" s="317">
        <v>41.550556</v>
      </c>
    </row>
    <row r="13" spans="1:13" ht="75" hidden="1" x14ac:dyDescent="0.25">
      <c r="A13" s="313">
        <f t="shared" si="0"/>
        <v>12</v>
      </c>
      <c r="B13" s="314" t="s">
        <v>434</v>
      </c>
      <c r="C13" s="315" t="s">
        <v>428</v>
      </c>
      <c r="D13" s="316" t="s">
        <v>435</v>
      </c>
      <c r="E13" s="313">
        <v>1.5</v>
      </c>
      <c r="F13" s="313" t="s">
        <v>395</v>
      </c>
      <c r="G13" s="313" t="s">
        <v>395</v>
      </c>
      <c r="H13" s="313" t="s">
        <v>395</v>
      </c>
      <c r="I13" s="313" t="s">
        <v>396</v>
      </c>
      <c r="J13" s="313">
        <v>25</v>
      </c>
      <c r="K13" s="317" t="s">
        <v>397</v>
      </c>
      <c r="L13" s="317">
        <v>46.698056000000001</v>
      </c>
      <c r="M13" s="317">
        <v>41.727778000000001</v>
      </c>
    </row>
    <row r="14" spans="1:13" ht="75" hidden="1" x14ac:dyDescent="0.25">
      <c r="A14" s="313">
        <f t="shared" si="0"/>
        <v>13</v>
      </c>
      <c r="B14" s="314" t="s">
        <v>436</v>
      </c>
      <c r="C14" s="315" t="s">
        <v>428</v>
      </c>
      <c r="D14" s="316" t="s">
        <v>437</v>
      </c>
      <c r="E14" s="313">
        <v>1.3</v>
      </c>
      <c r="F14" s="313" t="s">
        <v>395</v>
      </c>
      <c r="G14" s="313" t="s">
        <v>395</v>
      </c>
      <c r="H14" s="313" t="s">
        <v>395</v>
      </c>
      <c r="I14" s="313" t="s">
        <v>396</v>
      </c>
      <c r="J14" s="313">
        <v>15</v>
      </c>
      <c r="K14" s="317" t="s">
        <v>397</v>
      </c>
      <c r="L14" s="317">
        <v>46.470556000000002</v>
      </c>
      <c r="M14" s="317">
        <v>41.511944</v>
      </c>
    </row>
    <row r="15" spans="1:13" ht="75" hidden="1" x14ac:dyDescent="0.25">
      <c r="A15" s="313">
        <f t="shared" si="0"/>
        <v>14</v>
      </c>
      <c r="B15" s="314" t="s">
        <v>439</v>
      </c>
      <c r="C15" s="315" t="s">
        <v>428</v>
      </c>
      <c r="D15" s="316" t="s">
        <v>440</v>
      </c>
      <c r="E15" s="313">
        <v>1.5</v>
      </c>
      <c r="F15" s="313" t="s">
        <v>395</v>
      </c>
      <c r="G15" s="313" t="s">
        <v>395</v>
      </c>
      <c r="H15" s="313" t="s">
        <v>395</v>
      </c>
      <c r="I15" s="313" t="s">
        <v>396</v>
      </c>
      <c r="J15" s="313">
        <v>25</v>
      </c>
      <c r="K15" s="317" t="s">
        <v>397</v>
      </c>
      <c r="L15" s="317">
        <v>46.509138999999998</v>
      </c>
      <c r="M15" s="317">
        <v>41.342333000000004</v>
      </c>
    </row>
    <row r="16" spans="1:13" ht="75" hidden="1" x14ac:dyDescent="0.25">
      <c r="A16" s="313">
        <f t="shared" si="0"/>
        <v>15</v>
      </c>
      <c r="B16" s="314" t="s">
        <v>442</v>
      </c>
      <c r="C16" s="315" t="s">
        <v>428</v>
      </c>
      <c r="D16" s="316" t="s">
        <v>443</v>
      </c>
      <c r="E16" s="313">
        <v>2.58</v>
      </c>
      <c r="F16" s="313" t="s">
        <v>395</v>
      </c>
      <c r="G16" s="313" t="s">
        <v>395</v>
      </c>
      <c r="H16" s="313" t="s">
        <v>395</v>
      </c>
      <c r="I16" s="313" t="s">
        <v>396</v>
      </c>
      <c r="J16" s="313">
        <v>79</v>
      </c>
      <c r="K16" s="317" t="s">
        <v>397</v>
      </c>
      <c r="L16" s="317">
        <v>46.563972</v>
      </c>
      <c r="M16" s="317">
        <v>40.658332999999999</v>
      </c>
    </row>
    <row r="17" spans="1:13" ht="75" hidden="1" x14ac:dyDescent="0.25">
      <c r="A17" s="313">
        <f t="shared" si="0"/>
        <v>16</v>
      </c>
      <c r="B17" s="314" t="s">
        <v>444</v>
      </c>
      <c r="C17" s="315" t="s">
        <v>428</v>
      </c>
      <c r="D17" s="316" t="s">
        <v>445</v>
      </c>
      <c r="E17" s="313">
        <v>1.98</v>
      </c>
      <c r="F17" s="313" t="s">
        <v>395</v>
      </c>
      <c r="G17" s="313" t="s">
        <v>395</v>
      </c>
      <c r="H17" s="313" t="s">
        <v>395</v>
      </c>
      <c r="I17" s="313" t="s">
        <v>396</v>
      </c>
      <c r="J17" s="313">
        <v>49</v>
      </c>
      <c r="K17" s="317" t="s">
        <v>397</v>
      </c>
      <c r="L17" s="317">
        <v>46.536222000000002</v>
      </c>
      <c r="M17" s="317">
        <v>41.024861000000001</v>
      </c>
    </row>
    <row r="18" spans="1:13" ht="45" hidden="1" x14ac:dyDescent="0.25">
      <c r="A18" s="313">
        <f t="shared" si="0"/>
        <v>17</v>
      </c>
      <c r="B18" s="314" t="s">
        <v>448</v>
      </c>
      <c r="C18" s="315" t="s">
        <v>412</v>
      </c>
      <c r="D18" s="316" t="s">
        <v>449</v>
      </c>
      <c r="E18" s="313">
        <v>1.46</v>
      </c>
      <c r="F18" s="313" t="s">
        <v>395</v>
      </c>
      <c r="G18" s="313" t="s">
        <v>395</v>
      </c>
      <c r="H18" s="313" t="s">
        <v>395</v>
      </c>
      <c r="I18" s="313" t="s">
        <v>396</v>
      </c>
      <c r="J18" s="313">
        <v>23</v>
      </c>
      <c r="K18" s="317" t="s">
        <v>397</v>
      </c>
      <c r="L18" s="317">
        <v>46.697833000000003</v>
      </c>
      <c r="M18" s="317">
        <v>41.748728</v>
      </c>
    </row>
    <row r="19" spans="1:13" ht="60" hidden="1" x14ac:dyDescent="0.25">
      <c r="A19" s="313">
        <f t="shared" si="0"/>
        <v>18</v>
      </c>
      <c r="B19" s="314" t="s">
        <v>451</v>
      </c>
      <c r="C19" s="315" t="s">
        <v>452</v>
      </c>
      <c r="D19" s="316" t="s">
        <v>453</v>
      </c>
      <c r="E19" s="313">
        <v>2.58</v>
      </c>
      <c r="F19" s="313" t="s">
        <v>395</v>
      </c>
      <c r="G19" s="313" t="s">
        <v>395</v>
      </c>
      <c r="H19" s="313" t="s">
        <v>395</v>
      </c>
      <c r="I19" s="313" t="s">
        <v>396</v>
      </c>
      <c r="J19" s="313">
        <v>79</v>
      </c>
      <c r="K19" s="317" t="s">
        <v>397</v>
      </c>
      <c r="L19" s="317">
        <v>46.663027999999997</v>
      </c>
      <c r="M19" s="317">
        <v>40.557443999999997</v>
      </c>
    </row>
    <row r="20" spans="1:13" ht="45" hidden="1" x14ac:dyDescent="0.25">
      <c r="A20" s="313">
        <f t="shared" si="0"/>
        <v>19</v>
      </c>
      <c r="B20" s="314" t="s">
        <v>454</v>
      </c>
      <c r="C20" s="315" t="s">
        <v>412</v>
      </c>
      <c r="D20" s="316" t="s">
        <v>455</v>
      </c>
      <c r="E20" s="313">
        <v>2.82</v>
      </c>
      <c r="F20" s="313" t="s">
        <v>395</v>
      </c>
      <c r="G20" s="313" t="s">
        <v>395</v>
      </c>
      <c r="H20" s="313" t="s">
        <v>395</v>
      </c>
      <c r="I20" s="313" t="s">
        <v>396</v>
      </c>
      <c r="J20" s="313">
        <v>91</v>
      </c>
      <c r="K20" s="317" t="s">
        <v>397</v>
      </c>
      <c r="L20" s="317">
        <v>46.083005999999997</v>
      </c>
      <c r="M20" s="317">
        <v>41.348350000000003</v>
      </c>
    </row>
    <row r="21" spans="1:13" ht="45" hidden="1" x14ac:dyDescent="0.25">
      <c r="A21" s="313">
        <f t="shared" si="0"/>
        <v>20</v>
      </c>
      <c r="B21" s="314" t="s">
        <v>458</v>
      </c>
      <c r="C21" s="315" t="s">
        <v>412</v>
      </c>
      <c r="D21" s="316" t="s">
        <v>459</v>
      </c>
      <c r="E21" s="313">
        <v>3.14</v>
      </c>
      <c r="F21" s="313" t="s">
        <v>395</v>
      </c>
      <c r="G21" s="313" t="s">
        <v>395</v>
      </c>
      <c r="H21" s="313" t="s">
        <v>395</v>
      </c>
      <c r="I21" s="313" t="s">
        <v>396</v>
      </c>
      <c r="J21" s="313">
        <v>107</v>
      </c>
      <c r="K21" s="317" t="s">
        <v>397</v>
      </c>
      <c r="L21" s="317">
        <v>46.373469999999998</v>
      </c>
      <c r="M21" s="317">
        <v>40.553097000000001</v>
      </c>
    </row>
    <row r="22" spans="1:13" ht="45" hidden="1" x14ac:dyDescent="0.25">
      <c r="A22" s="313">
        <f t="shared" si="0"/>
        <v>21</v>
      </c>
      <c r="B22" s="314" t="s">
        <v>460</v>
      </c>
      <c r="C22" s="315" t="s">
        <v>412</v>
      </c>
      <c r="D22" s="316" t="s">
        <v>461</v>
      </c>
      <c r="E22" s="313">
        <v>2.2999999999999998</v>
      </c>
      <c r="F22" s="313" t="s">
        <v>395</v>
      </c>
      <c r="G22" s="313" t="s">
        <v>395</v>
      </c>
      <c r="H22" s="313" t="s">
        <v>395</v>
      </c>
      <c r="I22" s="313" t="s">
        <v>396</v>
      </c>
      <c r="J22" s="313">
        <v>65</v>
      </c>
      <c r="K22" s="317" t="s">
        <v>397</v>
      </c>
      <c r="L22" s="317">
        <v>46.191417000000001</v>
      </c>
      <c r="M22" s="317">
        <v>41.079639</v>
      </c>
    </row>
    <row r="23" spans="1:13" ht="30" hidden="1" x14ac:dyDescent="0.25">
      <c r="A23" s="313">
        <f t="shared" si="0"/>
        <v>22</v>
      </c>
      <c r="B23" s="314" t="s">
        <v>462</v>
      </c>
      <c r="C23" s="315" t="s">
        <v>399</v>
      </c>
      <c r="D23" s="316" t="s">
        <v>463</v>
      </c>
      <c r="E23" s="313">
        <v>1.92</v>
      </c>
      <c r="F23" s="313" t="s">
        <v>395</v>
      </c>
      <c r="G23" s="313" t="s">
        <v>395</v>
      </c>
      <c r="H23" s="313" t="s">
        <v>395</v>
      </c>
      <c r="I23" s="313" t="s">
        <v>396</v>
      </c>
      <c r="J23" s="313">
        <v>46</v>
      </c>
      <c r="K23" s="317" t="s">
        <v>397</v>
      </c>
      <c r="L23" s="317">
        <v>46.230556</v>
      </c>
      <c r="M23" s="317">
        <v>41.298333</v>
      </c>
    </row>
    <row r="24" spans="1:13" ht="45" hidden="1" x14ac:dyDescent="0.25">
      <c r="A24" s="313">
        <f t="shared" si="0"/>
        <v>23</v>
      </c>
      <c r="B24" s="314" t="s">
        <v>466</v>
      </c>
      <c r="C24" s="315" t="s">
        <v>412</v>
      </c>
      <c r="D24" s="316" t="s">
        <v>467</v>
      </c>
      <c r="E24" s="313">
        <v>2.8</v>
      </c>
      <c r="F24" s="313" t="s">
        <v>395</v>
      </c>
      <c r="G24" s="313" t="s">
        <v>395</v>
      </c>
      <c r="H24" s="313" t="s">
        <v>395</v>
      </c>
      <c r="I24" s="313" t="s">
        <v>396</v>
      </c>
      <c r="J24" s="313">
        <v>90</v>
      </c>
      <c r="K24" s="317" t="s">
        <v>397</v>
      </c>
      <c r="L24" s="317">
        <v>46.365194000000002</v>
      </c>
      <c r="M24" s="317">
        <v>40.819222000000003</v>
      </c>
    </row>
    <row r="25" spans="1:13" ht="75" hidden="1" x14ac:dyDescent="0.25">
      <c r="A25" s="313">
        <f t="shared" si="0"/>
        <v>24</v>
      </c>
      <c r="B25" s="314" t="s">
        <v>468</v>
      </c>
      <c r="C25" s="315" t="s">
        <v>428</v>
      </c>
      <c r="D25" s="316" t="s">
        <v>469</v>
      </c>
      <c r="E25" s="313">
        <v>1.2</v>
      </c>
      <c r="F25" s="313" t="s">
        <v>395</v>
      </c>
      <c r="G25" s="313" t="s">
        <v>395</v>
      </c>
      <c r="H25" s="313" t="s">
        <v>395</v>
      </c>
      <c r="I25" s="313" t="s">
        <v>396</v>
      </c>
      <c r="J25" s="313">
        <v>10</v>
      </c>
      <c r="K25" s="317" t="s">
        <v>397</v>
      </c>
      <c r="L25" s="317">
        <v>46.472222000000002</v>
      </c>
      <c r="M25" s="317">
        <v>41.538055999999997</v>
      </c>
    </row>
    <row r="26" spans="1:13" ht="75" hidden="1" x14ac:dyDescent="0.25">
      <c r="A26" s="313">
        <f t="shared" si="0"/>
        <v>25</v>
      </c>
      <c r="B26" s="314" t="s">
        <v>470</v>
      </c>
      <c r="C26" s="315" t="s">
        <v>428</v>
      </c>
      <c r="D26" s="316" t="s">
        <v>472</v>
      </c>
      <c r="E26" s="313">
        <v>1.18</v>
      </c>
      <c r="F26" s="313" t="s">
        <v>395</v>
      </c>
      <c r="G26" s="313" t="s">
        <v>395</v>
      </c>
      <c r="H26" s="313" t="s">
        <v>395</v>
      </c>
      <c r="I26" s="313" t="s">
        <v>396</v>
      </c>
      <c r="J26" s="313">
        <v>9</v>
      </c>
      <c r="K26" s="317" t="s">
        <v>397</v>
      </c>
      <c r="L26" s="317">
        <v>46.492705999999998</v>
      </c>
      <c r="M26" s="317">
        <v>41.522002999999998</v>
      </c>
    </row>
    <row r="27" spans="1:13" ht="75" hidden="1" x14ac:dyDescent="0.25">
      <c r="A27" s="313">
        <f t="shared" si="0"/>
        <v>26</v>
      </c>
      <c r="B27" s="314" t="s">
        <v>474</v>
      </c>
      <c r="C27" s="315" t="s">
        <v>428</v>
      </c>
      <c r="D27" s="316" t="s">
        <v>475</v>
      </c>
      <c r="E27" s="313">
        <v>1.44</v>
      </c>
      <c r="F27" s="313" t="s">
        <v>395</v>
      </c>
      <c r="G27" s="313" t="s">
        <v>395</v>
      </c>
      <c r="H27" s="313" t="s">
        <v>395</v>
      </c>
      <c r="I27" s="313" t="s">
        <v>396</v>
      </c>
      <c r="J27" s="313">
        <v>22</v>
      </c>
      <c r="K27" s="317" t="s">
        <v>397</v>
      </c>
      <c r="L27" s="317">
        <v>46.697361000000001</v>
      </c>
      <c r="M27" s="317">
        <v>41.698749999999997</v>
      </c>
    </row>
    <row r="28" spans="1:13" ht="45" hidden="1" x14ac:dyDescent="0.25">
      <c r="A28" s="313">
        <f t="shared" si="0"/>
        <v>27</v>
      </c>
      <c r="B28" s="314" t="s">
        <v>476</v>
      </c>
      <c r="C28" s="315" t="s">
        <v>412</v>
      </c>
      <c r="D28" s="316" t="s">
        <v>477</v>
      </c>
      <c r="E28" s="313">
        <v>1.5</v>
      </c>
      <c r="F28" s="313" t="s">
        <v>395</v>
      </c>
      <c r="G28" s="313" t="s">
        <v>395</v>
      </c>
      <c r="H28" s="313" t="s">
        <v>395</v>
      </c>
      <c r="I28" s="313" t="s">
        <v>396</v>
      </c>
      <c r="J28" s="313">
        <v>25</v>
      </c>
      <c r="K28" s="317" t="s">
        <v>397</v>
      </c>
      <c r="L28" s="317">
        <v>46.713887999999997</v>
      </c>
      <c r="M28" s="317">
        <v>41.739896999999999</v>
      </c>
    </row>
    <row r="29" spans="1:13" ht="45" hidden="1" x14ac:dyDescent="0.25">
      <c r="A29" s="313">
        <f t="shared" si="0"/>
        <v>28</v>
      </c>
      <c r="B29" s="314" t="s">
        <v>479</v>
      </c>
      <c r="C29" s="315" t="s">
        <v>412</v>
      </c>
      <c r="D29" s="316" t="s">
        <v>480</v>
      </c>
      <c r="E29" s="313">
        <v>2.54</v>
      </c>
      <c r="F29" s="313" t="s">
        <v>395</v>
      </c>
      <c r="G29" s="313" t="s">
        <v>395</v>
      </c>
      <c r="H29" s="313" t="s">
        <v>395</v>
      </c>
      <c r="I29" s="313" t="s">
        <v>396</v>
      </c>
      <c r="J29" s="313">
        <v>77</v>
      </c>
      <c r="K29" s="317" t="s">
        <v>397</v>
      </c>
      <c r="L29" s="317">
        <v>47.009056000000001</v>
      </c>
      <c r="M29" s="317">
        <v>42.193193999999998</v>
      </c>
    </row>
    <row r="30" spans="1:13" ht="45" hidden="1" x14ac:dyDescent="0.25">
      <c r="A30" s="313">
        <f t="shared" si="0"/>
        <v>29</v>
      </c>
      <c r="B30" s="314" t="s">
        <v>482</v>
      </c>
      <c r="C30" s="315" t="s">
        <v>412</v>
      </c>
      <c r="D30" s="316" t="s">
        <v>483</v>
      </c>
      <c r="E30" s="313">
        <v>2.34</v>
      </c>
      <c r="F30" s="313" t="s">
        <v>395</v>
      </c>
      <c r="G30" s="313" t="s">
        <v>395</v>
      </c>
      <c r="H30" s="313" t="s">
        <v>395</v>
      </c>
      <c r="I30" s="313" t="s">
        <v>396</v>
      </c>
      <c r="J30" s="313">
        <v>67</v>
      </c>
      <c r="K30" s="317" t="s">
        <v>397</v>
      </c>
      <c r="L30" s="317">
        <v>46.126154999999997</v>
      </c>
      <c r="M30" s="317">
        <v>41.517538000000002</v>
      </c>
    </row>
    <row r="31" spans="1:13" ht="45" hidden="1" x14ac:dyDescent="0.25">
      <c r="A31" s="313">
        <f t="shared" si="0"/>
        <v>30</v>
      </c>
      <c r="B31" s="314" t="s">
        <v>484</v>
      </c>
      <c r="C31" s="315" t="s">
        <v>412</v>
      </c>
      <c r="D31" s="316" t="s">
        <v>485</v>
      </c>
      <c r="E31" s="313">
        <v>1.8</v>
      </c>
      <c r="F31" s="313" t="s">
        <v>395</v>
      </c>
      <c r="G31" s="313" t="s">
        <v>395</v>
      </c>
      <c r="H31" s="313" t="s">
        <v>395</v>
      </c>
      <c r="I31" s="313" t="s">
        <v>396</v>
      </c>
      <c r="J31" s="313">
        <v>40</v>
      </c>
      <c r="K31" s="317" t="s">
        <v>397</v>
      </c>
      <c r="L31" s="317">
        <v>46.268889000000001</v>
      </c>
      <c r="M31" s="317">
        <v>41.749721999999998</v>
      </c>
    </row>
    <row r="32" spans="1:13" ht="75" hidden="1" x14ac:dyDescent="0.25">
      <c r="A32" s="313">
        <f t="shared" si="0"/>
        <v>31</v>
      </c>
      <c r="B32" s="314" t="s">
        <v>487</v>
      </c>
      <c r="C32" s="315" t="s">
        <v>428</v>
      </c>
      <c r="D32" s="316" t="s">
        <v>488</v>
      </c>
      <c r="E32" s="313">
        <v>1.24</v>
      </c>
      <c r="F32" s="313" t="s">
        <v>395</v>
      </c>
      <c r="G32" s="313" t="s">
        <v>395</v>
      </c>
      <c r="H32" s="313" t="s">
        <v>395</v>
      </c>
      <c r="I32" s="313" t="s">
        <v>396</v>
      </c>
      <c r="J32" s="313">
        <v>12</v>
      </c>
      <c r="K32" s="317" t="s">
        <v>397</v>
      </c>
      <c r="L32" s="317">
        <v>46.532305999999998</v>
      </c>
      <c r="M32" s="317">
        <v>41.681305999999999</v>
      </c>
    </row>
    <row r="33" spans="1:13" ht="45" hidden="1" x14ac:dyDescent="0.25">
      <c r="A33" s="313">
        <f t="shared" si="0"/>
        <v>32</v>
      </c>
      <c r="B33" s="314" t="s">
        <v>490</v>
      </c>
      <c r="C33" s="315" t="s">
        <v>412</v>
      </c>
      <c r="D33" s="316" t="s">
        <v>491</v>
      </c>
      <c r="E33" s="313">
        <v>3.14</v>
      </c>
      <c r="F33" s="313" t="s">
        <v>395</v>
      </c>
      <c r="G33" s="313" t="s">
        <v>395</v>
      </c>
      <c r="H33" s="313" t="s">
        <v>395</v>
      </c>
      <c r="I33" s="313" t="s">
        <v>396</v>
      </c>
      <c r="J33" s="313">
        <v>107</v>
      </c>
      <c r="K33" s="317" t="s">
        <v>397</v>
      </c>
      <c r="L33" s="317">
        <v>46.342244000000001</v>
      </c>
      <c r="M33" s="317">
        <v>40.680366999999997</v>
      </c>
    </row>
    <row r="34" spans="1:13" ht="45" hidden="1" x14ac:dyDescent="0.25">
      <c r="A34" s="313">
        <f t="shared" si="0"/>
        <v>33</v>
      </c>
      <c r="B34" s="314" t="s">
        <v>492</v>
      </c>
      <c r="C34" s="315" t="s">
        <v>412</v>
      </c>
      <c r="D34" s="316" t="s">
        <v>493</v>
      </c>
      <c r="E34" s="313">
        <v>2.04</v>
      </c>
      <c r="F34" s="313" t="s">
        <v>395</v>
      </c>
      <c r="G34" s="313" t="s">
        <v>395</v>
      </c>
      <c r="H34" s="313" t="s">
        <v>395</v>
      </c>
      <c r="I34" s="313" t="s">
        <v>396</v>
      </c>
      <c r="J34" s="313">
        <v>52</v>
      </c>
      <c r="K34" s="317" t="s">
        <v>397</v>
      </c>
      <c r="L34" s="317">
        <v>46.925832999999997</v>
      </c>
      <c r="M34" s="317">
        <v>41.567667</v>
      </c>
    </row>
    <row r="35" spans="1:13" ht="45" hidden="1" x14ac:dyDescent="0.25">
      <c r="A35" s="313">
        <f t="shared" si="0"/>
        <v>34</v>
      </c>
      <c r="B35" s="314" t="s">
        <v>495</v>
      </c>
      <c r="C35" s="315" t="s">
        <v>412</v>
      </c>
      <c r="D35" s="316" t="s">
        <v>497</v>
      </c>
      <c r="E35" s="313">
        <v>2.64</v>
      </c>
      <c r="F35" s="313" t="s">
        <v>395</v>
      </c>
      <c r="G35" s="313" t="s">
        <v>395</v>
      </c>
      <c r="H35" s="313" t="s">
        <v>395</v>
      </c>
      <c r="I35" s="313" t="s">
        <v>396</v>
      </c>
      <c r="J35" s="313">
        <v>82</v>
      </c>
      <c r="K35" s="317" t="s">
        <v>397</v>
      </c>
      <c r="L35" s="317">
        <v>47.104925000000001</v>
      </c>
      <c r="M35" s="317">
        <v>41.353776000000003</v>
      </c>
    </row>
    <row r="36" spans="1:13" ht="45" hidden="1" x14ac:dyDescent="0.25">
      <c r="A36" s="313">
        <f t="shared" si="0"/>
        <v>35</v>
      </c>
      <c r="B36" s="314" t="s">
        <v>498</v>
      </c>
      <c r="C36" s="315" t="s">
        <v>412</v>
      </c>
      <c r="D36" s="316" t="s">
        <v>499</v>
      </c>
      <c r="E36" s="313">
        <v>1.62</v>
      </c>
      <c r="F36" s="313" t="s">
        <v>395</v>
      </c>
      <c r="G36" s="313" t="s">
        <v>395</v>
      </c>
      <c r="H36" s="313" t="s">
        <v>395</v>
      </c>
      <c r="I36" s="313" t="s">
        <v>396</v>
      </c>
      <c r="J36" s="313">
        <v>31</v>
      </c>
      <c r="K36" s="317" t="s">
        <v>397</v>
      </c>
      <c r="L36" s="317">
        <v>46.740924</v>
      </c>
      <c r="M36" s="317">
        <v>41.461063000000003</v>
      </c>
    </row>
    <row r="37" spans="1:13" ht="75" hidden="1" x14ac:dyDescent="0.25">
      <c r="A37" s="313">
        <f t="shared" si="0"/>
        <v>36</v>
      </c>
      <c r="B37" s="314" t="s">
        <v>500</v>
      </c>
      <c r="C37" s="315" t="s">
        <v>428</v>
      </c>
      <c r="D37" s="316" t="s">
        <v>501</v>
      </c>
      <c r="E37" s="313">
        <v>2.78</v>
      </c>
      <c r="F37" s="313" t="s">
        <v>395</v>
      </c>
      <c r="G37" s="313" t="s">
        <v>395</v>
      </c>
      <c r="H37" s="313" t="s">
        <v>395</v>
      </c>
      <c r="I37" s="313" t="s">
        <v>396</v>
      </c>
      <c r="J37" s="313">
        <v>89</v>
      </c>
      <c r="K37" s="317" t="s">
        <v>397</v>
      </c>
      <c r="L37" s="317">
        <v>46.015641000000002</v>
      </c>
      <c r="M37" s="317">
        <v>41.256832000000003</v>
      </c>
    </row>
    <row r="38" spans="1:13" ht="45" hidden="1" x14ac:dyDescent="0.25">
      <c r="A38" s="313">
        <f t="shared" si="0"/>
        <v>37</v>
      </c>
      <c r="B38" s="314" t="s">
        <v>505</v>
      </c>
      <c r="C38" s="315" t="s">
        <v>412</v>
      </c>
      <c r="D38" s="316" t="s">
        <v>506</v>
      </c>
      <c r="E38" s="313">
        <v>2.36</v>
      </c>
      <c r="F38" s="313" t="s">
        <v>395</v>
      </c>
      <c r="G38" s="313" t="s">
        <v>395</v>
      </c>
      <c r="H38" s="313" t="s">
        <v>395</v>
      </c>
      <c r="I38" s="313" t="s">
        <v>396</v>
      </c>
      <c r="J38" s="313">
        <v>68</v>
      </c>
      <c r="K38" s="317" t="s">
        <v>397</v>
      </c>
      <c r="L38" s="317">
        <v>46.489389000000003</v>
      </c>
      <c r="M38" s="317">
        <v>40.925055999999998</v>
      </c>
    </row>
    <row r="39" spans="1:13" ht="30" hidden="1" x14ac:dyDescent="0.25">
      <c r="A39" s="313">
        <f t="shared" si="0"/>
        <v>38</v>
      </c>
      <c r="B39" s="314" t="s">
        <v>511</v>
      </c>
      <c r="C39" s="315" t="s">
        <v>399</v>
      </c>
      <c r="D39" s="316" t="s">
        <v>512</v>
      </c>
      <c r="E39" s="313">
        <v>2.1</v>
      </c>
      <c r="F39" s="313" t="s">
        <v>395</v>
      </c>
      <c r="G39" s="313" t="s">
        <v>395</v>
      </c>
      <c r="H39" s="313" t="s">
        <v>395</v>
      </c>
      <c r="I39" s="313" t="s">
        <v>396</v>
      </c>
      <c r="J39" s="313">
        <v>55</v>
      </c>
      <c r="K39" s="317" t="s">
        <v>397</v>
      </c>
      <c r="L39" s="317">
        <v>46.869152999999997</v>
      </c>
      <c r="M39" s="317">
        <v>42.039681999999999</v>
      </c>
    </row>
    <row r="40" spans="1:13" ht="45" hidden="1" x14ac:dyDescent="0.25">
      <c r="A40" s="313">
        <f t="shared" si="0"/>
        <v>39</v>
      </c>
      <c r="B40" s="314" t="s">
        <v>519</v>
      </c>
      <c r="C40" s="315" t="s">
        <v>412</v>
      </c>
      <c r="D40" s="316" t="s">
        <v>520</v>
      </c>
      <c r="E40" s="313">
        <v>2.54</v>
      </c>
      <c r="F40" s="313" t="s">
        <v>395</v>
      </c>
      <c r="G40" s="313" t="s">
        <v>395</v>
      </c>
      <c r="H40" s="313" t="s">
        <v>395</v>
      </c>
      <c r="I40" s="313" t="s">
        <v>396</v>
      </c>
      <c r="J40" s="313">
        <v>77</v>
      </c>
      <c r="K40" s="317" t="s">
        <v>397</v>
      </c>
      <c r="L40" s="317">
        <v>46.766111000000002</v>
      </c>
      <c r="M40" s="317">
        <v>42.203611000000002</v>
      </c>
    </row>
    <row r="41" spans="1:13" ht="45" hidden="1" x14ac:dyDescent="0.25">
      <c r="A41" s="313">
        <f t="shared" si="0"/>
        <v>40</v>
      </c>
      <c r="B41" s="314" t="s">
        <v>527</v>
      </c>
      <c r="C41" s="315" t="s">
        <v>412</v>
      </c>
      <c r="D41" s="316" t="s">
        <v>528</v>
      </c>
      <c r="E41" s="313">
        <v>1.82</v>
      </c>
      <c r="F41" s="313" t="s">
        <v>395</v>
      </c>
      <c r="G41" s="313" t="s">
        <v>395</v>
      </c>
      <c r="H41" s="313" t="s">
        <v>395</v>
      </c>
      <c r="I41" s="313" t="s">
        <v>396</v>
      </c>
      <c r="J41" s="313">
        <v>41</v>
      </c>
      <c r="K41" s="317" t="s">
        <v>397</v>
      </c>
      <c r="L41" s="317">
        <v>46.622509000000001</v>
      </c>
      <c r="M41" s="317">
        <v>41.936383999999997</v>
      </c>
    </row>
    <row r="42" spans="1:13" ht="45" hidden="1" x14ac:dyDescent="0.25">
      <c r="A42" s="313">
        <f t="shared" si="0"/>
        <v>41</v>
      </c>
      <c r="B42" s="314" t="s">
        <v>535</v>
      </c>
      <c r="C42" s="315" t="s">
        <v>412</v>
      </c>
      <c r="D42" s="316" t="s">
        <v>536</v>
      </c>
      <c r="E42" s="313">
        <v>1.96</v>
      </c>
      <c r="F42" s="313" t="s">
        <v>395</v>
      </c>
      <c r="G42" s="313" t="s">
        <v>395</v>
      </c>
      <c r="H42" s="313" t="s">
        <v>395</v>
      </c>
      <c r="I42" s="313" t="s">
        <v>396</v>
      </c>
      <c r="J42" s="313">
        <v>48</v>
      </c>
      <c r="K42" s="317" t="s">
        <v>397</v>
      </c>
      <c r="L42" s="317">
        <v>46.201683000000003</v>
      </c>
      <c r="M42" s="317">
        <v>41.665666000000002</v>
      </c>
    </row>
    <row r="43" spans="1:13" ht="60" hidden="1" x14ac:dyDescent="0.25">
      <c r="A43" s="313">
        <f t="shared" si="0"/>
        <v>42</v>
      </c>
      <c r="B43" s="314" t="s">
        <v>543</v>
      </c>
      <c r="C43" s="315" t="s">
        <v>447</v>
      </c>
      <c r="D43" s="316" t="s">
        <v>544</v>
      </c>
      <c r="E43" s="313">
        <v>1</v>
      </c>
      <c r="F43" s="313" t="s">
        <v>395</v>
      </c>
      <c r="G43" s="313" t="s">
        <v>395</v>
      </c>
      <c r="H43" s="313" t="s">
        <v>395</v>
      </c>
      <c r="I43" s="313" t="s">
        <v>396</v>
      </c>
      <c r="J43" s="313">
        <v>0</v>
      </c>
      <c r="K43" s="317" t="s">
        <v>397</v>
      </c>
      <c r="L43" s="317">
        <v>46.096204999999998</v>
      </c>
      <c r="M43" s="317">
        <v>41.20167</v>
      </c>
    </row>
    <row r="44" spans="1:13" ht="45" hidden="1" x14ac:dyDescent="0.25">
      <c r="A44" s="313">
        <f t="shared" si="0"/>
        <v>43</v>
      </c>
      <c r="B44" s="314" t="s">
        <v>551</v>
      </c>
      <c r="C44" s="315" t="s">
        <v>412</v>
      </c>
      <c r="D44" s="316" t="s">
        <v>552</v>
      </c>
      <c r="E44" s="313">
        <v>1.84</v>
      </c>
      <c r="F44" s="313" t="s">
        <v>395</v>
      </c>
      <c r="G44" s="313" t="s">
        <v>395</v>
      </c>
      <c r="H44" s="313" t="s">
        <v>395</v>
      </c>
      <c r="I44" s="313" t="s">
        <v>396</v>
      </c>
      <c r="J44" s="313">
        <v>42</v>
      </c>
      <c r="K44" s="317" t="s">
        <v>397</v>
      </c>
      <c r="L44" s="317">
        <v>46.837983999999999</v>
      </c>
      <c r="M44" s="317">
        <v>41.335318999999998</v>
      </c>
    </row>
    <row r="45" spans="1:13" ht="51" hidden="1" x14ac:dyDescent="0.25">
      <c r="A45" s="313">
        <f t="shared" si="0"/>
        <v>44</v>
      </c>
      <c r="B45" s="314" t="s">
        <v>559</v>
      </c>
      <c r="C45" s="315" t="s">
        <v>412</v>
      </c>
      <c r="D45" s="316" t="s">
        <v>560</v>
      </c>
      <c r="E45" s="313">
        <v>3.4</v>
      </c>
      <c r="F45" s="313" t="s">
        <v>395</v>
      </c>
      <c r="G45" s="313" t="s">
        <v>395</v>
      </c>
      <c r="H45" s="313" t="s">
        <v>395</v>
      </c>
      <c r="I45" s="313" t="s">
        <v>396</v>
      </c>
      <c r="J45" s="313">
        <v>120</v>
      </c>
      <c r="K45" s="317" t="s">
        <v>397</v>
      </c>
      <c r="L45" s="317">
        <v>46.649721999999997</v>
      </c>
      <c r="M45" s="317">
        <v>42.6325</v>
      </c>
    </row>
    <row r="46" spans="1:13" ht="60" hidden="1" x14ac:dyDescent="0.25">
      <c r="A46" s="313">
        <f t="shared" si="0"/>
        <v>45</v>
      </c>
      <c r="B46" s="314" t="s">
        <v>566</v>
      </c>
      <c r="C46" s="315" t="s">
        <v>447</v>
      </c>
      <c r="D46" s="316" t="s">
        <v>568</v>
      </c>
      <c r="E46" s="313">
        <v>2.2400000000000002</v>
      </c>
      <c r="F46" s="313" t="s">
        <v>395</v>
      </c>
      <c r="G46" s="313" t="s">
        <v>395</v>
      </c>
      <c r="H46" s="313" t="s">
        <v>395</v>
      </c>
      <c r="I46" s="313" t="s">
        <v>396</v>
      </c>
      <c r="J46" s="313">
        <v>62</v>
      </c>
      <c r="K46" s="317" t="s">
        <v>397</v>
      </c>
      <c r="L46" s="317">
        <v>46.983221999999998</v>
      </c>
      <c r="M46" s="317">
        <v>41.213444000000003</v>
      </c>
    </row>
    <row r="47" spans="1:13" ht="75" hidden="1" x14ac:dyDescent="0.25">
      <c r="A47" s="313">
        <f t="shared" si="0"/>
        <v>46</v>
      </c>
      <c r="B47" s="314" t="s">
        <v>574</v>
      </c>
      <c r="C47" s="315" t="s">
        <v>428</v>
      </c>
      <c r="D47" s="316" t="s">
        <v>576</v>
      </c>
      <c r="E47" s="313">
        <v>2.2200000000000002</v>
      </c>
      <c r="F47" s="313" t="s">
        <v>395</v>
      </c>
      <c r="G47" s="313" t="s">
        <v>395</v>
      </c>
      <c r="H47" s="313" t="s">
        <v>395</v>
      </c>
      <c r="I47" s="313" t="s">
        <v>396</v>
      </c>
      <c r="J47" s="313">
        <v>61</v>
      </c>
      <c r="K47" s="317" t="s">
        <v>397</v>
      </c>
      <c r="L47" s="317">
        <v>46.343139000000001</v>
      </c>
      <c r="M47" s="317">
        <v>42.129055999999999</v>
      </c>
    </row>
    <row r="48" spans="1:13" ht="60" hidden="1" x14ac:dyDescent="0.25">
      <c r="A48" s="313">
        <f t="shared" si="0"/>
        <v>47</v>
      </c>
      <c r="B48" s="314" t="s">
        <v>583</v>
      </c>
      <c r="C48" s="315" t="s">
        <v>452</v>
      </c>
      <c r="D48" s="316" t="s">
        <v>585</v>
      </c>
      <c r="E48" s="313">
        <v>1.64</v>
      </c>
      <c r="F48" s="313" t="s">
        <v>395</v>
      </c>
      <c r="G48" s="313" t="s">
        <v>395</v>
      </c>
      <c r="H48" s="313" t="s">
        <v>395</v>
      </c>
      <c r="I48" s="313" t="s">
        <v>396</v>
      </c>
      <c r="J48" s="313">
        <v>32</v>
      </c>
      <c r="K48" s="317" t="s">
        <v>397</v>
      </c>
      <c r="L48" s="317">
        <v>46.485416999999998</v>
      </c>
      <c r="M48" s="317">
        <v>41.912278000000001</v>
      </c>
    </row>
    <row r="49" spans="1:13" ht="60" hidden="1" x14ac:dyDescent="0.25">
      <c r="A49" s="313">
        <f t="shared" si="0"/>
        <v>48</v>
      </c>
      <c r="B49" s="314" t="s">
        <v>591</v>
      </c>
      <c r="C49" s="315" t="s">
        <v>452</v>
      </c>
      <c r="D49" s="316" t="s">
        <v>593</v>
      </c>
      <c r="E49" s="313">
        <v>1.7</v>
      </c>
      <c r="F49" s="313" t="s">
        <v>395</v>
      </c>
      <c r="G49" s="313" t="s">
        <v>395</v>
      </c>
      <c r="H49" s="313" t="s">
        <v>395</v>
      </c>
      <c r="I49" s="313" t="s">
        <v>396</v>
      </c>
      <c r="J49" s="313">
        <v>35</v>
      </c>
      <c r="K49" s="317" t="s">
        <v>397</v>
      </c>
      <c r="L49" s="317">
        <v>46.517221999999997</v>
      </c>
      <c r="M49" s="317">
        <v>41.191667000000002</v>
      </c>
    </row>
    <row r="50" spans="1:13" ht="75" hidden="1" x14ac:dyDescent="0.25">
      <c r="A50" s="313">
        <f t="shared" si="0"/>
        <v>49</v>
      </c>
      <c r="B50" s="314" t="s">
        <v>599</v>
      </c>
      <c r="C50" s="315" t="s">
        <v>428</v>
      </c>
      <c r="D50" s="316" t="s">
        <v>601</v>
      </c>
      <c r="E50" s="313">
        <v>2.02</v>
      </c>
      <c r="F50" s="313" t="s">
        <v>395</v>
      </c>
      <c r="G50" s="313" t="s">
        <v>395</v>
      </c>
      <c r="H50" s="313" t="s">
        <v>395</v>
      </c>
      <c r="I50" s="313" t="s">
        <v>396</v>
      </c>
      <c r="J50" s="313">
        <v>51</v>
      </c>
      <c r="K50" s="317" t="s">
        <v>397</v>
      </c>
      <c r="L50" s="317">
        <v>46.312333000000002</v>
      </c>
      <c r="M50" s="317">
        <v>41.828916999999997</v>
      </c>
    </row>
    <row r="51" spans="1:13" ht="75" hidden="1" x14ac:dyDescent="0.25">
      <c r="A51" s="313">
        <f t="shared" si="0"/>
        <v>50</v>
      </c>
      <c r="B51" s="314" t="s">
        <v>606</v>
      </c>
      <c r="C51" s="315" t="s">
        <v>428</v>
      </c>
      <c r="D51" s="316" t="s">
        <v>609</v>
      </c>
      <c r="E51" s="313">
        <v>1.86</v>
      </c>
      <c r="F51" s="313" t="s">
        <v>395</v>
      </c>
      <c r="G51" s="313" t="s">
        <v>395</v>
      </c>
      <c r="H51" s="313" t="s">
        <v>395</v>
      </c>
      <c r="I51" s="313" t="s">
        <v>396</v>
      </c>
      <c r="J51" s="313">
        <v>43</v>
      </c>
      <c r="K51" s="317" t="s">
        <v>397</v>
      </c>
      <c r="L51" s="317">
        <v>46.385018000000002</v>
      </c>
      <c r="M51" s="317">
        <v>41.874968000000003</v>
      </c>
    </row>
    <row r="52" spans="1:13" ht="45" hidden="1" x14ac:dyDescent="0.25">
      <c r="A52" s="313">
        <f t="shared" si="0"/>
        <v>51</v>
      </c>
      <c r="B52" s="314" t="s">
        <v>614</v>
      </c>
      <c r="C52" s="315" t="s">
        <v>412</v>
      </c>
      <c r="D52" s="316" t="s">
        <v>617</v>
      </c>
      <c r="E52" s="313">
        <v>1.24</v>
      </c>
      <c r="F52" s="313" t="s">
        <v>395</v>
      </c>
      <c r="G52" s="313" t="s">
        <v>395</v>
      </c>
      <c r="H52" s="313" t="s">
        <v>395</v>
      </c>
      <c r="I52" s="313" t="s">
        <v>396</v>
      </c>
      <c r="J52" s="313">
        <v>12</v>
      </c>
      <c r="K52" s="317" t="s">
        <v>397</v>
      </c>
      <c r="L52" s="317">
        <v>46.463723000000002</v>
      </c>
      <c r="M52" s="317">
        <v>41.561292999999999</v>
      </c>
    </row>
    <row r="53" spans="1:13" ht="75" hidden="1" x14ac:dyDescent="0.25">
      <c r="A53" s="313">
        <f t="shared" si="0"/>
        <v>52</v>
      </c>
      <c r="B53" s="314" t="s">
        <v>622</v>
      </c>
      <c r="C53" s="315" t="s">
        <v>428</v>
      </c>
      <c r="D53" s="316" t="s">
        <v>625</v>
      </c>
      <c r="E53" s="313">
        <v>2.02</v>
      </c>
      <c r="F53" s="313" t="s">
        <v>395</v>
      </c>
      <c r="G53" s="313" t="s">
        <v>395</v>
      </c>
      <c r="H53" s="313" t="s">
        <v>395</v>
      </c>
      <c r="I53" s="313" t="s">
        <v>396</v>
      </c>
      <c r="J53" s="313">
        <v>51</v>
      </c>
      <c r="K53" s="317" t="s">
        <v>397</v>
      </c>
      <c r="L53" s="317">
        <v>46.531762000000001</v>
      </c>
      <c r="M53" s="317">
        <v>41.009971999999998</v>
      </c>
    </row>
    <row r="54" spans="1:13" ht="60" hidden="1" x14ac:dyDescent="0.25">
      <c r="A54" s="313">
        <f t="shared" si="0"/>
        <v>53</v>
      </c>
      <c r="B54" s="314" t="s">
        <v>630</v>
      </c>
      <c r="C54" s="315" t="s">
        <v>447</v>
      </c>
      <c r="D54" s="316" t="s">
        <v>633</v>
      </c>
      <c r="E54" s="313">
        <v>1.2</v>
      </c>
      <c r="F54" s="313" t="s">
        <v>395</v>
      </c>
      <c r="G54" s="313" t="s">
        <v>395</v>
      </c>
      <c r="H54" s="313" t="s">
        <v>395</v>
      </c>
      <c r="I54" s="313" t="s">
        <v>396</v>
      </c>
      <c r="J54" s="313">
        <v>10</v>
      </c>
      <c r="K54" s="317" t="s">
        <v>397</v>
      </c>
      <c r="L54" s="317">
        <v>46.477784</v>
      </c>
      <c r="M54" s="317">
        <v>41.545490999999998</v>
      </c>
    </row>
    <row r="55" spans="1:13" ht="45" hidden="1" x14ac:dyDescent="0.25">
      <c r="A55" s="313">
        <f t="shared" si="0"/>
        <v>54</v>
      </c>
      <c r="B55" s="314" t="s">
        <v>639</v>
      </c>
      <c r="C55" s="315" t="s">
        <v>412</v>
      </c>
      <c r="D55" s="316" t="s">
        <v>642</v>
      </c>
      <c r="E55" s="313">
        <v>2.2200000000000002</v>
      </c>
      <c r="F55" s="313" t="s">
        <v>395</v>
      </c>
      <c r="G55" s="313" t="s">
        <v>395</v>
      </c>
      <c r="H55" s="313" t="s">
        <v>395</v>
      </c>
      <c r="I55" s="313" t="s">
        <v>396</v>
      </c>
      <c r="J55" s="313">
        <v>61</v>
      </c>
      <c r="K55" s="317" t="s">
        <v>397</v>
      </c>
      <c r="L55" s="317">
        <v>46.828265000000002</v>
      </c>
      <c r="M55" s="317">
        <v>42.040438000000002</v>
      </c>
    </row>
    <row r="56" spans="1:13" ht="45" hidden="1" x14ac:dyDescent="0.25">
      <c r="A56" s="313">
        <f t="shared" si="0"/>
        <v>55</v>
      </c>
      <c r="B56" s="314" t="s">
        <v>647</v>
      </c>
      <c r="C56" s="315" t="s">
        <v>412</v>
      </c>
      <c r="D56" s="316" t="s">
        <v>649</v>
      </c>
      <c r="E56" s="313">
        <v>1.18</v>
      </c>
      <c r="F56" s="313" t="s">
        <v>395</v>
      </c>
      <c r="G56" s="313" t="s">
        <v>395</v>
      </c>
      <c r="H56" s="313" t="s">
        <v>395</v>
      </c>
      <c r="I56" s="313" t="s">
        <v>396</v>
      </c>
      <c r="J56" s="313">
        <v>9</v>
      </c>
      <c r="K56" s="317" t="s">
        <v>397</v>
      </c>
      <c r="L56" s="317">
        <v>46.492916999999998</v>
      </c>
      <c r="M56" s="317">
        <v>41.538860999999997</v>
      </c>
    </row>
    <row r="57" spans="1:13" ht="75" hidden="1" x14ac:dyDescent="0.25">
      <c r="A57" s="313">
        <f t="shared" si="0"/>
        <v>56</v>
      </c>
      <c r="B57" s="314" t="s">
        <v>655</v>
      </c>
      <c r="C57" s="315" t="s">
        <v>428</v>
      </c>
      <c r="D57" s="316" t="s">
        <v>658</v>
      </c>
      <c r="E57" s="313">
        <v>1.94</v>
      </c>
      <c r="F57" s="313" t="s">
        <v>395</v>
      </c>
      <c r="G57" s="313" t="s">
        <v>395</v>
      </c>
      <c r="H57" s="313" t="s">
        <v>395</v>
      </c>
      <c r="I57" s="313" t="s">
        <v>396</v>
      </c>
      <c r="J57" s="313">
        <v>47</v>
      </c>
      <c r="K57" s="317" t="s">
        <v>397</v>
      </c>
      <c r="L57" s="317">
        <v>46.274152000000001</v>
      </c>
      <c r="M57" s="317">
        <v>41.767206999999999</v>
      </c>
    </row>
    <row r="58" spans="1:13" ht="45" hidden="1" x14ac:dyDescent="0.25">
      <c r="A58" s="313">
        <f t="shared" si="0"/>
        <v>57</v>
      </c>
      <c r="B58" s="314" t="s">
        <v>663</v>
      </c>
      <c r="C58" s="315" t="s">
        <v>582</v>
      </c>
      <c r="D58" s="316" t="s">
        <v>665</v>
      </c>
      <c r="E58" s="313">
        <v>2.54</v>
      </c>
      <c r="F58" s="313" t="s">
        <v>395</v>
      </c>
      <c r="G58" s="313" t="s">
        <v>395</v>
      </c>
      <c r="H58" s="313" t="s">
        <v>395</v>
      </c>
      <c r="I58" s="313" t="s">
        <v>396</v>
      </c>
      <c r="J58" s="313">
        <v>77</v>
      </c>
      <c r="K58" s="317" t="s">
        <v>397</v>
      </c>
      <c r="L58" s="317">
        <v>46.679532000000002</v>
      </c>
      <c r="M58" s="317">
        <v>40.836275999999998</v>
      </c>
    </row>
    <row r="59" spans="1:13" ht="25.5" hidden="1" x14ac:dyDescent="0.25">
      <c r="A59" s="313">
        <f t="shared" si="0"/>
        <v>58</v>
      </c>
      <c r="B59" s="314" t="s">
        <v>671</v>
      </c>
      <c r="C59" s="315" t="s">
        <v>672</v>
      </c>
      <c r="D59" s="316" t="s">
        <v>674</v>
      </c>
      <c r="E59" s="313">
        <v>2.76</v>
      </c>
      <c r="F59" s="313" t="s">
        <v>395</v>
      </c>
      <c r="G59" s="313" t="s">
        <v>395</v>
      </c>
      <c r="H59" s="313" t="s">
        <v>395</v>
      </c>
      <c r="I59" s="313" t="s">
        <v>396</v>
      </c>
      <c r="J59" s="313">
        <v>88</v>
      </c>
      <c r="K59" s="317" t="s">
        <v>397</v>
      </c>
      <c r="L59" s="317">
        <v>46.487501999999999</v>
      </c>
      <c r="M59" s="317">
        <v>40.648595999999998</v>
      </c>
    </row>
    <row r="60" spans="1:13" ht="75" hidden="1" x14ac:dyDescent="0.25">
      <c r="A60" s="313">
        <f t="shared" si="0"/>
        <v>59</v>
      </c>
      <c r="B60" s="314" t="s">
        <v>681</v>
      </c>
      <c r="C60" s="315" t="s">
        <v>428</v>
      </c>
      <c r="D60" s="316" t="s">
        <v>682</v>
      </c>
      <c r="E60" s="313">
        <v>1.52</v>
      </c>
      <c r="F60" s="313" t="s">
        <v>395</v>
      </c>
      <c r="G60" s="313" t="s">
        <v>395</v>
      </c>
      <c r="H60" s="313" t="s">
        <v>395</v>
      </c>
      <c r="I60" s="313" t="s">
        <v>396</v>
      </c>
      <c r="J60" s="313">
        <v>26</v>
      </c>
      <c r="K60" s="317" t="s">
        <v>397</v>
      </c>
      <c r="L60" s="317">
        <v>46.500148000000003</v>
      </c>
      <c r="M60" s="317">
        <v>41.327058999999998</v>
      </c>
    </row>
    <row r="61" spans="1:13" ht="30" hidden="1" x14ac:dyDescent="0.25">
      <c r="A61" s="313">
        <f t="shared" si="0"/>
        <v>60</v>
      </c>
      <c r="B61" s="314" t="s">
        <v>688</v>
      </c>
      <c r="C61" s="315" t="s">
        <v>637</v>
      </c>
      <c r="D61" s="316" t="s">
        <v>689</v>
      </c>
      <c r="E61" s="313">
        <v>2.64</v>
      </c>
      <c r="F61" s="313" t="s">
        <v>395</v>
      </c>
      <c r="G61" s="313" t="s">
        <v>395</v>
      </c>
      <c r="H61" s="313" t="s">
        <v>395</v>
      </c>
      <c r="I61" s="313" t="s">
        <v>396</v>
      </c>
      <c r="J61" s="313">
        <v>82</v>
      </c>
      <c r="K61" s="317" t="s">
        <v>397</v>
      </c>
      <c r="L61" s="317">
        <v>47.052253999999998</v>
      </c>
      <c r="M61" s="317">
        <v>41.902652000000003</v>
      </c>
    </row>
    <row r="62" spans="1:13" ht="30" hidden="1" x14ac:dyDescent="0.25">
      <c r="A62" s="313">
        <f t="shared" si="0"/>
        <v>61</v>
      </c>
      <c r="B62" s="314" t="s">
        <v>696</v>
      </c>
      <c r="C62" s="315" t="s">
        <v>637</v>
      </c>
      <c r="D62" s="316" t="s">
        <v>697</v>
      </c>
      <c r="E62" s="313">
        <v>2.62</v>
      </c>
      <c r="F62" s="313" t="s">
        <v>395</v>
      </c>
      <c r="G62" s="313" t="s">
        <v>395</v>
      </c>
      <c r="H62" s="313" t="s">
        <v>395</v>
      </c>
      <c r="I62" s="313" t="s">
        <v>396</v>
      </c>
      <c r="J62" s="313">
        <v>81</v>
      </c>
      <c r="K62" s="317" t="s">
        <v>397</v>
      </c>
      <c r="L62" s="317">
        <v>46.705717</v>
      </c>
      <c r="M62" s="317">
        <v>42.184348</v>
      </c>
    </row>
    <row r="63" spans="1:13" ht="30" hidden="1" x14ac:dyDescent="0.25">
      <c r="A63" s="313">
        <f t="shared" si="0"/>
        <v>62</v>
      </c>
      <c r="B63" s="314" t="s">
        <v>704</v>
      </c>
      <c r="C63" s="315" t="s">
        <v>637</v>
      </c>
      <c r="D63" s="316" t="s">
        <v>705</v>
      </c>
      <c r="E63" s="313">
        <v>3.02</v>
      </c>
      <c r="F63" s="313" t="s">
        <v>395</v>
      </c>
      <c r="G63" s="313" t="s">
        <v>395</v>
      </c>
      <c r="H63" s="313" t="s">
        <v>395</v>
      </c>
      <c r="I63" s="313" t="s">
        <v>396</v>
      </c>
      <c r="J63" s="313">
        <v>101</v>
      </c>
      <c r="K63" s="317" t="s">
        <v>397</v>
      </c>
      <c r="L63" s="317">
        <v>47.064064999999999</v>
      </c>
      <c r="M63" s="317">
        <v>41.119866999999999</v>
      </c>
    </row>
    <row r="64" spans="1:13" ht="45" hidden="1" x14ac:dyDescent="0.25">
      <c r="A64" s="313">
        <f t="shared" si="0"/>
        <v>63</v>
      </c>
      <c r="B64" s="314" t="s">
        <v>711</v>
      </c>
      <c r="C64" s="315" t="s">
        <v>582</v>
      </c>
      <c r="D64" s="316" t="s">
        <v>713</v>
      </c>
      <c r="E64" s="313">
        <v>2.06</v>
      </c>
      <c r="F64" s="313" t="s">
        <v>395</v>
      </c>
      <c r="G64" s="313" t="s">
        <v>395</v>
      </c>
      <c r="H64" s="313" t="s">
        <v>395</v>
      </c>
      <c r="I64" s="313" t="s">
        <v>396</v>
      </c>
      <c r="J64" s="313">
        <v>53</v>
      </c>
      <c r="K64" s="317" t="s">
        <v>397</v>
      </c>
      <c r="L64" s="317">
        <v>46.489787999999997</v>
      </c>
      <c r="M64" s="317">
        <v>41.017625000000002</v>
      </c>
    </row>
    <row r="65" spans="1:13" ht="45" hidden="1" x14ac:dyDescent="0.25">
      <c r="A65" s="313">
        <f t="shared" si="0"/>
        <v>64</v>
      </c>
      <c r="B65" s="314" t="s">
        <v>719</v>
      </c>
      <c r="C65" s="315" t="s">
        <v>582</v>
      </c>
      <c r="D65" s="316" t="s">
        <v>721</v>
      </c>
      <c r="E65" s="313">
        <v>2.36</v>
      </c>
      <c r="F65" s="313" t="s">
        <v>395</v>
      </c>
      <c r="G65" s="313" t="s">
        <v>395</v>
      </c>
      <c r="H65" s="313" t="s">
        <v>395</v>
      </c>
      <c r="I65" s="313" t="s">
        <v>396</v>
      </c>
      <c r="J65" s="313">
        <v>68</v>
      </c>
      <c r="K65" s="317" t="s">
        <v>397</v>
      </c>
      <c r="L65" s="317">
        <v>46.496993000000003</v>
      </c>
      <c r="M65" s="317">
        <v>40.861559999999997</v>
      </c>
    </row>
    <row r="66" spans="1:13" ht="45" hidden="1" x14ac:dyDescent="0.25">
      <c r="A66" s="313">
        <f t="shared" si="0"/>
        <v>65</v>
      </c>
      <c r="B66" s="314" t="s">
        <v>727</v>
      </c>
      <c r="C66" s="315" t="s">
        <v>582</v>
      </c>
      <c r="D66" s="316" t="s">
        <v>729</v>
      </c>
      <c r="E66" s="313">
        <v>2.66</v>
      </c>
      <c r="F66" s="313" t="s">
        <v>395</v>
      </c>
      <c r="G66" s="313" t="s">
        <v>395</v>
      </c>
      <c r="H66" s="313" t="s">
        <v>395</v>
      </c>
      <c r="I66" s="313" t="s">
        <v>396</v>
      </c>
      <c r="J66" s="313">
        <v>83</v>
      </c>
      <c r="K66" s="317" t="s">
        <v>397</v>
      </c>
      <c r="L66" s="317">
        <v>46.658279999999998</v>
      </c>
      <c r="M66" s="317">
        <v>40.914999999999999</v>
      </c>
    </row>
    <row r="67" spans="1:13" ht="45" hidden="1" x14ac:dyDescent="0.25">
      <c r="A67" s="313">
        <f t="shared" si="0"/>
        <v>66</v>
      </c>
      <c r="B67" s="314" t="s">
        <v>736</v>
      </c>
      <c r="C67" s="315" t="s">
        <v>582</v>
      </c>
      <c r="D67" s="316" t="s">
        <v>737</v>
      </c>
      <c r="E67" s="313">
        <v>2.1</v>
      </c>
      <c r="F67" s="313" t="s">
        <v>395</v>
      </c>
      <c r="G67" s="313" t="s">
        <v>395</v>
      </c>
      <c r="H67" s="313" t="s">
        <v>395</v>
      </c>
      <c r="I67" s="313" t="s">
        <v>396</v>
      </c>
      <c r="J67" s="313">
        <v>55</v>
      </c>
      <c r="K67" s="317" t="s">
        <v>397</v>
      </c>
      <c r="L67" s="317">
        <v>46.925317999999997</v>
      </c>
      <c r="M67" s="317">
        <v>41.250489000000002</v>
      </c>
    </row>
    <row r="68" spans="1:13" ht="45" hidden="1" x14ac:dyDescent="0.25">
      <c r="A68" s="313">
        <f t="shared" ref="A68:A131" si="1">A67+1</f>
        <v>67</v>
      </c>
      <c r="B68" s="314" t="s">
        <v>744</v>
      </c>
      <c r="C68" s="315" t="s">
        <v>582</v>
      </c>
      <c r="D68" s="316" t="s">
        <v>745</v>
      </c>
      <c r="E68" s="313">
        <v>1.62</v>
      </c>
      <c r="F68" s="313" t="s">
        <v>395</v>
      </c>
      <c r="G68" s="313" t="s">
        <v>395</v>
      </c>
      <c r="H68" s="313" t="s">
        <v>395</v>
      </c>
      <c r="I68" s="313" t="s">
        <v>396</v>
      </c>
      <c r="J68" s="313">
        <v>31</v>
      </c>
      <c r="K68" s="317" t="s">
        <v>397</v>
      </c>
      <c r="L68" s="317">
        <v>46.510936000000001</v>
      </c>
      <c r="M68" s="317">
        <v>41.267010999999997</v>
      </c>
    </row>
    <row r="69" spans="1:13" ht="25.5" hidden="1" x14ac:dyDescent="0.25">
      <c r="A69" s="313">
        <f t="shared" si="1"/>
        <v>68</v>
      </c>
      <c r="B69" s="314" t="s">
        <v>752</v>
      </c>
      <c r="C69" s="315" t="s">
        <v>672</v>
      </c>
      <c r="D69" s="316" t="s">
        <v>753</v>
      </c>
      <c r="E69" s="313">
        <v>2.12</v>
      </c>
      <c r="F69" s="313" t="s">
        <v>395</v>
      </c>
      <c r="G69" s="313" t="s">
        <v>395</v>
      </c>
      <c r="H69" s="313" t="s">
        <v>395</v>
      </c>
      <c r="I69" s="313" t="s">
        <v>396</v>
      </c>
      <c r="J69" s="313">
        <v>56</v>
      </c>
      <c r="K69" s="317" t="s">
        <v>397</v>
      </c>
      <c r="L69" s="317">
        <v>46.747599000000001</v>
      </c>
      <c r="M69" s="317">
        <v>41.975732999999998</v>
      </c>
    </row>
    <row r="70" spans="1:13" ht="30" hidden="1" x14ac:dyDescent="0.25">
      <c r="A70" s="313">
        <f t="shared" si="1"/>
        <v>69</v>
      </c>
      <c r="B70" s="314" t="s">
        <v>759</v>
      </c>
      <c r="C70" s="315" t="s">
        <v>637</v>
      </c>
      <c r="D70" s="316" t="s">
        <v>761</v>
      </c>
      <c r="E70" s="313">
        <v>2.56</v>
      </c>
      <c r="F70" s="313" t="s">
        <v>395</v>
      </c>
      <c r="G70" s="313" t="s">
        <v>395</v>
      </c>
      <c r="H70" s="313" t="s">
        <v>395</v>
      </c>
      <c r="I70" s="313" t="s">
        <v>396</v>
      </c>
      <c r="J70" s="313">
        <v>78</v>
      </c>
      <c r="K70" s="317" t="s">
        <v>397</v>
      </c>
      <c r="L70" s="317">
        <v>47.123536000000001</v>
      </c>
      <c r="M70" s="317">
        <v>41.625503999999999</v>
      </c>
    </row>
    <row r="71" spans="1:13" ht="30" hidden="1" x14ac:dyDescent="0.25">
      <c r="A71" s="313">
        <f t="shared" si="1"/>
        <v>70</v>
      </c>
      <c r="B71" s="314" t="s">
        <v>767</v>
      </c>
      <c r="C71" s="315" t="s">
        <v>637</v>
      </c>
      <c r="D71" s="316" t="s">
        <v>769</v>
      </c>
      <c r="E71" s="313">
        <v>1.8</v>
      </c>
      <c r="F71" s="313" t="s">
        <v>395</v>
      </c>
      <c r="G71" s="313" t="s">
        <v>395</v>
      </c>
      <c r="H71" s="313" t="s">
        <v>395</v>
      </c>
      <c r="I71" s="313" t="s">
        <v>396</v>
      </c>
      <c r="J71" s="313">
        <v>40</v>
      </c>
      <c r="K71" s="317" t="s">
        <v>397</v>
      </c>
      <c r="L71" s="317">
        <v>46.803753</v>
      </c>
      <c r="M71" s="317">
        <v>41.621997</v>
      </c>
    </row>
    <row r="72" spans="1:13" ht="30" hidden="1" x14ac:dyDescent="0.25">
      <c r="A72" s="313">
        <f t="shared" si="1"/>
        <v>71</v>
      </c>
      <c r="B72" s="314" t="s">
        <v>774</v>
      </c>
      <c r="C72" s="315" t="s">
        <v>637</v>
      </c>
      <c r="D72" s="316" t="s">
        <v>777</v>
      </c>
      <c r="E72" s="313">
        <v>2.2999999999999998</v>
      </c>
      <c r="F72" s="313" t="s">
        <v>395</v>
      </c>
      <c r="G72" s="313" t="s">
        <v>395</v>
      </c>
      <c r="H72" s="313" t="s">
        <v>395</v>
      </c>
      <c r="I72" s="313" t="s">
        <v>396</v>
      </c>
      <c r="J72" s="313">
        <v>65</v>
      </c>
      <c r="K72" s="317" t="s">
        <v>397</v>
      </c>
      <c r="L72" s="317">
        <v>47.004446999999999</v>
      </c>
      <c r="M72" s="317">
        <v>41.441673999999999</v>
      </c>
    </row>
    <row r="73" spans="1:13" ht="25.5" hidden="1" x14ac:dyDescent="0.25">
      <c r="A73" s="313">
        <f t="shared" si="1"/>
        <v>72</v>
      </c>
      <c r="B73" s="314" t="s">
        <v>782</v>
      </c>
      <c r="C73" s="315" t="s">
        <v>672</v>
      </c>
      <c r="D73" s="316" t="s">
        <v>785</v>
      </c>
      <c r="E73" s="313">
        <v>1.72</v>
      </c>
      <c r="F73" s="313" t="s">
        <v>395</v>
      </c>
      <c r="G73" s="313" t="s">
        <v>395</v>
      </c>
      <c r="H73" s="313" t="s">
        <v>395</v>
      </c>
      <c r="I73" s="313" t="s">
        <v>396</v>
      </c>
      <c r="J73" s="313">
        <v>36</v>
      </c>
      <c r="K73" s="317" t="s">
        <v>397</v>
      </c>
      <c r="L73" s="317">
        <v>46.570613000000002</v>
      </c>
      <c r="M73" s="317">
        <v>41.257556000000001</v>
      </c>
    </row>
    <row r="74" spans="1:13" ht="30" hidden="1" x14ac:dyDescent="0.25">
      <c r="A74" s="313">
        <f t="shared" si="1"/>
        <v>73</v>
      </c>
      <c r="B74" s="314" t="s">
        <v>790</v>
      </c>
      <c r="C74" s="315" t="s">
        <v>637</v>
      </c>
      <c r="D74" s="316" t="s">
        <v>793</v>
      </c>
      <c r="E74" s="313">
        <v>1.64</v>
      </c>
      <c r="F74" s="313" t="s">
        <v>395</v>
      </c>
      <c r="G74" s="313" t="s">
        <v>395</v>
      </c>
      <c r="H74" s="313" t="s">
        <v>395</v>
      </c>
      <c r="I74" s="313" t="s">
        <v>396</v>
      </c>
      <c r="J74" s="313">
        <v>32</v>
      </c>
      <c r="K74" s="317" t="s">
        <v>397</v>
      </c>
      <c r="L74" s="317">
        <v>46.547834999999999</v>
      </c>
      <c r="M74" s="317">
        <v>41.394621000000001</v>
      </c>
    </row>
    <row r="75" spans="1:13" ht="30" hidden="1" x14ac:dyDescent="0.25">
      <c r="A75" s="313">
        <f t="shared" si="1"/>
        <v>74</v>
      </c>
      <c r="B75" s="314" t="s">
        <v>798</v>
      </c>
      <c r="C75" s="315" t="s">
        <v>637</v>
      </c>
      <c r="D75" s="316" t="s">
        <v>801</v>
      </c>
      <c r="E75" s="313">
        <v>1.7</v>
      </c>
      <c r="F75" s="313" t="s">
        <v>395</v>
      </c>
      <c r="G75" s="313" t="s">
        <v>395</v>
      </c>
      <c r="H75" s="313" t="s">
        <v>395</v>
      </c>
      <c r="I75" s="313" t="s">
        <v>396</v>
      </c>
      <c r="J75" s="313">
        <v>35</v>
      </c>
      <c r="K75" s="317" t="s">
        <v>397</v>
      </c>
      <c r="L75" s="317">
        <v>46.622642999999997</v>
      </c>
      <c r="M75" s="317">
        <v>41.379117000000001</v>
      </c>
    </row>
    <row r="76" spans="1:13" ht="30" hidden="1" x14ac:dyDescent="0.25">
      <c r="A76" s="313">
        <f t="shared" si="1"/>
        <v>75</v>
      </c>
      <c r="B76" s="314" t="s">
        <v>807</v>
      </c>
      <c r="C76" s="315" t="s">
        <v>637</v>
      </c>
      <c r="D76" s="316" t="s">
        <v>810</v>
      </c>
      <c r="E76" s="313">
        <v>1.48</v>
      </c>
      <c r="F76" s="313" t="s">
        <v>395</v>
      </c>
      <c r="G76" s="313" t="s">
        <v>395</v>
      </c>
      <c r="H76" s="313" t="s">
        <v>395</v>
      </c>
      <c r="I76" s="313" t="s">
        <v>396</v>
      </c>
      <c r="J76" s="313">
        <v>24</v>
      </c>
      <c r="K76" s="317" t="s">
        <v>397</v>
      </c>
      <c r="L76" s="317">
        <v>46.431514999999997</v>
      </c>
      <c r="M76" s="317">
        <v>41.695225999999998</v>
      </c>
    </row>
    <row r="77" spans="1:13" ht="25.5" hidden="1" x14ac:dyDescent="0.25">
      <c r="A77" s="313">
        <f t="shared" si="1"/>
        <v>76</v>
      </c>
      <c r="B77" s="314" t="s">
        <v>815</v>
      </c>
      <c r="C77" s="315" t="s">
        <v>672</v>
      </c>
      <c r="D77" s="316" t="s">
        <v>817</v>
      </c>
      <c r="E77" s="313">
        <v>1.22</v>
      </c>
      <c r="F77" s="313" t="s">
        <v>395</v>
      </c>
      <c r="G77" s="313" t="s">
        <v>395</v>
      </c>
      <c r="H77" s="313" t="s">
        <v>395</v>
      </c>
      <c r="I77" s="313" t="s">
        <v>396</v>
      </c>
      <c r="J77" s="313">
        <v>11</v>
      </c>
      <c r="K77" s="317" t="s">
        <v>397</v>
      </c>
      <c r="L77" s="317">
        <v>46.609268999999998</v>
      </c>
      <c r="M77" s="317">
        <v>41.575091</v>
      </c>
    </row>
    <row r="78" spans="1:13" ht="30" hidden="1" x14ac:dyDescent="0.25">
      <c r="A78" s="313">
        <f t="shared" si="1"/>
        <v>77</v>
      </c>
      <c r="B78" s="314" t="s">
        <v>823</v>
      </c>
      <c r="C78" s="315" t="s">
        <v>637</v>
      </c>
      <c r="D78" s="316" t="s">
        <v>824</v>
      </c>
      <c r="E78" s="313">
        <v>2.02</v>
      </c>
      <c r="F78" s="313" t="s">
        <v>395</v>
      </c>
      <c r="G78" s="313" t="s">
        <v>395</v>
      </c>
      <c r="H78" s="313" t="s">
        <v>395</v>
      </c>
      <c r="I78" s="313" t="s">
        <v>396</v>
      </c>
      <c r="J78" s="313">
        <v>51</v>
      </c>
      <c r="K78" s="317" t="s">
        <v>397</v>
      </c>
      <c r="L78" s="317">
        <v>46.644050999999997</v>
      </c>
      <c r="M78" s="317">
        <v>42.077373999999999</v>
      </c>
    </row>
    <row r="79" spans="1:13" ht="30" hidden="1" x14ac:dyDescent="0.25">
      <c r="A79" s="313">
        <f t="shared" si="1"/>
        <v>78</v>
      </c>
      <c r="B79" s="314" t="s">
        <v>831</v>
      </c>
      <c r="C79" s="315" t="s">
        <v>637</v>
      </c>
      <c r="D79" s="316" t="s">
        <v>832</v>
      </c>
      <c r="E79" s="313">
        <v>2.4</v>
      </c>
      <c r="F79" s="313" t="s">
        <v>395</v>
      </c>
      <c r="G79" s="313" t="s">
        <v>395</v>
      </c>
      <c r="H79" s="313" t="s">
        <v>395</v>
      </c>
      <c r="I79" s="313" t="s">
        <v>396</v>
      </c>
      <c r="J79" s="313">
        <v>70</v>
      </c>
      <c r="K79" s="317" t="s">
        <v>397</v>
      </c>
      <c r="L79" s="317">
        <v>46.770463999999997</v>
      </c>
      <c r="M79" s="317">
        <v>42.107525000000003</v>
      </c>
    </row>
    <row r="80" spans="1:13" ht="25.5" hidden="1" x14ac:dyDescent="0.25">
      <c r="A80" s="313">
        <f t="shared" si="1"/>
        <v>79</v>
      </c>
      <c r="B80" s="314" t="s">
        <v>839</v>
      </c>
      <c r="C80" s="315" t="s">
        <v>672</v>
      </c>
      <c r="D80" s="316" t="s">
        <v>840</v>
      </c>
      <c r="E80" s="313">
        <v>2.12</v>
      </c>
      <c r="F80" s="313" t="s">
        <v>395</v>
      </c>
      <c r="G80" s="313" t="s">
        <v>395</v>
      </c>
      <c r="H80" s="313" t="s">
        <v>395</v>
      </c>
      <c r="I80" s="313" t="s">
        <v>396</v>
      </c>
      <c r="J80" s="313">
        <v>56</v>
      </c>
      <c r="K80" s="317" t="s">
        <v>397</v>
      </c>
      <c r="L80" s="317">
        <v>46.592779999999998</v>
      </c>
      <c r="M80" s="317">
        <v>41.106949999999998</v>
      </c>
    </row>
    <row r="81" spans="1:13" ht="25.5" hidden="1" x14ac:dyDescent="0.25">
      <c r="A81" s="313">
        <f t="shared" si="1"/>
        <v>80</v>
      </c>
      <c r="B81" s="314" t="s">
        <v>847</v>
      </c>
      <c r="C81" s="315" t="s">
        <v>848</v>
      </c>
      <c r="D81" s="316" t="s">
        <v>849</v>
      </c>
      <c r="E81" s="313">
        <v>1.22</v>
      </c>
      <c r="F81" s="313" t="s">
        <v>395</v>
      </c>
      <c r="G81" s="313" t="s">
        <v>395</v>
      </c>
      <c r="H81" s="313" t="s">
        <v>395</v>
      </c>
      <c r="I81" s="313" t="s">
        <v>396</v>
      </c>
      <c r="J81" s="313">
        <v>11</v>
      </c>
      <c r="K81" s="317" t="s">
        <v>397</v>
      </c>
      <c r="L81" s="317">
        <v>46.471719</v>
      </c>
      <c r="M81" s="317">
        <v>41.542668999999997</v>
      </c>
    </row>
    <row r="82" spans="1:13" ht="75" hidden="1" x14ac:dyDescent="0.25">
      <c r="A82" s="313">
        <f t="shared" si="1"/>
        <v>81</v>
      </c>
      <c r="B82" s="314" t="s">
        <v>856</v>
      </c>
      <c r="C82" s="315" t="s">
        <v>428</v>
      </c>
      <c r="D82" s="316" t="s">
        <v>857</v>
      </c>
      <c r="E82" s="313">
        <v>1.94</v>
      </c>
      <c r="F82" s="313" t="s">
        <v>395</v>
      </c>
      <c r="G82" s="313" t="s">
        <v>395</v>
      </c>
      <c r="H82" s="313" t="s">
        <v>395</v>
      </c>
      <c r="I82" s="313" t="s">
        <v>396</v>
      </c>
      <c r="J82" s="313">
        <v>47</v>
      </c>
      <c r="K82" s="317" t="s">
        <v>397</v>
      </c>
      <c r="L82" s="317">
        <v>46.532670000000003</v>
      </c>
      <c r="M82" s="317">
        <v>41.045107000000002</v>
      </c>
    </row>
    <row r="83" spans="1:13" ht="75" hidden="1" x14ac:dyDescent="0.25">
      <c r="A83" s="313">
        <f t="shared" si="1"/>
        <v>82</v>
      </c>
      <c r="B83" s="314" t="s">
        <v>864</v>
      </c>
      <c r="C83" s="315" t="s">
        <v>428</v>
      </c>
      <c r="D83" s="316" t="s">
        <v>865</v>
      </c>
      <c r="E83" s="313">
        <v>2.6</v>
      </c>
      <c r="F83" s="313" t="s">
        <v>395</v>
      </c>
      <c r="G83" s="313" t="s">
        <v>395</v>
      </c>
      <c r="H83" s="313" t="s">
        <v>395</v>
      </c>
      <c r="I83" s="313" t="s">
        <v>396</v>
      </c>
      <c r="J83" s="313">
        <v>80</v>
      </c>
      <c r="K83" s="317" t="s">
        <v>397</v>
      </c>
      <c r="L83" s="317">
        <v>46.565503</v>
      </c>
      <c r="M83" s="317">
        <v>40.648010999999997</v>
      </c>
    </row>
    <row r="84" spans="1:13" ht="45" hidden="1" x14ac:dyDescent="0.25">
      <c r="A84" s="313">
        <f t="shared" si="1"/>
        <v>83</v>
      </c>
      <c r="B84" s="314" t="s">
        <v>872</v>
      </c>
      <c r="C84" s="315" t="s">
        <v>412</v>
      </c>
      <c r="D84" s="316" t="s">
        <v>873</v>
      </c>
      <c r="E84" s="313">
        <v>2.54</v>
      </c>
      <c r="F84" s="313" t="s">
        <v>395</v>
      </c>
      <c r="G84" s="313" t="s">
        <v>395</v>
      </c>
      <c r="H84" s="313" t="s">
        <v>395</v>
      </c>
      <c r="I84" s="313" t="s">
        <v>396</v>
      </c>
      <c r="J84" s="313">
        <v>77</v>
      </c>
      <c r="K84" s="317" t="s">
        <v>397</v>
      </c>
      <c r="L84" s="317">
        <v>47.005400000000002</v>
      </c>
      <c r="M84" s="317">
        <v>42.210299999999997</v>
      </c>
    </row>
    <row r="85" spans="1:13" ht="75" hidden="1" x14ac:dyDescent="0.25">
      <c r="A85" s="313">
        <f t="shared" si="1"/>
        <v>84</v>
      </c>
      <c r="B85" s="314" t="s">
        <v>880</v>
      </c>
      <c r="C85" s="315" t="s">
        <v>428</v>
      </c>
      <c r="D85" s="316" t="s">
        <v>881</v>
      </c>
      <c r="E85" s="313">
        <v>2.6</v>
      </c>
      <c r="F85" s="313" t="s">
        <v>395</v>
      </c>
      <c r="G85" s="313" t="s">
        <v>395</v>
      </c>
      <c r="H85" s="313" t="s">
        <v>395</v>
      </c>
      <c r="I85" s="313" t="s">
        <v>396</v>
      </c>
      <c r="J85" s="313">
        <v>80</v>
      </c>
      <c r="K85" s="317" t="s">
        <v>397</v>
      </c>
      <c r="L85" s="317">
        <v>46.571252000000001</v>
      </c>
      <c r="M85" s="317">
        <v>40.671695</v>
      </c>
    </row>
    <row r="86" spans="1:13" ht="75" hidden="1" x14ac:dyDescent="0.25">
      <c r="A86" s="313">
        <f t="shared" si="1"/>
        <v>85</v>
      </c>
      <c r="B86" s="314" t="s">
        <v>887</v>
      </c>
      <c r="C86" s="315" t="s">
        <v>428</v>
      </c>
      <c r="D86" s="316" t="s">
        <v>889</v>
      </c>
      <c r="E86" s="313">
        <v>1.22</v>
      </c>
      <c r="F86" s="313" t="s">
        <v>395</v>
      </c>
      <c r="G86" s="313" t="s">
        <v>395</v>
      </c>
      <c r="H86" s="313" t="s">
        <v>395</v>
      </c>
      <c r="I86" s="313" t="s">
        <v>396</v>
      </c>
      <c r="J86" s="313">
        <v>11</v>
      </c>
      <c r="K86" s="317" t="s">
        <v>397</v>
      </c>
      <c r="L86" s="317">
        <v>46.471060999999999</v>
      </c>
      <c r="M86" s="317">
        <v>41.553207999999998</v>
      </c>
    </row>
    <row r="87" spans="1:13" ht="45" hidden="1" x14ac:dyDescent="0.25">
      <c r="A87" s="313">
        <f t="shared" si="1"/>
        <v>86</v>
      </c>
      <c r="B87" s="314" t="s">
        <v>896</v>
      </c>
      <c r="C87" s="315" t="s">
        <v>412</v>
      </c>
      <c r="D87" s="316" t="s">
        <v>897</v>
      </c>
      <c r="E87" s="313">
        <v>2.1800000000000002</v>
      </c>
      <c r="F87" s="313" t="s">
        <v>395</v>
      </c>
      <c r="G87" s="313" t="s">
        <v>395</v>
      </c>
      <c r="H87" s="313" t="s">
        <v>395</v>
      </c>
      <c r="I87" s="313" t="s">
        <v>396</v>
      </c>
      <c r="J87" s="313">
        <v>59</v>
      </c>
      <c r="K87" s="317" t="s">
        <v>397</v>
      </c>
      <c r="L87" s="317">
        <v>46.828499999999998</v>
      </c>
      <c r="M87" s="317">
        <v>41.911222000000002</v>
      </c>
    </row>
    <row r="88" spans="1:13" ht="60" hidden="1" x14ac:dyDescent="0.25">
      <c r="A88" s="313">
        <f t="shared" si="1"/>
        <v>87</v>
      </c>
      <c r="B88" s="314" t="s">
        <v>903</v>
      </c>
      <c r="C88" s="315" t="s">
        <v>447</v>
      </c>
      <c r="D88" s="316" t="s">
        <v>905</v>
      </c>
      <c r="E88" s="313">
        <v>3.04</v>
      </c>
      <c r="F88" s="313" t="s">
        <v>395</v>
      </c>
      <c r="G88" s="313" t="s">
        <v>395</v>
      </c>
      <c r="H88" s="313" t="s">
        <v>395</v>
      </c>
      <c r="I88" s="313" t="s">
        <v>396</v>
      </c>
      <c r="J88" s="313">
        <v>102</v>
      </c>
      <c r="K88" s="317" t="s">
        <v>397</v>
      </c>
      <c r="L88" s="317">
        <v>46.610467</v>
      </c>
      <c r="M88" s="317">
        <v>40.469127999999998</v>
      </c>
    </row>
    <row r="89" spans="1:13" ht="45" hidden="1" x14ac:dyDescent="0.25">
      <c r="A89" s="313">
        <f t="shared" si="1"/>
        <v>88</v>
      </c>
      <c r="B89" s="314" t="s">
        <v>911</v>
      </c>
      <c r="C89" s="315" t="s">
        <v>412</v>
      </c>
      <c r="D89" s="316" t="s">
        <v>913</v>
      </c>
      <c r="E89" s="313">
        <v>3.34</v>
      </c>
      <c r="F89" s="313" t="s">
        <v>395</v>
      </c>
      <c r="G89" s="313" t="s">
        <v>395</v>
      </c>
      <c r="H89" s="313" t="s">
        <v>395</v>
      </c>
      <c r="I89" s="313" t="s">
        <v>396</v>
      </c>
      <c r="J89" s="313">
        <v>117</v>
      </c>
      <c r="K89" s="317" t="s">
        <v>397</v>
      </c>
      <c r="L89" s="317">
        <v>46.343339</v>
      </c>
      <c r="M89" s="317">
        <v>40.449666999999998</v>
      </c>
    </row>
    <row r="90" spans="1:13" ht="60" hidden="1" x14ac:dyDescent="0.25">
      <c r="A90" s="313">
        <f t="shared" si="1"/>
        <v>89</v>
      </c>
      <c r="B90" s="314" t="s">
        <v>919</v>
      </c>
      <c r="C90" s="315" t="s">
        <v>447</v>
      </c>
      <c r="D90" s="316" t="s">
        <v>921</v>
      </c>
      <c r="E90" s="313">
        <v>3.02</v>
      </c>
      <c r="F90" s="313" t="s">
        <v>395</v>
      </c>
      <c r="G90" s="313" t="s">
        <v>395</v>
      </c>
      <c r="H90" s="313" t="s">
        <v>395</v>
      </c>
      <c r="I90" s="313" t="s">
        <v>396</v>
      </c>
      <c r="J90" s="313">
        <v>101</v>
      </c>
      <c r="K90" s="317" t="s">
        <v>397</v>
      </c>
      <c r="L90" s="317">
        <v>46.466560999999999</v>
      </c>
      <c r="M90" s="317">
        <v>40.488830999999998</v>
      </c>
    </row>
    <row r="91" spans="1:13" ht="45" hidden="1" x14ac:dyDescent="0.25">
      <c r="A91" s="313">
        <f t="shared" si="1"/>
        <v>90</v>
      </c>
      <c r="B91" s="314" t="s">
        <v>926</v>
      </c>
      <c r="C91" s="315" t="s">
        <v>412</v>
      </c>
      <c r="D91" s="316" t="s">
        <v>929</v>
      </c>
      <c r="E91" s="313">
        <v>2.14</v>
      </c>
      <c r="F91" s="313" t="s">
        <v>395</v>
      </c>
      <c r="G91" s="313" t="s">
        <v>395</v>
      </c>
      <c r="H91" s="313" t="s">
        <v>395</v>
      </c>
      <c r="I91" s="313" t="s">
        <v>396</v>
      </c>
      <c r="J91" s="313">
        <v>57</v>
      </c>
      <c r="K91" s="317" t="s">
        <v>397</v>
      </c>
      <c r="L91" s="317">
        <v>46.322972</v>
      </c>
      <c r="M91" s="317">
        <v>41.159806000000003</v>
      </c>
    </row>
    <row r="92" spans="1:13" ht="60" hidden="1" x14ac:dyDescent="0.25">
      <c r="A92" s="313">
        <f t="shared" si="1"/>
        <v>91</v>
      </c>
      <c r="B92" s="314" t="s">
        <v>936</v>
      </c>
      <c r="C92" s="315" t="s">
        <v>452</v>
      </c>
      <c r="D92" s="316" t="s">
        <v>937</v>
      </c>
      <c r="E92" s="313">
        <v>1.56</v>
      </c>
      <c r="F92" s="313" t="s">
        <v>395</v>
      </c>
      <c r="G92" s="313" t="s">
        <v>395</v>
      </c>
      <c r="H92" s="313" t="s">
        <v>395</v>
      </c>
      <c r="I92" s="313" t="s">
        <v>396</v>
      </c>
      <c r="J92" s="313">
        <v>28</v>
      </c>
      <c r="K92" s="317" t="s">
        <v>397</v>
      </c>
      <c r="L92" s="317">
        <v>46.412778000000003</v>
      </c>
      <c r="M92" s="317">
        <v>41.356110999999999</v>
      </c>
    </row>
    <row r="93" spans="1:13" ht="60" hidden="1" x14ac:dyDescent="0.25">
      <c r="A93" s="313">
        <f t="shared" si="1"/>
        <v>92</v>
      </c>
      <c r="B93" s="314" t="s">
        <v>942</v>
      </c>
      <c r="C93" s="315" t="s">
        <v>677</v>
      </c>
      <c r="D93" s="316" t="s">
        <v>943</v>
      </c>
      <c r="E93" s="313">
        <v>2.2000000000000002</v>
      </c>
      <c r="F93" s="313" t="s">
        <v>395</v>
      </c>
      <c r="G93" s="313" t="s">
        <v>395</v>
      </c>
      <c r="H93" s="313" t="s">
        <v>395</v>
      </c>
      <c r="I93" s="313" t="s">
        <v>396</v>
      </c>
      <c r="J93" s="313">
        <v>60</v>
      </c>
      <c r="K93" s="317" t="s">
        <v>397</v>
      </c>
      <c r="L93" s="317">
        <v>46.871943999999999</v>
      </c>
      <c r="M93" s="317">
        <v>42.055833</v>
      </c>
    </row>
    <row r="94" spans="1:13" ht="75" hidden="1" x14ac:dyDescent="0.25">
      <c r="A94" s="313">
        <f t="shared" si="1"/>
        <v>93</v>
      </c>
      <c r="B94" s="314" t="s">
        <v>946</v>
      </c>
      <c r="C94" s="315" t="s">
        <v>428</v>
      </c>
      <c r="D94" s="316" t="s">
        <v>947</v>
      </c>
      <c r="E94" s="313">
        <v>1.18</v>
      </c>
      <c r="F94" s="313" t="s">
        <v>395</v>
      </c>
      <c r="G94" s="313" t="s">
        <v>395</v>
      </c>
      <c r="H94" s="313" t="s">
        <v>395</v>
      </c>
      <c r="I94" s="313" t="s">
        <v>396</v>
      </c>
      <c r="J94" s="313">
        <v>9</v>
      </c>
      <c r="K94" s="317" t="s">
        <v>397</v>
      </c>
      <c r="L94" s="317">
        <v>46.491943999999997</v>
      </c>
      <c r="M94" s="317">
        <v>41.531666999999999</v>
      </c>
    </row>
    <row r="95" spans="1:13" ht="75" hidden="1" x14ac:dyDescent="0.25">
      <c r="A95" s="313">
        <f t="shared" si="1"/>
        <v>94</v>
      </c>
      <c r="B95" s="314" t="s">
        <v>950</v>
      </c>
      <c r="C95" s="315" t="s">
        <v>428</v>
      </c>
      <c r="D95" s="316" t="s">
        <v>951</v>
      </c>
      <c r="E95" s="313">
        <v>1.24</v>
      </c>
      <c r="F95" s="313" t="s">
        <v>395</v>
      </c>
      <c r="G95" s="313" t="s">
        <v>395</v>
      </c>
      <c r="H95" s="313" t="s">
        <v>395</v>
      </c>
      <c r="I95" s="313" t="s">
        <v>396</v>
      </c>
      <c r="J95" s="313">
        <v>12</v>
      </c>
      <c r="K95" s="317" t="s">
        <v>397</v>
      </c>
      <c r="L95" s="317">
        <v>46.472222000000002</v>
      </c>
      <c r="M95" s="317">
        <v>41.513888999999999</v>
      </c>
    </row>
    <row r="96" spans="1:13" ht="75" hidden="1" x14ac:dyDescent="0.25">
      <c r="A96" s="313">
        <f t="shared" si="1"/>
        <v>95</v>
      </c>
      <c r="B96" s="314" t="s">
        <v>954</v>
      </c>
      <c r="C96" s="315" t="s">
        <v>428</v>
      </c>
      <c r="D96" s="316" t="s">
        <v>955</v>
      </c>
      <c r="E96" s="313">
        <v>1.96</v>
      </c>
      <c r="F96" s="313" t="s">
        <v>395</v>
      </c>
      <c r="G96" s="313" t="s">
        <v>395</v>
      </c>
      <c r="H96" s="313" t="s">
        <v>395</v>
      </c>
      <c r="I96" s="313" t="s">
        <v>396</v>
      </c>
      <c r="J96" s="313">
        <v>48</v>
      </c>
      <c r="K96" s="317" t="s">
        <v>397</v>
      </c>
      <c r="L96" s="317">
        <v>46.537778000000003</v>
      </c>
      <c r="M96" s="317">
        <v>41.030555999999997</v>
      </c>
    </row>
    <row r="97" spans="1:13" ht="60" hidden="1" x14ac:dyDescent="0.25">
      <c r="A97" s="313">
        <f t="shared" si="1"/>
        <v>96</v>
      </c>
      <c r="B97" s="314" t="s">
        <v>958</v>
      </c>
      <c r="C97" s="315" t="s">
        <v>447</v>
      </c>
      <c r="D97" s="316" t="s">
        <v>959</v>
      </c>
      <c r="E97" s="313">
        <v>1.28</v>
      </c>
      <c r="F97" s="313" t="s">
        <v>395</v>
      </c>
      <c r="G97" s="313" t="s">
        <v>395</v>
      </c>
      <c r="H97" s="313" t="s">
        <v>395</v>
      </c>
      <c r="I97" s="313" t="s">
        <v>396</v>
      </c>
      <c r="J97" s="313">
        <v>14</v>
      </c>
      <c r="K97" s="317" t="s">
        <v>397</v>
      </c>
      <c r="L97" s="317">
        <v>46.463025000000002</v>
      </c>
      <c r="M97" s="317">
        <v>41.516437000000003</v>
      </c>
    </row>
    <row r="98" spans="1:13" ht="45" hidden="1" x14ac:dyDescent="0.25">
      <c r="A98" s="313">
        <f t="shared" si="1"/>
        <v>97</v>
      </c>
      <c r="B98" s="314" t="s">
        <v>962</v>
      </c>
      <c r="C98" s="315" t="s">
        <v>412</v>
      </c>
      <c r="D98" s="316" t="s">
        <v>963</v>
      </c>
      <c r="E98" s="313">
        <v>1.28</v>
      </c>
      <c r="F98" s="313" t="s">
        <v>395</v>
      </c>
      <c r="G98" s="313" t="s">
        <v>395</v>
      </c>
      <c r="H98" s="313" t="s">
        <v>395</v>
      </c>
      <c r="I98" s="313" t="s">
        <v>396</v>
      </c>
      <c r="J98" s="313">
        <v>14</v>
      </c>
      <c r="K98" s="317" t="s">
        <v>397</v>
      </c>
      <c r="L98" s="317">
        <v>46.468471999999998</v>
      </c>
      <c r="M98" s="317">
        <v>41.499631999999998</v>
      </c>
    </row>
    <row r="99" spans="1:13" ht="45" hidden="1" x14ac:dyDescent="0.25">
      <c r="A99" s="313">
        <f t="shared" si="1"/>
        <v>98</v>
      </c>
      <c r="B99" s="314" t="s">
        <v>966</v>
      </c>
      <c r="C99" s="315" t="s">
        <v>412</v>
      </c>
      <c r="D99" s="316" t="s">
        <v>967</v>
      </c>
      <c r="E99" s="313">
        <v>1.5</v>
      </c>
      <c r="F99" s="313" t="s">
        <v>395</v>
      </c>
      <c r="G99" s="313" t="s">
        <v>395</v>
      </c>
      <c r="H99" s="313" t="s">
        <v>395</v>
      </c>
      <c r="I99" s="313" t="s">
        <v>396</v>
      </c>
      <c r="J99" s="313">
        <v>25</v>
      </c>
      <c r="K99" s="317" t="s">
        <v>397</v>
      </c>
      <c r="L99" s="317">
        <v>46.707577999999998</v>
      </c>
      <c r="M99" s="317">
        <v>41.730597000000003</v>
      </c>
    </row>
    <row r="100" spans="1:13" ht="75" hidden="1" x14ac:dyDescent="0.25">
      <c r="A100" s="313">
        <f t="shared" si="1"/>
        <v>99</v>
      </c>
      <c r="B100" s="314" t="s">
        <v>970</v>
      </c>
      <c r="C100" s="315" t="s">
        <v>428</v>
      </c>
      <c r="D100" s="316" t="s">
        <v>971</v>
      </c>
      <c r="E100" s="313">
        <v>1.64</v>
      </c>
      <c r="F100" s="313" t="s">
        <v>395</v>
      </c>
      <c r="G100" s="313" t="s">
        <v>395</v>
      </c>
      <c r="H100" s="313" t="s">
        <v>395</v>
      </c>
      <c r="I100" s="313" t="s">
        <v>396</v>
      </c>
      <c r="J100" s="313">
        <v>32</v>
      </c>
      <c r="K100" s="317" t="s">
        <v>397</v>
      </c>
      <c r="L100" s="317">
        <v>46.347299999999997</v>
      </c>
      <c r="M100" s="317">
        <v>41.723599999999998</v>
      </c>
    </row>
    <row r="101" spans="1:13" ht="45" hidden="1" x14ac:dyDescent="0.25">
      <c r="A101" s="313">
        <f t="shared" si="1"/>
        <v>100</v>
      </c>
      <c r="B101" s="314" t="s">
        <v>974</v>
      </c>
      <c r="C101" s="315" t="s">
        <v>582</v>
      </c>
      <c r="D101" s="316" t="s">
        <v>975</v>
      </c>
      <c r="E101" s="313">
        <v>1.34</v>
      </c>
      <c r="F101" s="313" t="s">
        <v>395</v>
      </c>
      <c r="G101" s="313" t="s">
        <v>395</v>
      </c>
      <c r="H101" s="313" t="s">
        <v>395</v>
      </c>
      <c r="I101" s="313" t="s">
        <v>396</v>
      </c>
      <c r="J101" s="313">
        <v>17</v>
      </c>
      <c r="K101" s="317" t="s">
        <v>397</v>
      </c>
      <c r="L101" s="317">
        <v>46.654794000000003</v>
      </c>
      <c r="M101" s="317">
        <v>41.506208000000001</v>
      </c>
    </row>
    <row r="102" spans="1:13" ht="60" hidden="1" x14ac:dyDescent="0.25">
      <c r="A102" s="313">
        <f t="shared" si="1"/>
        <v>101</v>
      </c>
      <c r="B102" s="314" t="s">
        <v>978</v>
      </c>
      <c r="C102" s="315" t="s">
        <v>447</v>
      </c>
      <c r="D102" s="316" t="s">
        <v>979</v>
      </c>
      <c r="E102" s="313">
        <v>1.68</v>
      </c>
      <c r="F102" s="313" t="s">
        <v>395</v>
      </c>
      <c r="G102" s="313" t="s">
        <v>395</v>
      </c>
      <c r="H102" s="313" t="s">
        <v>395</v>
      </c>
      <c r="I102" s="313" t="s">
        <v>396</v>
      </c>
      <c r="J102" s="313">
        <v>34</v>
      </c>
      <c r="K102" s="317" t="s">
        <v>397</v>
      </c>
      <c r="L102" s="317">
        <v>46.408994</v>
      </c>
      <c r="M102" s="317">
        <v>41.274135000000001</v>
      </c>
    </row>
    <row r="103" spans="1:13" hidden="1" x14ac:dyDescent="0.25">
      <c r="A103" s="313">
        <f t="shared" si="1"/>
        <v>102</v>
      </c>
      <c r="B103" s="314" t="s">
        <v>982</v>
      </c>
      <c r="C103" s="315" t="s">
        <v>672</v>
      </c>
      <c r="D103" s="316" t="s">
        <v>983</v>
      </c>
      <c r="E103" s="313">
        <v>2.82</v>
      </c>
      <c r="F103" s="313" t="s">
        <v>395</v>
      </c>
      <c r="G103" s="313" t="s">
        <v>395</v>
      </c>
      <c r="H103" s="313" t="s">
        <v>395</v>
      </c>
      <c r="I103" s="313" t="s">
        <v>396</v>
      </c>
      <c r="J103" s="313">
        <v>91</v>
      </c>
      <c r="K103" s="317" t="s">
        <v>397</v>
      </c>
      <c r="L103" s="317">
        <v>46.631841999999999</v>
      </c>
      <c r="M103" s="317">
        <v>40.633208000000003</v>
      </c>
    </row>
    <row r="104" spans="1:13" ht="60" hidden="1" x14ac:dyDescent="0.25">
      <c r="A104" s="313">
        <f t="shared" si="1"/>
        <v>103</v>
      </c>
      <c r="B104" s="314" t="s">
        <v>986</v>
      </c>
      <c r="C104" s="315" t="s">
        <v>452</v>
      </c>
      <c r="D104" s="316" t="s">
        <v>987</v>
      </c>
      <c r="E104" s="313">
        <v>2.4</v>
      </c>
      <c r="F104" s="313" t="s">
        <v>395</v>
      </c>
      <c r="G104" s="313" t="s">
        <v>395</v>
      </c>
      <c r="H104" s="313" t="s">
        <v>395</v>
      </c>
      <c r="I104" s="313" t="s">
        <v>396</v>
      </c>
      <c r="J104" s="313">
        <v>70</v>
      </c>
      <c r="K104" s="317" t="s">
        <v>397</v>
      </c>
      <c r="L104" s="317">
        <v>46.832230000000003</v>
      </c>
      <c r="M104" s="317">
        <v>41.089320000000001</v>
      </c>
    </row>
    <row r="105" spans="1:13" ht="45" hidden="1" x14ac:dyDescent="0.25">
      <c r="A105" s="313">
        <f t="shared" si="1"/>
        <v>104</v>
      </c>
      <c r="B105" s="314" t="s">
        <v>990</v>
      </c>
      <c r="C105" s="315" t="s">
        <v>582</v>
      </c>
      <c r="D105" s="316" t="s">
        <v>991</v>
      </c>
      <c r="E105" s="313">
        <v>1</v>
      </c>
      <c r="F105" s="313" t="s">
        <v>395</v>
      </c>
      <c r="G105" s="313" t="s">
        <v>395</v>
      </c>
      <c r="H105" s="313" t="s">
        <v>395</v>
      </c>
      <c r="I105" s="313" t="s">
        <v>396</v>
      </c>
      <c r="J105" s="313">
        <v>0</v>
      </c>
      <c r="K105" s="317" t="s">
        <v>397</v>
      </c>
      <c r="L105" s="317">
        <v>46.626458</v>
      </c>
      <c r="M105" s="317">
        <v>41.486297999999998</v>
      </c>
    </row>
    <row r="106" spans="1:13" ht="75" hidden="1" x14ac:dyDescent="0.25">
      <c r="A106" s="313">
        <f t="shared" si="1"/>
        <v>105</v>
      </c>
      <c r="B106" s="314" t="s">
        <v>994</v>
      </c>
      <c r="C106" s="315" t="s">
        <v>428</v>
      </c>
      <c r="D106" s="316" t="s">
        <v>995</v>
      </c>
      <c r="E106" s="313">
        <v>1.1399999999999999</v>
      </c>
      <c r="F106" s="313" t="s">
        <v>395</v>
      </c>
      <c r="G106" s="313" t="s">
        <v>395</v>
      </c>
      <c r="H106" s="313" t="s">
        <v>395</v>
      </c>
      <c r="I106" s="313" t="s">
        <v>396</v>
      </c>
      <c r="J106" s="313">
        <v>7</v>
      </c>
      <c r="K106" s="317" t="s">
        <v>397</v>
      </c>
      <c r="L106" s="317">
        <v>46.538856000000003</v>
      </c>
      <c r="M106" s="317">
        <v>41.629038999999999</v>
      </c>
    </row>
    <row r="107" spans="1:13" ht="45" hidden="1" x14ac:dyDescent="0.25">
      <c r="A107" s="313">
        <f t="shared" si="1"/>
        <v>106</v>
      </c>
      <c r="B107" s="314" t="s">
        <v>998</v>
      </c>
      <c r="C107" s="315" t="s">
        <v>412</v>
      </c>
      <c r="D107" s="316" t="s">
        <v>999</v>
      </c>
      <c r="E107" s="313">
        <v>3.28</v>
      </c>
      <c r="F107" s="313" t="s">
        <v>395</v>
      </c>
      <c r="G107" s="313" t="s">
        <v>395</v>
      </c>
      <c r="H107" s="313" t="s">
        <v>395</v>
      </c>
      <c r="I107" s="313" t="s">
        <v>396</v>
      </c>
      <c r="J107" s="313">
        <v>114</v>
      </c>
      <c r="K107" s="317" t="s">
        <v>397</v>
      </c>
      <c r="L107" s="317">
        <v>46.398333000000001</v>
      </c>
      <c r="M107" s="317">
        <v>40.420833000000002</v>
      </c>
    </row>
    <row r="108" spans="1:13" ht="75" hidden="1" x14ac:dyDescent="0.25">
      <c r="A108" s="313">
        <f t="shared" si="1"/>
        <v>107</v>
      </c>
      <c r="B108" s="314" t="s">
        <v>1002</v>
      </c>
      <c r="C108" s="315" t="s">
        <v>428</v>
      </c>
      <c r="D108" s="316" t="s">
        <v>1003</v>
      </c>
      <c r="E108" s="313">
        <v>2.1</v>
      </c>
      <c r="F108" s="313" t="s">
        <v>395</v>
      </c>
      <c r="G108" s="313" t="s">
        <v>395</v>
      </c>
      <c r="H108" s="313" t="s">
        <v>395</v>
      </c>
      <c r="I108" s="313" t="s">
        <v>396</v>
      </c>
      <c r="J108" s="313">
        <v>55</v>
      </c>
      <c r="K108" s="317" t="s">
        <v>397</v>
      </c>
      <c r="L108" s="317">
        <v>46.537804999999999</v>
      </c>
      <c r="M108" s="317">
        <v>40.981271</v>
      </c>
    </row>
    <row r="109" spans="1:13" ht="75" hidden="1" x14ac:dyDescent="0.25">
      <c r="A109" s="313">
        <f t="shared" si="1"/>
        <v>108</v>
      </c>
      <c r="B109" s="314" t="s">
        <v>1006</v>
      </c>
      <c r="C109" s="315" t="s">
        <v>428</v>
      </c>
      <c r="D109" s="316" t="s">
        <v>1007</v>
      </c>
      <c r="E109" s="313">
        <v>1.42</v>
      </c>
      <c r="F109" s="313" t="s">
        <v>395</v>
      </c>
      <c r="G109" s="313" t="s">
        <v>395</v>
      </c>
      <c r="H109" s="313" t="s">
        <v>395</v>
      </c>
      <c r="I109" s="313" t="s">
        <v>396</v>
      </c>
      <c r="J109" s="313">
        <v>21</v>
      </c>
      <c r="K109" s="317" t="s">
        <v>397</v>
      </c>
      <c r="L109" s="317">
        <v>46.447870000000002</v>
      </c>
      <c r="M109" s="317">
        <v>41.382092999999998</v>
      </c>
    </row>
    <row r="110" spans="1:13" ht="45" hidden="1" x14ac:dyDescent="0.25">
      <c r="A110" s="313">
        <f t="shared" si="1"/>
        <v>109</v>
      </c>
      <c r="B110" s="314" t="s">
        <v>1010</v>
      </c>
      <c r="C110" s="315" t="s">
        <v>582</v>
      </c>
      <c r="D110" s="316" t="s">
        <v>1011</v>
      </c>
      <c r="E110" s="313">
        <v>2.68</v>
      </c>
      <c r="F110" s="313" t="s">
        <v>395</v>
      </c>
      <c r="G110" s="313" t="s">
        <v>395</v>
      </c>
      <c r="H110" s="313" t="s">
        <v>395</v>
      </c>
      <c r="I110" s="313" t="s">
        <v>396</v>
      </c>
      <c r="J110" s="313">
        <v>84</v>
      </c>
      <c r="K110" s="317" t="s">
        <v>397</v>
      </c>
      <c r="L110" s="317">
        <v>46.950589999999998</v>
      </c>
      <c r="M110" s="317">
        <v>42.231290000000001</v>
      </c>
    </row>
    <row r="111" spans="1:13" ht="30" hidden="1" x14ac:dyDescent="0.25">
      <c r="A111" s="313">
        <f t="shared" si="1"/>
        <v>110</v>
      </c>
      <c r="B111" s="314" t="s">
        <v>1014</v>
      </c>
      <c r="C111" s="315" t="s">
        <v>399</v>
      </c>
      <c r="D111" s="316" t="s">
        <v>1015</v>
      </c>
      <c r="E111" s="313">
        <v>1.08</v>
      </c>
      <c r="F111" s="313" t="s">
        <v>395</v>
      </c>
      <c r="G111" s="313" t="s">
        <v>395</v>
      </c>
      <c r="H111" s="313" t="s">
        <v>395</v>
      </c>
      <c r="I111" s="313" t="s">
        <v>1016</v>
      </c>
      <c r="J111" s="313">
        <v>4</v>
      </c>
      <c r="K111" s="317" t="s">
        <v>397</v>
      </c>
      <c r="L111" s="317">
        <v>47.215389000000002</v>
      </c>
      <c r="M111" s="317">
        <v>38.928083000000001</v>
      </c>
    </row>
    <row r="112" spans="1:13" ht="45" hidden="1" x14ac:dyDescent="0.25">
      <c r="A112" s="313">
        <f t="shared" si="1"/>
        <v>111</v>
      </c>
      <c r="B112" s="314" t="s">
        <v>1019</v>
      </c>
      <c r="C112" s="315" t="s">
        <v>393</v>
      </c>
      <c r="D112" s="316" t="s">
        <v>1020</v>
      </c>
      <c r="E112" s="313">
        <v>1.1000000000000001</v>
      </c>
      <c r="F112" s="313" t="s">
        <v>395</v>
      </c>
      <c r="G112" s="313" t="s">
        <v>395</v>
      </c>
      <c r="H112" s="313" t="s">
        <v>395</v>
      </c>
      <c r="I112" s="313" t="s">
        <v>1016</v>
      </c>
      <c r="J112" s="313">
        <v>5</v>
      </c>
      <c r="K112" s="317" t="s">
        <v>397</v>
      </c>
      <c r="L112" s="317">
        <v>47.247694000000003</v>
      </c>
      <c r="M112" s="317">
        <v>38.884444000000002</v>
      </c>
    </row>
    <row r="113" spans="1:13" ht="45" hidden="1" x14ac:dyDescent="0.25">
      <c r="A113" s="313">
        <f t="shared" si="1"/>
        <v>112</v>
      </c>
      <c r="B113" s="314" t="s">
        <v>1021</v>
      </c>
      <c r="C113" s="315" t="s">
        <v>393</v>
      </c>
      <c r="D113" s="316" t="s">
        <v>1023</v>
      </c>
      <c r="E113" s="313">
        <v>1.1599999999999999</v>
      </c>
      <c r="F113" s="313" t="s">
        <v>395</v>
      </c>
      <c r="G113" s="313" t="s">
        <v>395</v>
      </c>
      <c r="H113" s="313" t="s">
        <v>395</v>
      </c>
      <c r="I113" s="313" t="s">
        <v>1016</v>
      </c>
      <c r="J113" s="313">
        <v>8</v>
      </c>
      <c r="K113" s="317" t="s">
        <v>397</v>
      </c>
      <c r="L113" s="317">
        <v>47.22175</v>
      </c>
      <c r="M113" s="317">
        <v>38.863500000000002</v>
      </c>
    </row>
    <row r="114" spans="1:13" ht="45" hidden="1" x14ac:dyDescent="0.25">
      <c r="A114" s="313">
        <f t="shared" si="1"/>
        <v>113</v>
      </c>
      <c r="B114" s="314" t="s">
        <v>1025</v>
      </c>
      <c r="C114" s="315" t="s">
        <v>393</v>
      </c>
      <c r="D114" s="316" t="s">
        <v>1027</v>
      </c>
      <c r="E114" s="313">
        <v>1.1399999999999999</v>
      </c>
      <c r="F114" s="313" t="s">
        <v>395</v>
      </c>
      <c r="G114" s="313" t="s">
        <v>395</v>
      </c>
      <c r="H114" s="313" t="s">
        <v>395</v>
      </c>
      <c r="I114" s="313" t="s">
        <v>1016</v>
      </c>
      <c r="J114" s="313">
        <v>7</v>
      </c>
      <c r="K114" s="317" t="s">
        <v>397</v>
      </c>
      <c r="L114" s="317">
        <v>47.204444000000002</v>
      </c>
      <c r="M114" s="317">
        <v>38.887222000000001</v>
      </c>
    </row>
    <row r="115" spans="1:13" ht="45" hidden="1" x14ac:dyDescent="0.25">
      <c r="A115" s="313">
        <f t="shared" si="1"/>
        <v>114</v>
      </c>
      <c r="B115" s="314" t="s">
        <v>1029</v>
      </c>
      <c r="C115" s="315" t="s">
        <v>393</v>
      </c>
      <c r="D115" s="316" t="s">
        <v>1032</v>
      </c>
      <c r="E115" s="313">
        <v>1.1200000000000001</v>
      </c>
      <c r="F115" s="313" t="s">
        <v>395</v>
      </c>
      <c r="G115" s="313" t="s">
        <v>395</v>
      </c>
      <c r="H115" s="313" t="s">
        <v>395</v>
      </c>
      <c r="I115" s="313" t="s">
        <v>1016</v>
      </c>
      <c r="J115" s="313">
        <v>6</v>
      </c>
      <c r="K115" s="317" t="s">
        <v>397</v>
      </c>
      <c r="L115" s="317">
        <v>47.201971999999998</v>
      </c>
      <c r="M115" s="317">
        <v>38.935749999999999</v>
      </c>
    </row>
    <row r="116" spans="1:13" ht="45" hidden="1" x14ac:dyDescent="0.25">
      <c r="A116" s="313">
        <f t="shared" si="1"/>
        <v>115</v>
      </c>
      <c r="B116" s="314" t="s">
        <v>1034</v>
      </c>
      <c r="C116" s="315" t="s">
        <v>393</v>
      </c>
      <c r="D116" s="316" t="s">
        <v>1036</v>
      </c>
      <c r="E116" s="313">
        <v>1.08</v>
      </c>
      <c r="F116" s="313" t="s">
        <v>395</v>
      </c>
      <c r="G116" s="313" t="s">
        <v>395</v>
      </c>
      <c r="H116" s="313" t="s">
        <v>395</v>
      </c>
      <c r="I116" s="313" t="s">
        <v>1016</v>
      </c>
      <c r="J116" s="313">
        <v>4</v>
      </c>
      <c r="K116" s="317" t="s">
        <v>397</v>
      </c>
      <c r="L116" s="317">
        <v>47.220832999999999</v>
      </c>
      <c r="M116" s="317">
        <v>38.907860999999997</v>
      </c>
    </row>
    <row r="117" spans="1:13" ht="30" hidden="1" x14ac:dyDescent="0.25">
      <c r="A117" s="313">
        <f t="shared" si="1"/>
        <v>116</v>
      </c>
      <c r="B117" s="314" t="s">
        <v>1038</v>
      </c>
      <c r="C117" s="315" t="s">
        <v>399</v>
      </c>
      <c r="D117" s="316" t="s">
        <v>1040</v>
      </c>
      <c r="E117" s="313">
        <v>1.02</v>
      </c>
      <c r="F117" s="313" t="s">
        <v>395</v>
      </c>
      <c r="G117" s="313" t="s">
        <v>395</v>
      </c>
      <c r="H117" s="313" t="s">
        <v>395</v>
      </c>
      <c r="I117" s="313" t="s">
        <v>1016</v>
      </c>
      <c r="J117" s="313">
        <v>1</v>
      </c>
      <c r="K117" s="317" t="s">
        <v>397</v>
      </c>
      <c r="L117" s="317">
        <v>47.250194</v>
      </c>
      <c r="M117" s="317">
        <v>38.917166999999999</v>
      </c>
    </row>
    <row r="118" spans="1:13" ht="30" hidden="1" x14ac:dyDescent="0.25">
      <c r="A118" s="313">
        <f t="shared" si="1"/>
        <v>117</v>
      </c>
      <c r="B118" s="314" t="s">
        <v>1041</v>
      </c>
      <c r="C118" s="315" t="s">
        <v>399</v>
      </c>
      <c r="D118" s="316" t="s">
        <v>1043</v>
      </c>
      <c r="E118" s="313">
        <v>1.1200000000000001</v>
      </c>
      <c r="F118" s="313" t="s">
        <v>395</v>
      </c>
      <c r="G118" s="313" t="s">
        <v>395</v>
      </c>
      <c r="H118" s="313" t="s">
        <v>395</v>
      </c>
      <c r="I118" s="313" t="s">
        <v>1016</v>
      </c>
      <c r="J118" s="313">
        <v>6</v>
      </c>
      <c r="K118" s="317" t="s">
        <v>397</v>
      </c>
      <c r="L118" s="317">
        <v>47.262028000000001</v>
      </c>
      <c r="M118" s="317">
        <v>38.910556</v>
      </c>
    </row>
    <row r="119" spans="1:13" ht="45" hidden="1" x14ac:dyDescent="0.25">
      <c r="A119" s="313">
        <f t="shared" si="1"/>
        <v>118</v>
      </c>
      <c r="B119" s="314" t="s">
        <v>1045</v>
      </c>
      <c r="C119" s="315" t="s">
        <v>393</v>
      </c>
      <c r="D119" s="316" t="s">
        <v>1047</v>
      </c>
      <c r="E119" s="313">
        <v>1.1000000000000001</v>
      </c>
      <c r="F119" s="313" t="s">
        <v>395</v>
      </c>
      <c r="G119" s="313" t="s">
        <v>395</v>
      </c>
      <c r="H119" s="313" t="s">
        <v>395</v>
      </c>
      <c r="I119" s="313" t="s">
        <v>1016</v>
      </c>
      <c r="J119" s="313">
        <v>5</v>
      </c>
      <c r="K119" s="317" t="s">
        <v>397</v>
      </c>
      <c r="L119" s="317">
        <v>47.273721999999999</v>
      </c>
      <c r="M119" s="317">
        <v>38.929222000000003</v>
      </c>
    </row>
    <row r="120" spans="1:13" ht="45" hidden="1" x14ac:dyDescent="0.25">
      <c r="A120" s="313">
        <f t="shared" si="1"/>
        <v>119</v>
      </c>
      <c r="B120" s="314" t="s">
        <v>1049</v>
      </c>
      <c r="C120" s="315" t="s">
        <v>393</v>
      </c>
      <c r="D120" s="316" t="s">
        <v>1051</v>
      </c>
      <c r="E120" s="313">
        <v>1.1000000000000001</v>
      </c>
      <c r="F120" s="313" t="s">
        <v>395</v>
      </c>
      <c r="G120" s="313" t="s">
        <v>395</v>
      </c>
      <c r="H120" s="313" t="s">
        <v>395</v>
      </c>
      <c r="I120" s="313" t="s">
        <v>1016</v>
      </c>
      <c r="J120" s="313">
        <v>5</v>
      </c>
      <c r="K120" s="317" t="s">
        <v>397</v>
      </c>
      <c r="L120" s="317">
        <v>47.231749999999998</v>
      </c>
      <c r="M120" s="317">
        <v>38.895277999999998</v>
      </c>
    </row>
    <row r="121" spans="1:13" ht="45" hidden="1" x14ac:dyDescent="0.25">
      <c r="A121" s="313">
        <f t="shared" si="1"/>
        <v>120</v>
      </c>
      <c r="B121" s="314" t="s">
        <v>1053</v>
      </c>
      <c r="C121" s="315" t="s">
        <v>393</v>
      </c>
      <c r="D121" s="316" t="s">
        <v>1055</v>
      </c>
      <c r="E121" s="313">
        <v>1.1000000000000001</v>
      </c>
      <c r="F121" s="313" t="s">
        <v>395</v>
      </c>
      <c r="G121" s="313" t="s">
        <v>395</v>
      </c>
      <c r="H121" s="313" t="s">
        <v>395</v>
      </c>
      <c r="I121" s="313" t="s">
        <v>1016</v>
      </c>
      <c r="J121" s="313">
        <v>5</v>
      </c>
      <c r="K121" s="317" t="s">
        <v>397</v>
      </c>
      <c r="L121" s="317">
        <v>47.209639000000003</v>
      </c>
      <c r="M121" s="317">
        <v>38.939028</v>
      </c>
    </row>
    <row r="122" spans="1:13" ht="75" hidden="1" x14ac:dyDescent="0.25">
      <c r="A122" s="313">
        <f t="shared" si="1"/>
        <v>121</v>
      </c>
      <c r="B122" s="314" t="s">
        <v>1057</v>
      </c>
      <c r="C122" s="315" t="s">
        <v>428</v>
      </c>
      <c r="D122" s="316" t="s">
        <v>1059</v>
      </c>
      <c r="E122" s="313">
        <v>1.1200000000000001</v>
      </c>
      <c r="F122" s="313" t="s">
        <v>395</v>
      </c>
      <c r="G122" s="313" t="s">
        <v>395</v>
      </c>
      <c r="H122" s="313" t="s">
        <v>395</v>
      </c>
      <c r="I122" s="313" t="s">
        <v>1016</v>
      </c>
      <c r="J122" s="313">
        <v>6</v>
      </c>
      <c r="K122" s="317" t="s">
        <v>397</v>
      </c>
      <c r="L122" s="317">
        <v>47.215277999999998</v>
      </c>
      <c r="M122" s="317">
        <v>38.889111</v>
      </c>
    </row>
    <row r="123" spans="1:13" ht="45" hidden="1" x14ac:dyDescent="0.25">
      <c r="A123" s="313">
        <f t="shared" si="1"/>
        <v>122</v>
      </c>
      <c r="B123" s="314" t="s">
        <v>1061</v>
      </c>
      <c r="C123" s="315" t="s">
        <v>393</v>
      </c>
      <c r="D123" s="316" t="s">
        <v>1063</v>
      </c>
      <c r="E123" s="313">
        <v>1.04</v>
      </c>
      <c r="F123" s="313" t="s">
        <v>395</v>
      </c>
      <c r="G123" s="313" t="s">
        <v>395</v>
      </c>
      <c r="H123" s="313" t="s">
        <v>395</v>
      </c>
      <c r="I123" s="313" t="s">
        <v>1016</v>
      </c>
      <c r="J123" s="313">
        <v>2</v>
      </c>
      <c r="K123" s="317" t="s">
        <v>397</v>
      </c>
      <c r="L123" s="317">
        <v>47.238278000000001</v>
      </c>
      <c r="M123" s="317">
        <v>38.923333</v>
      </c>
    </row>
    <row r="124" spans="1:13" ht="45" hidden="1" x14ac:dyDescent="0.25">
      <c r="A124" s="313">
        <f t="shared" si="1"/>
        <v>123</v>
      </c>
      <c r="B124" s="314" t="s">
        <v>1065</v>
      </c>
      <c r="C124" s="315" t="s">
        <v>393</v>
      </c>
      <c r="D124" s="316" t="s">
        <v>1066</v>
      </c>
      <c r="E124" s="313">
        <v>1.1399999999999999</v>
      </c>
      <c r="F124" s="313" t="s">
        <v>395</v>
      </c>
      <c r="G124" s="313" t="s">
        <v>395</v>
      </c>
      <c r="H124" s="313" t="s">
        <v>395</v>
      </c>
      <c r="I124" s="313" t="s">
        <v>1016</v>
      </c>
      <c r="J124" s="313">
        <v>7</v>
      </c>
      <c r="K124" s="317" t="s">
        <v>397</v>
      </c>
      <c r="L124" s="317">
        <v>47.232222</v>
      </c>
      <c r="M124" s="317">
        <v>38.874333</v>
      </c>
    </row>
    <row r="125" spans="1:13" ht="75" hidden="1" x14ac:dyDescent="0.25">
      <c r="A125" s="313">
        <f t="shared" si="1"/>
        <v>124</v>
      </c>
      <c r="B125" s="314" t="s">
        <v>1069</v>
      </c>
      <c r="C125" s="315" t="s">
        <v>428</v>
      </c>
      <c r="D125" s="316" t="s">
        <v>1070</v>
      </c>
      <c r="E125" s="313">
        <v>1.08</v>
      </c>
      <c r="F125" s="313" t="s">
        <v>395</v>
      </c>
      <c r="G125" s="313" t="s">
        <v>395</v>
      </c>
      <c r="H125" s="313" t="s">
        <v>395</v>
      </c>
      <c r="I125" s="313" t="s">
        <v>1016</v>
      </c>
      <c r="J125" s="313">
        <v>4</v>
      </c>
      <c r="K125" s="317" t="s">
        <v>397</v>
      </c>
      <c r="L125" s="317">
        <v>47.214027999999999</v>
      </c>
      <c r="M125" s="317">
        <v>38.918944000000003</v>
      </c>
    </row>
    <row r="126" spans="1:13" ht="75" hidden="1" x14ac:dyDescent="0.25">
      <c r="A126" s="313">
        <f t="shared" si="1"/>
        <v>125</v>
      </c>
      <c r="B126" s="314" t="s">
        <v>1073</v>
      </c>
      <c r="C126" s="315" t="s">
        <v>428</v>
      </c>
      <c r="D126" s="316" t="s">
        <v>1074</v>
      </c>
      <c r="E126" s="313">
        <v>1.34</v>
      </c>
      <c r="F126" s="313" t="s">
        <v>395</v>
      </c>
      <c r="G126" s="313" t="s">
        <v>395</v>
      </c>
      <c r="H126" s="313" t="s">
        <v>395</v>
      </c>
      <c r="I126" s="313" t="s">
        <v>1016</v>
      </c>
      <c r="J126" s="313">
        <v>17</v>
      </c>
      <c r="K126" s="317" t="s">
        <v>397</v>
      </c>
      <c r="L126" s="317">
        <v>47.242083000000001</v>
      </c>
      <c r="M126" s="317">
        <v>38.801278000000003</v>
      </c>
    </row>
    <row r="127" spans="1:13" ht="45" hidden="1" x14ac:dyDescent="0.25">
      <c r="A127" s="313">
        <f t="shared" si="1"/>
        <v>126</v>
      </c>
      <c r="B127" s="314" t="s">
        <v>1077</v>
      </c>
      <c r="C127" s="315" t="s">
        <v>412</v>
      </c>
      <c r="D127" s="316" t="s">
        <v>1078</v>
      </c>
      <c r="E127" s="313">
        <v>1.1200000000000001</v>
      </c>
      <c r="F127" s="313" t="s">
        <v>395</v>
      </c>
      <c r="G127" s="313" t="s">
        <v>395</v>
      </c>
      <c r="H127" s="313" t="s">
        <v>395</v>
      </c>
      <c r="I127" s="313" t="s">
        <v>1016</v>
      </c>
      <c r="J127" s="313">
        <v>6</v>
      </c>
      <c r="K127" s="317" t="s">
        <v>397</v>
      </c>
      <c r="L127" s="317">
        <v>47.279389000000002</v>
      </c>
      <c r="M127" s="317">
        <v>38.903778000000003</v>
      </c>
    </row>
    <row r="128" spans="1:13" ht="75" hidden="1" x14ac:dyDescent="0.25">
      <c r="A128" s="313">
        <f t="shared" si="1"/>
        <v>127</v>
      </c>
      <c r="B128" s="314" t="s">
        <v>1081</v>
      </c>
      <c r="C128" s="315" t="s">
        <v>428</v>
      </c>
      <c r="D128" s="316" t="s">
        <v>1083</v>
      </c>
      <c r="E128" s="313">
        <v>1.4</v>
      </c>
      <c r="F128" s="313" t="s">
        <v>395</v>
      </c>
      <c r="G128" s="313" t="s">
        <v>395</v>
      </c>
      <c r="H128" s="313" t="s">
        <v>395</v>
      </c>
      <c r="I128" s="313" t="s">
        <v>1016</v>
      </c>
      <c r="J128" s="313">
        <v>20</v>
      </c>
      <c r="K128" s="317" t="s">
        <v>397</v>
      </c>
      <c r="L128" s="317">
        <v>47.327027999999999</v>
      </c>
      <c r="M128" s="317">
        <v>39.018472000000003</v>
      </c>
    </row>
    <row r="129" spans="1:13" ht="30" hidden="1" x14ac:dyDescent="0.25">
      <c r="A129" s="313">
        <f t="shared" si="1"/>
        <v>128</v>
      </c>
      <c r="B129" s="314" t="s">
        <v>1085</v>
      </c>
      <c r="C129" s="315" t="s">
        <v>399</v>
      </c>
      <c r="D129" s="316" t="s">
        <v>1087</v>
      </c>
      <c r="E129" s="313">
        <v>1.1200000000000001</v>
      </c>
      <c r="F129" s="313" t="s">
        <v>395</v>
      </c>
      <c r="G129" s="313" t="s">
        <v>395</v>
      </c>
      <c r="H129" s="313" t="s">
        <v>395</v>
      </c>
      <c r="I129" s="313" t="s">
        <v>1016</v>
      </c>
      <c r="J129" s="313">
        <v>6</v>
      </c>
      <c r="K129" s="317" t="s">
        <v>397</v>
      </c>
      <c r="L129" s="317">
        <v>47.200277999999997</v>
      </c>
      <c r="M129" s="317">
        <v>38.907860999999997</v>
      </c>
    </row>
    <row r="130" spans="1:13" ht="75" hidden="1" x14ac:dyDescent="0.25">
      <c r="A130" s="313">
        <f t="shared" si="1"/>
        <v>129</v>
      </c>
      <c r="B130" s="314" t="s">
        <v>1089</v>
      </c>
      <c r="C130" s="315" t="s">
        <v>428</v>
      </c>
      <c r="D130" s="316" t="s">
        <v>1091</v>
      </c>
      <c r="E130" s="313">
        <v>1.2</v>
      </c>
      <c r="F130" s="313" t="s">
        <v>395</v>
      </c>
      <c r="G130" s="313" t="s">
        <v>395</v>
      </c>
      <c r="H130" s="313" t="s">
        <v>395</v>
      </c>
      <c r="I130" s="313" t="s">
        <v>1016</v>
      </c>
      <c r="J130" s="313">
        <v>10</v>
      </c>
      <c r="K130" s="317" t="s">
        <v>397</v>
      </c>
      <c r="L130" s="317">
        <v>47.211832999999999</v>
      </c>
      <c r="M130" s="317">
        <v>38.852888999999998</v>
      </c>
    </row>
    <row r="131" spans="1:13" ht="75" hidden="1" x14ac:dyDescent="0.25">
      <c r="A131" s="313">
        <f t="shared" si="1"/>
        <v>130</v>
      </c>
      <c r="B131" s="314" t="s">
        <v>1093</v>
      </c>
      <c r="C131" s="315" t="s">
        <v>428</v>
      </c>
      <c r="D131" s="316" t="s">
        <v>1095</v>
      </c>
      <c r="E131" s="313">
        <v>1.1200000000000001</v>
      </c>
      <c r="F131" s="313" t="s">
        <v>395</v>
      </c>
      <c r="G131" s="313" t="s">
        <v>395</v>
      </c>
      <c r="H131" s="313" t="s">
        <v>395</v>
      </c>
      <c r="I131" s="313" t="s">
        <v>1016</v>
      </c>
      <c r="J131" s="313">
        <v>6</v>
      </c>
      <c r="K131" s="317" t="s">
        <v>397</v>
      </c>
      <c r="L131" s="317">
        <v>47.228000000000002</v>
      </c>
      <c r="M131" s="317">
        <v>38.885139000000002</v>
      </c>
    </row>
    <row r="132" spans="1:13" ht="75" hidden="1" x14ac:dyDescent="0.25">
      <c r="A132" s="313">
        <f t="shared" ref="A132:A195" si="2">A131+1</f>
        <v>131</v>
      </c>
      <c r="B132" s="314" t="s">
        <v>1097</v>
      </c>
      <c r="C132" s="315" t="s">
        <v>428</v>
      </c>
      <c r="D132" s="316" t="s">
        <v>1099</v>
      </c>
      <c r="E132" s="313">
        <v>1.1000000000000001</v>
      </c>
      <c r="F132" s="313" t="s">
        <v>395</v>
      </c>
      <c r="G132" s="313" t="s">
        <v>395</v>
      </c>
      <c r="H132" s="313" t="s">
        <v>395</v>
      </c>
      <c r="I132" s="313" t="s">
        <v>1016</v>
      </c>
      <c r="J132" s="313">
        <v>5</v>
      </c>
      <c r="K132" s="317" t="s">
        <v>397</v>
      </c>
      <c r="L132" s="317">
        <v>47.266666999999998</v>
      </c>
      <c r="M132" s="317">
        <v>38.946944000000002</v>
      </c>
    </row>
    <row r="133" spans="1:13" ht="30" hidden="1" x14ac:dyDescent="0.25">
      <c r="A133" s="313">
        <f t="shared" si="2"/>
        <v>132</v>
      </c>
      <c r="B133" s="314" t="s">
        <v>1101</v>
      </c>
      <c r="C133" s="315" t="s">
        <v>399</v>
      </c>
      <c r="D133" s="316" t="s">
        <v>1103</v>
      </c>
      <c r="E133" s="313">
        <v>1.08</v>
      </c>
      <c r="F133" s="313" t="s">
        <v>395</v>
      </c>
      <c r="G133" s="313" t="s">
        <v>395</v>
      </c>
      <c r="H133" s="313" t="s">
        <v>395</v>
      </c>
      <c r="I133" s="313" t="s">
        <v>1016</v>
      </c>
      <c r="J133" s="313">
        <v>4</v>
      </c>
      <c r="K133" s="317" t="s">
        <v>397</v>
      </c>
      <c r="L133" s="317">
        <v>47.221944000000001</v>
      </c>
      <c r="M133" s="317">
        <v>38.923222000000003</v>
      </c>
    </row>
    <row r="134" spans="1:13" ht="75" hidden="1" x14ac:dyDescent="0.25">
      <c r="A134" s="313">
        <f t="shared" si="2"/>
        <v>133</v>
      </c>
      <c r="B134" s="314" t="s">
        <v>1105</v>
      </c>
      <c r="C134" s="315" t="s">
        <v>428</v>
      </c>
      <c r="D134" s="316" t="s">
        <v>1107</v>
      </c>
      <c r="E134" s="313">
        <v>1.02</v>
      </c>
      <c r="F134" s="313" t="s">
        <v>395</v>
      </c>
      <c r="G134" s="313" t="s">
        <v>395</v>
      </c>
      <c r="H134" s="313" t="s">
        <v>395</v>
      </c>
      <c r="I134" s="313" t="s">
        <v>1016</v>
      </c>
      <c r="J134" s="313">
        <v>1</v>
      </c>
      <c r="K134" s="317" t="s">
        <v>397</v>
      </c>
      <c r="L134" s="317">
        <v>47.241028</v>
      </c>
      <c r="M134" s="317">
        <v>38.914999999999999</v>
      </c>
    </row>
    <row r="135" spans="1:13" ht="45" hidden="1" x14ac:dyDescent="0.25">
      <c r="A135" s="313">
        <f t="shared" si="2"/>
        <v>134</v>
      </c>
      <c r="B135" s="314" t="s">
        <v>1109</v>
      </c>
      <c r="C135" s="315" t="s">
        <v>412</v>
      </c>
      <c r="D135" s="316" t="s">
        <v>1111</v>
      </c>
      <c r="E135" s="313">
        <v>1.58</v>
      </c>
      <c r="F135" s="313" t="s">
        <v>395</v>
      </c>
      <c r="G135" s="313" t="s">
        <v>395</v>
      </c>
      <c r="H135" s="313" t="s">
        <v>395</v>
      </c>
      <c r="I135" s="313" t="s">
        <v>1016</v>
      </c>
      <c r="J135" s="313">
        <v>29</v>
      </c>
      <c r="K135" s="317" t="s">
        <v>397</v>
      </c>
      <c r="L135" s="317">
        <v>47.288612000000001</v>
      </c>
      <c r="M135" s="317">
        <v>39.059137999999997</v>
      </c>
    </row>
    <row r="136" spans="1:13" ht="75" hidden="1" x14ac:dyDescent="0.25">
      <c r="A136" s="313">
        <f t="shared" si="2"/>
        <v>135</v>
      </c>
      <c r="B136" s="314" t="s">
        <v>1113</v>
      </c>
      <c r="C136" s="315" t="s">
        <v>428</v>
      </c>
      <c r="D136" s="316" t="s">
        <v>1115</v>
      </c>
      <c r="E136" s="313">
        <v>1.8</v>
      </c>
      <c r="F136" s="313" t="s">
        <v>395</v>
      </c>
      <c r="G136" s="313" t="s">
        <v>395</v>
      </c>
      <c r="H136" s="313" t="s">
        <v>395</v>
      </c>
      <c r="I136" s="313" t="s">
        <v>1016</v>
      </c>
      <c r="J136" s="313">
        <v>40</v>
      </c>
      <c r="K136" s="317" t="s">
        <v>397</v>
      </c>
      <c r="L136" s="317">
        <v>47.171971999999997</v>
      </c>
      <c r="M136" s="317">
        <v>38.470083000000002</v>
      </c>
    </row>
    <row r="137" spans="1:13" ht="60" hidden="1" x14ac:dyDescent="0.25">
      <c r="A137" s="313">
        <f t="shared" si="2"/>
        <v>136</v>
      </c>
      <c r="B137" s="314" t="s">
        <v>1117</v>
      </c>
      <c r="C137" s="315" t="s">
        <v>452</v>
      </c>
      <c r="D137" s="316" t="s">
        <v>1119</v>
      </c>
      <c r="E137" s="313">
        <v>1.38</v>
      </c>
      <c r="F137" s="313" t="s">
        <v>395</v>
      </c>
      <c r="G137" s="313" t="s">
        <v>395</v>
      </c>
      <c r="H137" s="313" t="s">
        <v>395</v>
      </c>
      <c r="I137" s="313" t="s">
        <v>1016</v>
      </c>
      <c r="J137" s="313">
        <v>19</v>
      </c>
      <c r="K137" s="317" t="s">
        <v>397</v>
      </c>
      <c r="L137" s="317">
        <v>47.173583000000001</v>
      </c>
      <c r="M137" s="317">
        <v>38.775582999999997</v>
      </c>
    </row>
    <row r="138" spans="1:13" ht="75" hidden="1" x14ac:dyDescent="0.25">
      <c r="A138" s="313">
        <f t="shared" si="2"/>
        <v>137</v>
      </c>
      <c r="B138" s="314" t="s">
        <v>1121</v>
      </c>
      <c r="C138" s="315" t="s">
        <v>428</v>
      </c>
      <c r="D138" s="316" t="s">
        <v>1124</v>
      </c>
      <c r="E138" s="313">
        <v>1.1200000000000001</v>
      </c>
      <c r="F138" s="313" t="s">
        <v>395</v>
      </c>
      <c r="G138" s="313" t="s">
        <v>395</v>
      </c>
      <c r="H138" s="313" t="s">
        <v>395</v>
      </c>
      <c r="I138" s="313" t="s">
        <v>1016</v>
      </c>
      <c r="J138" s="313">
        <v>6</v>
      </c>
      <c r="K138" s="317" t="s">
        <v>397</v>
      </c>
      <c r="L138" s="317">
        <v>47.206972</v>
      </c>
      <c r="M138" s="317">
        <v>38.895972</v>
      </c>
    </row>
    <row r="139" spans="1:13" ht="60" hidden="1" x14ac:dyDescent="0.25">
      <c r="A139" s="313">
        <f t="shared" si="2"/>
        <v>138</v>
      </c>
      <c r="B139" s="314" t="s">
        <v>1126</v>
      </c>
      <c r="C139" s="315" t="s">
        <v>408</v>
      </c>
      <c r="D139" s="316" t="s">
        <v>1128</v>
      </c>
      <c r="E139" s="313">
        <v>1.08</v>
      </c>
      <c r="F139" s="313" t="s">
        <v>395</v>
      </c>
      <c r="G139" s="313" t="s">
        <v>395</v>
      </c>
      <c r="H139" s="313" t="s">
        <v>395</v>
      </c>
      <c r="I139" s="313" t="s">
        <v>1016</v>
      </c>
      <c r="J139" s="313">
        <v>4</v>
      </c>
      <c r="K139" s="317" t="s">
        <v>397</v>
      </c>
      <c r="L139" s="317">
        <v>47.213721999999997</v>
      </c>
      <c r="M139" s="317">
        <v>38.909444000000001</v>
      </c>
    </row>
    <row r="140" spans="1:13" ht="30" hidden="1" x14ac:dyDescent="0.25">
      <c r="A140" s="313">
        <f t="shared" si="2"/>
        <v>139</v>
      </c>
      <c r="B140" s="314" t="s">
        <v>1130</v>
      </c>
      <c r="C140" s="315" t="s">
        <v>399</v>
      </c>
      <c r="D140" s="316" t="s">
        <v>1132</v>
      </c>
      <c r="E140" s="313">
        <v>1.1000000000000001</v>
      </c>
      <c r="F140" s="313" t="s">
        <v>395</v>
      </c>
      <c r="G140" s="313" t="s">
        <v>395</v>
      </c>
      <c r="H140" s="313" t="s">
        <v>395</v>
      </c>
      <c r="I140" s="313" t="s">
        <v>1016</v>
      </c>
      <c r="J140" s="313">
        <v>5</v>
      </c>
      <c r="K140" s="317" t="s">
        <v>397</v>
      </c>
      <c r="L140" s="317">
        <v>47.206693999999999</v>
      </c>
      <c r="M140" s="317">
        <v>38.929000000000002</v>
      </c>
    </row>
    <row r="141" spans="1:13" ht="45" hidden="1" x14ac:dyDescent="0.25">
      <c r="A141" s="313">
        <f t="shared" si="2"/>
        <v>140</v>
      </c>
      <c r="B141" s="314" t="s">
        <v>1134</v>
      </c>
      <c r="C141" s="315" t="s">
        <v>393</v>
      </c>
      <c r="D141" s="316" t="s">
        <v>1136</v>
      </c>
      <c r="E141" s="313">
        <v>1.1599999999999999</v>
      </c>
      <c r="F141" s="313" t="s">
        <v>395</v>
      </c>
      <c r="G141" s="313" t="s">
        <v>395</v>
      </c>
      <c r="H141" s="313" t="s">
        <v>395</v>
      </c>
      <c r="I141" s="313" t="s">
        <v>1016</v>
      </c>
      <c r="J141" s="313">
        <v>8</v>
      </c>
      <c r="K141" s="317" t="s">
        <v>397</v>
      </c>
      <c r="L141" s="317">
        <v>47.215083</v>
      </c>
      <c r="M141" s="317">
        <v>38.871305999999997</v>
      </c>
    </row>
    <row r="142" spans="1:13" ht="75" hidden="1" x14ac:dyDescent="0.25">
      <c r="A142" s="313">
        <f t="shared" si="2"/>
        <v>141</v>
      </c>
      <c r="B142" s="314" t="s">
        <v>1138</v>
      </c>
      <c r="C142" s="315" t="s">
        <v>428</v>
      </c>
      <c r="D142" s="316" t="s">
        <v>1140</v>
      </c>
      <c r="E142" s="313">
        <v>1.08</v>
      </c>
      <c r="F142" s="313" t="s">
        <v>395</v>
      </c>
      <c r="G142" s="313" t="s">
        <v>395</v>
      </c>
      <c r="H142" s="313" t="s">
        <v>395</v>
      </c>
      <c r="I142" s="313" t="s">
        <v>1016</v>
      </c>
      <c r="J142" s="313">
        <v>4</v>
      </c>
      <c r="K142" s="317" t="s">
        <v>397</v>
      </c>
      <c r="L142" s="317">
        <v>47.238858999999998</v>
      </c>
      <c r="M142" s="317">
        <v>38.890224000000003</v>
      </c>
    </row>
    <row r="143" spans="1:13" ht="75" hidden="1" x14ac:dyDescent="0.25">
      <c r="A143" s="313">
        <f t="shared" si="2"/>
        <v>142</v>
      </c>
      <c r="B143" s="314" t="s">
        <v>1142</v>
      </c>
      <c r="C143" s="315" t="s">
        <v>428</v>
      </c>
      <c r="D143" s="316" t="s">
        <v>1144</v>
      </c>
      <c r="E143" s="313">
        <v>1.1399999999999999</v>
      </c>
      <c r="F143" s="313" t="s">
        <v>395</v>
      </c>
      <c r="G143" s="313" t="s">
        <v>395</v>
      </c>
      <c r="H143" s="313" t="s">
        <v>395</v>
      </c>
      <c r="I143" s="313" t="s">
        <v>1016</v>
      </c>
      <c r="J143" s="313">
        <v>7</v>
      </c>
      <c r="K143" s="317" t="s">
        <v>397</v>
      </c>
      <c r="L143" s="317">
        <v>47.261499999999998</v>
      </c>
      <c r="M143" s="317">
        <v>38.895305999999998</v>
      </c>
    </row>
    <row r="144" spans="1:13" ht="75" hidden="1" x14ac:dyDescent="0.25">
      <c r="A144" s="313">
        <f t="shared" si="2"/>
        <v>143</v>
      </c>
      <c r="B144" s="314" t="s">
        <v>1147</v>
      </c>
      <c r="C144" s="315" t="s">
        <v>428</v>
      </c>
      <c r="D144" s="316" t="s">
        <v>1148</v>
      </c>
      <c r="E144" s="313">
        <v>1.1200000000000001</v>
      </c>
      <c r="F144" s="313" t="s">
        <v>395</v>
      </c>
      <c r="G144" s="313" t="s">
        <v>395</v>
      </c>
      <c r="H144" s="313" t="s">
        <v>395</v>
      </c>
      <c r="I144" s="313" t="s">
        <v>1016</v>
      </c>
      <c r="J144" s="313">
        <v>6</v>
      </c>
      <c r="K144" s="317" t="s">
        <v>397</v>
      </c>
      <c r="L144" s="317">
        <v>47.268943999999998</v>
      </c>
      <c r="M144" s="317">
        <v>38.902388999999999</v>
      </c>
    </row>
    <row r="145" spans="1:13" ht="75" hidden="1" x14ac:dyDescent="0.25">
      <c r="A145" s="313">
        <f t="shared" si="2"/>
        <v>144</v>
      </c>
      <c r="B145" s="314" t="s">
        <v>1151</v>
      </c>
      <c r="C145" s="315" t="s">
        <v>428</v>
      </c>
      <c r="D145" s="316" t="s">
        <v>1152</v>
      </c>
      <c r="E145" s="313">
        <v>1.34</v>
      </c>
      <c r="F145" s="313" t="s">
        <v>395</v>
      </c>
      <c r="G145" s="313" t="s">
        <v>395</v>
      </c>
      <c r="H145" s="313" t="s">
        <v>395</v>
      </c>
      <c r="I145" s="313" t="s">
        <v>1016</v>
      </c>
      <c r="J145" s="313">
        <v>17</v>
      </c>
      <c r="K145" s="317" t="s">
        <v>397</v>
      </c>
      <c r="L145" s="317">
        <v>47.186306000000002</v>
      </c>
      <c r="M145" s="317">
        <v>38.839472000000001</v>
      </c>
    </row>
    <row r="146" spans="1:13" ht="75" hidden="1" x14ac:dyDescent="0.25">
      <c r="A146" s="313">
        <f t="shared" si="2"/>
        <v>145</v>
      </c>
      <c r="B146" s="314" t="s">
        <v>1154</v>
      </c>
      <c r="C146" s="315" t="s">
        <v>428</v>
      </c>
      <c r="D146" s="316" t="s">
        <v>1156</v>
      </c>
      <c r="E146" s="313">
        <v>1.06</v>
      </c>
      <c r="F146" s="313" t="s">
        <v>395</v>
      </c>
      <c r="G146" s="313" t="s">
        <v>395</v>
      </c>
      <c r="H146" s="313" t="s">
        <v>395</v>
      </c>
      <c r="I146" s="313" t="s">
        <v>1016</v>
      </c>
      <c r="J146" s="313">
        <v>3</v>
      </c>
      <c r="K146" s="317" t="s">
        <v>397</v>
      </c>
      <c r="L146" s="317">
        <v>47.261194000000003</v>
      </c>
      <c r="M146" s="317">
        <v>38.924111000000003</v>
      </c>
    </row>
    <row r="147" spans="1:13" ht="75" hidden="1" x14ac:dyDescent="0.25">
      <c r="A147" s="313">
        <f t="shared" si="2"/>
        <v>146</v>
      </c>
      <c r="B147" s="314" t="s">
        <v>1158</v>
      </c>
      <c r="C147" s="315" t="s">
        <v>428</v>
      </c>
      <c r="D147" s="316" t="s">
        <v>1160</v>
      </c>
      <c r="E147" s="313">
        <v>1.04</v>
      </c>
      <c r="F147" s="313" t="s">
        <v>395</v>
      </c>
      <c r="G147" s="313" t="s">
        <v>395</v>
      </c>
      <c r="H147" s="313" t="s">
        <v>395</v>
      </c>
      <c r="I147" s="313" t="s">
        <v>1016</v>
      </c>
      <c r="J147" s="313">
        <v>2</v>
      </c>
      <c r="K147" s="317" t="s">
        <v>397</v>
      </c>
      <c r="L147" s="317">
        <v>47.228278000000003</v>
      </c>
      <c r="M147" s="317">
        <v>38.912944000000003</v>
      </c>
    </row>
    <row r="148" spans="1:13" ht="75" hidden="1" x14ac:dyDescent="0.25">
      <c r="A148" s="313">
        <f t="shared" si="2"/>
        <v>147</v>
      </c>
      <c r="B148" s="314" t="s">
        <v>1162</v>
      </c>
      <c r="C148" s="315" t="s">
        <v>428</v>
      </c>
      <c r="D148" s="316" t="s">
        <v>1164</v>
      </c>
      <c r="E148" s="313">
        <v>1.1000000000000001</v>
      </c>
      <c r="F148" s="313" t="s">
        <v>395</v>
      </c>
      <c r="G148" s="313" t="s">
        <v>395</v>
      </c>
      <c r="H148" s="313" t="s">
        <v>395</v>
      </c>
      <c r="I148" s="313" t="s">
        <v>1016</v>
      </c>
      <c r="J148" s="313">
        <v>5</v>
      </c>
      <c r="K148" s="317" t="s">
        <v>397</v>
      </c>
      <c r="L148" s="317">
        <v>47.217860999999999</v>
      </c>
      <c r="M148" s="317">
        <v>38.900750000000002</v>
      </c>
    </row>
    <row r="149" spans="1:13" ht="75" hidden="1" x14ac:dyDescent="0.25">
      <c r="A149" s="313">
        <f t="shared" si="2"/>
        <v>148</v>
      </c>
      <c r="B149" s="314" t="s">
        <v>1166</v>
      </c>
      <c r="C149" s="315" t="s">
        <v>428</v>
      </c>
      <c r="D149" s="316" t="s">
        <v>1168</v>
      </c>
      <c r="E149" s="313">
        <v>1.1399999999999999</v>
      </c>
      <c r="F149" s="313" t="s">
        <v>395</v>
      </c>
      <c r="G149" s="313" t="s">
        <v>395</v>
      </c>
      <c r="H149" s="313" t="s">
        <v>395</v>
      </c>
      <c r="I149" s="313" t="s">
        <v>1016</v>
      </c>
      <c r="J149" s="313">
        <v>7</v>
      </c>
      <c r="K149" s="317" t="s">
        <v>397</v>
      </c>
      <c r="L149" s="317">
        <v>47.226444000000001</v>
      </c>
      <c r="M149" s="317">
        <v>38.862667000000002</v>
      </c>
    </row>
    <row r="150" spans="1:13" ht="45" hidden="1" x14ac:dyDescent="0.25">
      <c r="A150" s="313">
        <f t="shared" si="2"/>
        <v>149</v>
      </c>
      <c r="B150" s="314" t="s">
        <v>1170</v>
      </c>
      <c r="C150" s="315" t="s">
        <v>412</v>
      </c>
      <c r="D150" s="316" t="s">
        <v>1172</v>
      </c>
      <c r="E150" s="313">
        <v>1.1200000000000001</v>
      </c>
      <c r="F150" s="313" t="s">
        <v>395</v>
      </c>
      <c r="G150" s="313" t="s">
        <v>395</v>
      </c>
      <c r="H150" s="313" t="s">
        <v>395</v>
      </c>
      <c r="I150" s="313" t="s">
        <v>1016</v>
      </c>
      <c r="J150" s="313">
        <v>6</v>
      </c>
      <c r="K150" s="317" t="s">
        <v>397</v>
      </c>
      <c r="L150" s="317">
        <v>47.204059999999998</v>
      </c>
      <c r="M150" s="317">
        <v>38.919375000000002</v>
      </c>
    </row>
    <row r="151" spans="1:13" ht="45" hidden="1" x14ac:dyDescent="0.25">
      <c r="A151" s="313">
        <f t="shared" si="2"/>
        <v>150</v>
      </c>
      <c r="B151" s="314" t="s">
        <v>1174</v>
      </c>
      <c r="C151" s="315" t="s">
        <v>393</v>
      </c>
      <c r="D151" s="316" t="s">
        <v>1176</v>
      </c>
      <c r="E151" s="313">
        <v>1.1200000000000001</v>
      </c>
      <c r="F151" s="313" t="s">
        <v>395</v>
      </c>
      <c r="G151" s="313" t="s">
        <v>395</v>
      </c>
      <c r="H151" s="313" t="s">
        <v>395</v>
      </c>
      <c r="I151" s="313" t="s">
        <v>1016</v>
      </c>
      <c r="J151" s="313">
        <v>6</v>
      </c>
      <c r="K151" s="317" t="s">
        <v>397</v>
      </c>
      <c r="L151" s="317">
        <v>47.204028000000001</v>
      </c>
      <c r="M151" s="317">
        <v>38.943944000000002</v>
      </c>
    </row>
    <row r="152" spans="1:13" ht="45" hidden="1" x14ac:dyDescent="0.25">
      <c r="A152" s="313">
        <f t="shared" si="2"/>
        <v>151</v>
      </c>
      <c r="B152" s="314" t="s">
        <v>1178</v>
      </c>
      <c r="C152" s="315" t="s">
        <v>412</v>
      </c>
      <c r="D152" s="316" t="s">
        <v>1180</v>
      </c>
      <c r="E152" s="313">
        <v>2.34</v>
      </c>
      <c r="F152" s="313" t="s">
        <v>395</v>
      </c>
      <c r="G152" s="313" t="s">
        <v>395</v>
      </c>
      <c r="H152" s="313" t="s">
        <v>395</v>
      </c>
      <c r="I152" s="313" t="s">
        <v>1016</v>
      </c>
      <c r="J152" s="313">
        <v>67</v>
      </c>
      <c r="K152" s="317" t="s">
        <v>397</v>
      </c>
      <c r="L152" s="317">
        <v>47.491500000000002</v>
      </c>
      <c r="M152" s="317">
        <v>38.668444000000001</v>
      </c>
    </row>
    <row r="153" spans="1:13" ht="45" hidden="1" x14ac:dyDescent="0.25">
      <c r="A153" s="313">
        <f t="shared" si="2"/>
        <v>152</v>
      </c>
      <c r="B153" s="314" t="s">
        <v>1182</v>
      </c>
      <c r="C153" s="315" t="s">
        <v>412</v>
      </c>
      <c r="D153" s="316" t="s">
        <v>1184</v>
      </c>
      <c r="E153" s="313">
        <v>1.38</v>
      </c>
      <c r="F153" s="313" t="s">
        <v>395</v>
      </c>
      <c r="G153" s="313" t="s">
        <v>395</v>
      </c>
      <c r="H153" s="313" t="s">
        <v>395</v>
      </c>
      <c r="I153" s="313" t="s">
        <v>1016</v>
      </c>
      <c r="J153" s="313">
        <v>19</v>
      </c>
      <c r="K153" s="317" t="s">
        <v>397</v>
      </c>
      <c r="L153" s="317">
        <v>47.306983000000002</v>
      </c>
      <c r="M153" s="317">
        <v>39.098838999999998</v>
      </c>
    </row>
    <row r="154" spans="1:13" ht="60" hidden="1" x14ac:dyDescent="0.25">
      <c r="A154" s="313">
        <f t="shared" si="2"/>
        <v>153</v>
      </c>
      <c r="B154" s="314" t="s">
        <v>1186</v>
      </c>
      <c r="C154" s="315" t="s">
        <v>1188</v>
      </c>
      <c r="D154" s="316" t="s">
        <v>1189</v>
      </c>
      <c r="E154" s="313">
        <v>1.72</v>
      </c>
      <c r="F154" s="313" t="s">
        <v>395</v>
      </c>
      <c r="G154" s="313" t="s">
        <v>395</v>
      </c>
      <c r="H154" s="313" t="s">
        <v>395</v>
      </c>
      <c r="I154" s="313" t="s">
        <v>1016</v>
      </c>
      <c r="J154" s="313">
        <v>36</v>
      </c>
      <c r="K154" s="317" t="s">
        <v>397</v>
      </c>
      <c r="L154" s="317">
        <v>47.283082999999998</v>
      </c>
      <c r="M154" s="317">
        <v>39.295194000000002</v>
      </c>
    </row>
    <row r="155" spans="1:13" ht="45" hidden="1" x14ac:dyDescent="0.25">
      <c r="A155" s="313">
        <f t="shared" si="2"/>
        <v>154</v>
      </c>
      <c r="B155" s="314" t="s">
        <v>1191</v>
      </c>
      <c r="C155" s="315" t="s">
        <v>393</v>
      </c>
      <c r="D155" s="316" t="s">
        <v>1192</v>
      </c>
      <c r="E155" s="313">
        <v>1.04</v>
      </c>
      <c r="F155" s="313" t="s">
        <v>395</v>
      </c>
      <c r="G155" s="313" t="s">
        <v>395</v>
      </c>
      <c r="H155" s="313" t="s">
        <v>395</v>
      </c>
      <c r="I155" s="313" t="s">
        <v>1016</v>
      </c>
      <c r="J155" s="313">
        <v>2</v>
      </c>
      <c r="K155" s="317" t="s">
        <v>397</v>
      </c>
      <c r="L155" s="317">
        <v>47.250278000000002</v>
      </c>
      <c r="M155" s="317">
        <v>38.909278</v>
      </c>
    </row>
    <row r="156" spans="1:13" ht="45" hidden="1" x14ac:dyDescent="0.25">
      <c r="A156" s="313">
        <f t="shared" si="2"/>
        <v>155</v>
      </c>
      <c r="B156" s="314" t="s">
        <v>1194</v>
      </c>
      <c r="C156" s="315" t="s">
        <v>412</v>
      </c>
      <c r="D156" s="316" t="s">
        <v>1196</v>
      </c>
      <c r="E156" s="313">
        <v>1.1200000000000001</v>
      </c>
      <c r="F156" s="313" t="s">
        <v>395</v>
      </c>
      <c r="G156" s="313" t="s">
        <v>395</v>
      </c>
      <c r="H156" s="313" t="s">
        <v>395</v>
      </c>
      <c r="I156" s="313" t="s">
        <v>1016</v>
      </c>
      <c r="J156" s="313">
        <v>6</v>
      </c>
      <c r="K156" s="317" t="s">
        <v>397</v>
      </c>
      <c r="L156" s="317">
        <v>47.197944</v>
      </c>
      <c r="M156" s="317">
        <v>38.881917000000001</v>
      </c>
    </row>
    <row r="157" spans="1:13" ht="45" hidden="1" x14ac:dyDescent="0.25">
      <c r="A157" s="313">
        <f t="shared" si="2"/>
        <v>156</v>
      </c>
      <c r="B157" s="314" t="s">
        <v>1198</v>
      </c>
      <c r="C157" s="315" t="s">
        <v>412</v>
      </c>
      <c r="D157" s="316" t="s">
        <v>1200</v>
      </c>
      <c r="E157" s="313">
        <v>1.1000000000000001</v>
      </c>
      <c r="F157" s="313" t="s">
        <v>395</v>
      </c>
      <c r="G157" s="313" t="s">
        <v>395</v>
      </c>
      <c r="H157" s="313" t="s">
        <v>395</v>
      </c>
      <c r="I157" s="313" t="s">
        <v>1016</v>
      </c>
      <c r="J157" s="313">
        <v>5</v>
      </c>
      <c r="K157" s="317" t="s">
        <v>397</v>
      </c>
      <c r="L157" s="317">
        <v>47.210096</v>
      </c>
      <c r="M157" s="317">
        <v>38.920144999999998</v>
      </c>
    </row>
    <row r="158" spans="1:13" ht="75" hidden="1" x14ac:dyDescent="0.25">
      <c r="A158" s="313">
        <f t="shared" si="2"/>
        <v>157</v>
      </c>
      <c r="B158" s="314" t="s">
        <v>1202</v>
      </c>
      <c r="C158" s="315" t="s">
        <v>428</v>
      </c>
      <c r="D158" s="316" t="s">
        <v>1204</v>
      </c>
      <c r="E158" s="313">
        <v>1.1399999999999999</v>
      </c>
      <c r="F158" s="313" t="s">
        <v>395</v>
      </c>
      <c r="G158" s="313" t="s">
        <v>395</v>
      </c>
      <c r="H158" s="313" t="s">
        <v>395</v>
      </c>
      <c r="I158" s="313" t="s">
        <v>1016</v>
      </c>
      <c r="J158" s="313">
        <v>7</v>
      </c>
      <c r="K158" s="317" t="s">
        <v>397</v>
      </c>
      <c r="L158" s="317">
        <v>47.226778000000003</v>
      </c>
      <c r="M158" s="317">
        <v>38.871861000000003</v>
      </c>
    </row>
    <row r="159" spans="1:13" ht="75" hidden="1" x14ac:dyDescent="0.25">
      <c r="A159" s="313">
        <f t="shared" si="2"/>
        <v>158</v>
      </c>
      <c r="B159" s="314" t="s">
        <v>1206</v>
      </c>
      <c r="C159" s="315" t="s">
        <v>428</v>
      </c>
      <c r="D159" s="316" t="s">
        <v>1208</v>
      </c>
      <c r="E159" s="313">
        <v>1.04</v>
      </c>
      <c r="F159" s="313" t="s">
        <v>395</v>
      </c>
      <c r="G159" s="313" t="s">
        <v>395</v>
      </c>
      <c r="H159" s="313" t="s">
        <v>395</v>
      </c>
      <c r="I159" s="313" t="s">
        <v>1016</v>
      </c>
      <c r="J159" s="313">
        <v>2</v>
      </c>
      <c r="K159" s="317" t="s">
        <v>397</v>
      </c>
      <c r="L159" s="317">
        <v>47.218629</v>
      </c>
      <c r="M159" s="317">
        <v>38.918149999999997</v>
      </c>
    </row>
    <row r="160" spans="1:13" ht="75" hidden="1" x14ac:dyDescent="0.25">
      <c r="A160" s="313">
        <f t="shared" si="2"/>
        <v>159</v>
      </c>
      <c r="B160" s="314" t="s">
        <v>1210</v>
      </c>
      <c r="C160" s="315" t="s">
        <v>428</v>
      </c>
      <c r="D160" s="316" t="s">
        <v>1212</v>
      </c>
      <c r="E160" s="313">
        <v>1.24</v>
      </c>
      <c r="F160" s="313" t="s">
        <v>395</v>
      </c>
      <c r="G160" s="313" t="s">
        <v>395</v>
      </c>
      <c r="H160" s="313" t="s">
        <v>395</v>
      </c>
      <c r="I160" s="313" t="s">
        <v>1016</v>
      </c>
      <c r="J160" s="313">
        <v>12</v>
      </c>
      <c r="K160" s="317" t="s">
        <v>397</v>
      </c>
      <c r="L160" s="317">
        <v>47.287688000000003</v>
      </c>
      <c r="M160" s="317">
        <v>38.846147000000002</v>
      </c>
    </row>
    <row r="161" spans="1:13" ht="75" hidden="1" x14ac:dyDescent="0.25">
      <c r="A161" s="313">
        <f t="shared" si="2"/>
        <v>160</v>
      </c>
      <c r="B161" s="314" t="s">
        <v>1214</v>
      </c>
      <c r="C161" s="315" t="s">
        <v>428</v>
      </c>
      <c r="D161" s="316" t="s">
        <v>1216</v>
      </c>
      <c r="E161" s="313">
        <v>1.04</v>
      </c>
      <c r="F161" s="313" t="s">
        <v>395</v>
      </c>
      <c r="G161" s="313" t="s">
        <v>395</v>
      </c>
      <c r="H161" s="313" t="s">
        <v>395</v>
      </c>
      <c r="I161" s="313" t="s">
        <v>1016</v>
      </c>
      <c r="J161" s="313">
        <v>2</v>
      </c>
      <c r="K161" s="317" t="s">
        <v>397</v>
      </c>
      <c r="L161" s="317">
        <v>47.256833</v>
      </c>
      <c r="M161" s="317">
        <v>38.923056000000003</v>
      </c>
    </row>
    <row r="162" spans="1:13" ht="75" hidden="1" x14ac:dyDescent="0.25">
      <c r="A162" s="313">
        <f t="shared" si="2"/>
        <v>161</v>
      </c>
      <c r="B162" s="314" t="s">
        <v>1218</v>
      </c>
      <c r="C162" s="315" t="s">
        <v>428</v>
      </c>
      <c r="D162" s="316" t="s">
        <v>1220</v>
      </c>
      <c r="E162" s="313">
        <v>1.08</v>
      </c>
      <c r="F162" s="313" t="s">
        <v>395</v>
      </c>
      <c r="G162" s="313" t="s">
        <v>395</v>
      </c>
      <c r="H162" s="313" t="s">
        <v>395</v>
      </c>
      <c r="I162" s="313" t="s">
        <v>1016</v>
      </c>
      <c r="J162" s="313">
        <v>4</v>
      </c>
      <c r="K162" s="317" t="s">
        <v>397</v>
      </c>
      <c r="L162" s="317">
        <v>47.270888999999997</v>
      </c>
      <c r="M162" s="317">
        <v>38.919443999999999</v>
      </c>
    </row>
    <row r="163" spans="1:13" ht="45" hidden="1" x14ac:dyDescent="0.25">
      <c r="A163" s="313">
        <f t="shared" si="2"/>
        <v>162</v>
      </c>
      <c r="B163" s="314" t="s">
        <v>1223</v>
      </c>
      <c r="C163" s="315" t="s">
        <v>393</v>
      </c>
      <c r="D163" s="316" t="s">
        <v>1224</v>
      </c>
      <c r="E163" s="313">
        <v>1.1200000000000001</v>
      </c>
      <c r="F163" s="313" t="s">
        <v>395</v>
      </c>
      <c r="G163" s="313" t="s">
        <v>395</v>
      </c>
      <c r="H163" s="313" t="s">
        <v>395</v>
      </c>
      <c r="I163" s="313" t="s">
        <v>1016</v>
      </c>
      <c r="J163" s="313">
        <v>6</v>
      </c>
      <c r="K163" s="317" t="s">
        <v>397</v>
      </c>
      <c r="L163" s="317">
        <v>47.238484999999997</v>
      </c>
      <c r="M163" s="317">
        <v>38.874032</v>
      </c>
    </row>
    <row r="164" spans="1:13" ht="75" hidden="1" x14ac:dyDescent="0.25">
      <c r="A164" s="313">
        <f t="shared" si="2"/>
        <v>163</v>
      </c>
      <c r="B164" s="314" t="s">
        <v>1226</v>
      </c>
      <c r="C164" s="315" t="s">
        <v>428</v>
      </c>
      <c r="D164" s="316" t="s">
        <v>1228</v>
      </c>
      <c r="E164" s="313">
        <v>1.38</v>
      </c>
      <c r="F164" s="313" t="s">
        <v>395</v>
      </c>
      <c r="G164" s="313" t="s">
        <v>395</v>
      </c>
      <c r="H164" s="313" t="s">
        <v>395</v>
      </c>
      <c r="I164" s="313" t="s">
        <v>1016</v>
      </c>
      <c r="J164" s="313">
        <v>19</v>
      </c>
      <c r="K164" s="317" t="s">
        <v>397</v>
      </c>
      <c r="L164" s="317">
        <v>47.188028000000003</v>
      </c>
      <c r="M164" s="317">
        <v>38.860666999999999</v>
      </c>
    </row>
    <row r="165" spans="1:13" ht="75" hidden="1" x14ac:dyDescent="0.25">
      <c r="A165" s="313">
        <f t="shared" si="2"/>
        <v>164</v>
      </c>
      <c r="B165" s="314" t="s">
        <v>1231</v>
      </c>
      <c r="C165" s="315" t="s">
        <v>428</v>
      </c>
      <c r="D165" s="316" t="s">
        <v>1233</v>
      </c>
      <c r="E165" s="313">
        <v>2.08</v>
      </c>
      <c r="F165" s="313" t="s">
        <v>395</v>
      </c>
      <c r="G165" s="313" t="s">
        <v>395</v>
      </c>
      <c r="H165" s="313" t="s">
        <v>395</v>
      </c>
      <c r="I165" s="313" t="s">
        <v>1016</v>
      </c>
      <c r="J165" s="313">
        <v>54</v>
      </c>
      <c r="K165" s="317" t="s">
        <v>397</v>
      </c>
      <c r="L165" s="317">
        <v>47.153469000000001</v>
      </c>
      <c r="M165" s="317">
        <v>38.349370999999998</v>
      </c>
    </row>
    <row r="166" spans="1:13" ht="45" hidden="1" x14ac:dyDescent="0.25">
      <c r="A166" s="313">
        <f t="shared" si="2"/>
        <v>165</v>
      </c>
      <c r="B166" s="314" t="s">
        <v>1235</v>
      </c>
      <c r="C166" s="315" t="s">
        <v>412</v>
      </c>
      <c r="D166" s="316" t="s">
        <v>1236</v>
      </c>
      <c r="E166" s="313">
        <v>1.52</v>
      </c>
      <c r="F166" s="313" t="s">
        <v>395</v>
      </c>
      <c r="G166" s="313" t="s">
        <v>395</v>
      </c>
      <c r="H166" s="313" t="s">
        <v>395</v>
      </c>
      <c r="I166" s="313" t="s">
        <v>1016</v>
      </c>
      <c r="J166" s="313">
        <v>26</v>
      </c>
      <c r="K166" s="317" t="s">
        <v>397</v>
      </c>
      <c r="L166" s="317">
        <v>47.160778000000001</v>
      </c>
      <c r="M166" s="317">
        <v>38.705750000000002</v>
      </c>
    </row>
    <row r="167" spans="1:13" ht="30" hidden="1" x14ac:dyDescent="0.25">
      <c r="A167" s="313">
        <f t="shared" si="2"/>
        <v>166</v>
      </c>
      <c r="B167" s="314" t="s">
        <v>1238</v>
      </c>
      <c r="C167" s="315" t="s">
        <v>399</v>
      </c>
      <c r="D167" s="316" t="s">
        <v>1240</v>
      </c>
      <c r="E167" s="313">
        <v>1.18</v>
      </c>
      <c r="F167" s="313" t="s">
        <v>395</v>
      </c>
      <c r="G167" s="313" t="s">
        <v>395</v>
      </c>
      <c r="H167" s="313" t="s">
        <v>395</v>
      </c>
      <c r="I167" s="313" t="s">
        <v>1016</v>
      </c>
      <c r="J167" s="313">
        <v>9</v>
      </c>
      <c r="K167" s="317" t="s">
        <v>397</v>
      </c>
      <c r="L167" s="317">
        <v>47.217694000000002</v>
      </c>
      <c r="M167" s="317">
        <v>38.851778000000003</v>
      </c>
    </row>
    <row r="168" spans="1:13" ht="75" hidden="1" x14ac:dyDescent="0.25">
      <c r="A168" s="313">
        <f t="shared" si="2"/>
        <v>167</v>
      </c>
      <c r="B168" s="314" t="s">
        <v>1242</v>
      </c>
      <c r="C168" s="315" t="s">
        <v>428</v>
      </c>
      <c r="D168" s="316" t="s">
        <v>1244</v>
      </c>
      <c r="E168" s="313">
        <v>1.04</v>
      </c>
      <c r="F168" s="313" t="s">
        <v>395</v>
      </c>
      <c r="G168" s="313" t="s">
        <v>395</v>
      </c>
      <c r="H168" s="313" t="s">
        <v>395</v>
      </c>
      <c r="I168" s="313" t="s">
        <v>1016</v>
      </c>
      <c r="J168" s="313">
        <v>2</v>
      </c>
      <c r="K168" s="317" t="s">
        <v>397</v>
      </c>
      <c r="L168" s="317">
        <v>47.236666999999997</v>
      </c>
      <c r="M168" s="317">
        <v>38.902777999999998</v>
      </c>
    </row>
    <row r="169" spans="1:13" ht="60" hidden="1" x14ac:dyDescent="0.25">
      <c r="A169" s="313">
        <f t="shared" si="2"/>
        <v>168</v>
      </c>
      <c r="B169" s="314" t="s">
        <v>1246</v>
      </c>
      <c r="C169" s="315" t="s">
        <v>447</v>
      </c>
      <c r="D169" s="316" t="s">
        <v>1248</v>
      </c>
      <c r="E169" s="313">
        <v>2.02</v>
      </c>
      <c r="F169" s="313" t="s">
        <v>395</v>
      </c>
      <c r="G169" s="313" t="s">
        <v>395</v>
      </c>
      <c r="H169" s="313" t="s">
        <v>395</v>
      </c>
      <c r="I169" s="313" t="s">
        <v>1016</v>
      </c>
      <c r="J169" s="313">
        <v>51</v>
      </c>
      <c r="K169" s="317" t="s">
        <v>397</v>
      </c>
      <c r="L169" s="317">
        <v>47.331299999999999</v>
      </c>
      <c r="M169" s="317">
        <v>38.368699999999997</v>
      </c>
    </row>
    <row r="170" spans="1:13" ht="60" hidden="1" x14ac:dyDescent="0.25">
      <c r="A170" s="313">
        <f t="shared" si="2"/>
        <v>169</v>
      </c>
      <c r="B170" s="314" t="s">
        <v>1250</v>
      </c>
      <c r="C170" s="315" t="s">
        <v>452</v>
      </c>
      <c r="D170" s="316" t="s">
        <v>1252</v>
      </c>
      <c r="E170" s="313">
        <v>1.62</v>
      </c>
      <c r="F170" s="313" t="s">
        <v>395</v>
      </c>
      <c r="G170" s="313" t="s">
        <v>395</v>
      </c>
      <c r="H170" s="313" t="s">
        <v>395</v>
      </c>
      <c r="I170" s="313" t="s">
        <v>1016</v>
      </c>
      <c r="J170" s="313">
        <v>31</v>
      </c>
      <c r="K170" s="317" t="s">
        <v>397</v>
      </c>
      <c r="L170" s="317">
        <v>47.147671000000003</v>
      </c>
      <c r="M170" s="317">
        <v>38.626741000000003</v>
      </c>
    </row>
    <row r="171" spans="1:13" ht="45" hidden="1" x14ac:dyDescent="0.25">
      <c r="A171" s="313">
        <f t="shared" si="2"/>
        <v>170</v>
      </c>
      <c r="B171" s="314" t="s">
        <v>1253</v>
      </c>
      <c r="C171" s="315" t="s">
        <v>412</v>
      </c>
      <c r="D171" s="316" t="s">
        <v>1255</v>
      </c>
      <c r="E171" s="313">
        <v>2.48</v>
      </c>
      <c r="F171" s="313" t="s">
        <v>395</v>
      </c>
      <c r="G171" s="313" t="s">
        <v>395</v>
      </c>
      <c r="H171" s="313" t="s">
        <v>395</v>
      </c>
      <c r="I171" s="313" t="s">
        <v>1016</v>
      </c>
      <c r="J171" s="313">
        <v>74</v>
      </c>
      <c r="K171" s="317" t="s">
        <v>397</v>
      </c>
      <c r="L171" s="317">
        <v>47.539349999999999</v>
      </c>
      <c r="M171" s="317">
        <v>38.391190000000002</v>
      </c>
    </row>
    <row r="172" spans="1:13" ht="75" hidden="1" x14ac:dyDescent="0.25">
      <c r="A172" s="313">
        <f t="shared" si="2"/>
        <v>171</v>
      </c>
      <c r="B172" s="314" t="s">
        <v>1257</v>
      </c>
      <c r="C172" s="315" t="s">
        <v>428</v>
      </c>
      <c r="D172" s="316" t="s">
        <v>1259</v>
      </c>
      <c r="E172" s="313">
        <v>1.8</v>
      </c>
      <c r="F172" s="313" t="s">
        <v>395</v>
      </c>
      <c r="G172" s="313" t="s">
        <v>395</v>
      </c>
      <c r="H172" s="313" t="s">
        <v>395</v>
      </c>
      <c r="I172" s="313" t="s">
        <v>1016</v>
      </c>
      <c r="J172" s="313">
        <v>40</v>
      </c>
      <c r="K172" s="317" t="s">
        <v>397</v>
      </c>
      <c r="L172" s="317">
        <v>47.270485000000001</v>
      </c>
      <c r="M172" s="317">
        <v>39.346854</v>
      </c>
    </row>
    <row r="173" spans="1:13" ht="60" hidden="1" x14ac:dyDescent="0.25">
      <c r="A173" s="313">
        <f t="shared" si="2"/>
        <v>172</v>
      </c>
      <c r="B173" s="314" t="s">
        <v>1262</v>
      </c>
      <c r="C173" s="315" t="s">
        <v>452</v>
      </c>
      <c r="D173" s="316" t="s">
        <v>1264</v>
      </c>
      <c r="E173" s="313">
        <v>1.74</v>
      </c>
      <c r="F173" s="313" t="s">
        <v>395</v>
      </c>
      <c r="G173" s="313" t="s">
        <v>395</v>
      </c>
      <c r="H173" s="313" t="s">
        <v>395</v>
      </c>
      <c r="I173" s="313" t="s">
        <v>1016</v>
      </c>
      <c r="J173" s="313">
        <v>37</v>
      </c>
      <c r="K173" s="317" t="s">
        <v>397</v>
      </c>
      <c r="L173" s="317">
        <v>47.135944000000002</v>
      </c>
      <c r="M173" s="317">
        <v>38.548971999999999</v>
      </c>
    </row>
    <row r="174" spans="1:13" ht="45" hidden="1" x14ac:dyDescent="0.25">
      <c r="A174" s="313">
        <f t="shared" si="2"/>
        <v>173</v>
      </c>
      <c r="B174" s="314" t="s">
        <v>1266</v>
      </c>
      <c r="C174" s="315" t="s">
        <v>412</v>
      </c>
      <c r="D174" s="316" t="s">
        <v>1268</v>
      </c>
      <c r="E174" s="313">
        <v>2.2599999999999998</v>
      </c>
      <c r="F174" s="313" t="s">
        <v>395</v>
      </c>
      <c r="G174" s="313" t="s">
        <v>395</v>
      </c>
      <c r="H174" s="313" t="s">
        <v>395</v>
      </c>
      <c r="I174" s="313" t="s">
        <v>1016</v>
      </c>
      <c r="J174" s="313">
        <v>63</v>
      </c>
      <c r="K174" s="317" t="s">
        <v>397</v>
      </c>
      <c r="L174" s="317">
        <v>47.486275999999997</v>
      </c>
      <c r="M174" s="317">
        <v>39.431575000000002</v>
      </c>
    </row>
    <row r="175" spans="1:13" ht="45" hidden="1" x14ac:dyDescent="0.25">
      <c r="A175" s="313">
        <f t="shared" si="2"/>
        <v>174</v>
      </c>
      <c r="B175" s="314" t="s">
        <v>1270</v>
      </c>
      <c r="C175" s="315" t="s">
        <v>412</v>
      </c>
      <c r="D175" s="316" t="s">
        <v>1272</v>
      </c>
      <c r="E175" s="313">
        <v>1.96</v>
      </c>
      <c r="F175" s="313" t="s">
        <v>395</v>
      </c>
      <c r="G175" s="313" t="s">
        <v>395</v>
      </c>
      <c r="H175" s="313" t="s">
        <v>395</v>
      </c>
      <c r="I175" s="313" t="s">
        <v>1016</v>
      </c>
      <c r="J175" s="313">
        <v>48</v>
      </c>
      <c r="K175" s="317" t="s">
        <v>397</v>
      </c>
      <c r="L175" s="317">
        <v>47.283056000000002</v>
      </c>
      <c r="M175" s="317">
        <v>39.475555999999997</v>
      </c>
    </row>
    <row r="176" spans="1:13" ht="75" hidden="1" x14ac:dyDescent="0.25">
      <c r="A176" s="313">
        <f t="shared" si="2"/>
        <v>175</v>
      </c>
      <c r="B176" s="314" t="s">
        <v>1274</v>
      </c>
      <c r="C176" s="315" t="s">
        <v>428</v>
      </c>
      <c r="D176" s="316" t="s">
        <v>1276</v>
      </c>
      <c r="E176" s="313">
        <v>2.06</v>
      </c>
      <c r="F176" s="313" t="s">
        <v>395</v>
      </c>
      <c r="G176" s="313" t="s">
        <v>395</v>
      </c>
      <c r="H176" s="313" t="s">
        <v>395</v>
      </c>
      <c r="I176" s="313" t="s">
        <v>1016</v>
      </c>
      <c r="J176" s="313">
        <v>53</v>
      </c>
      <c r="K176" s="317" t="s">
        <v>397</v>
      </c>
      <c r="L176" s="317">
        <v>47.29325</v>
      </c>
      <c r="M176" s="317">
        <v>39.515777999999997</v>
      </c>
    </row>
    <row r="177" spans="1:13" ht="75" hidden="1" x14ac:dyDescent="0.25">
      <c r="A177" s="313">
        <f t="shared" si="2"/>
        <v>176</v>
      </c>
      <c r="B177" s="314" t="s">
        <v>1279</v>
      </c>
      <c r="C177" s="315" t="s">
        <v>428</v>
      </c>
      <c r="D177" s="316" t="s">
        <v>1280</v>
      </c>
      <c r="E177" s="313">
        <v>2.12</v>
      </c>
      <c r="F177" s="313" t="s">
        <v>395</v>
      </c>
      <c r="G177" s="313" t="s">
        <v>395</v>
      </c>
      <c r="H177" s="313" t="s">
        <v>395</v>
      </c>
      <c r="I177" s="313" t="s">
        <v>1016</v>
      </c>
      <c r="J177" s="313">
        <v>56</v>
      </c>
      <c r="K177" s="317" t="s">
        <v>397</v>
      </c>
      <c r="L177" s="317">
        <v>47.307971999999999</v>
      </c>
      <c r="M177" s="317">
        <v>39.502028000000003</v>
      </c>
    </row>
    <row r="178" spans="1:13" ht="45" hidden="1" x14ac:dyDescent="0.25">
      <c r="A178" s="313">
        <f t="shared" si="2"/>
        <v>177</v>
      </c>
      <c r="B178" s="314" t="s">
        <v>1283</v>
      </c>
      <c r="C178" s="315" t="s">
        <v>412</v>
      </c>
      <c r="D178" s="316" t="s">
        <v>1284</v>
      </c>
      <c r="E178" s="313">
        <v>2</v>
      </c>
      <c r="F178" s="313" t="s">
        <v>395</v>
      </c>
      <c r="G178" s="313" t="s">
        <v>395</v>
      </c>
      <c r="H178" s="313" t="s">
        <v>395</v>
      </c>
      <c r="I178" s="313" t="s">
        <v>1016</v>
      </c>
      <c r="J178" s="313">
        <v>50</v>
      </c>
      <c r="K178" s="317" t="s">
        <v>397</v>
      </c>
      <c r="L178" s="317">
        <v>47.280717000000003</v>
      </c>
      <c r="M178" s="317">
        <v>39.491948000000001</v>
      </c>
    </row>
    <row r="179" spans="1:13" ht="60" hidden="1" x14ac:dyDescent="0.25">
      <c r="A179" s="313">
        <f t="shared" si="2"/>
        <v>178</v>
      </c>
      <c r="B179" s="314" t="s">
        <v>1287</v>
      </c>
      <c r="C179" s="315" t="s">
        <v>452</v>
      </c>
      <c r="D179" s="316" t="s">
        <v>1288</v>
      </c>
      <c r="E179" s="313">
        <v>2.2999999999999998</v>
      </c>
      <c r="F179" s="313" t="s">
        <v>395</v>
      </c>
      <c r="G179" s="313" t="s">
        <v>395</v>
      </c>
      <c r="H179" s="313" t="s">
        <v>395</v>
      </c>
      <c r="I179" s="313" t="s">
        <v>1016</v>
      </c>
      <c r="J179" s="313">
        <v>65</v>
      </c>
      <c r="K179" s="317" t="s">
        <v>397</v>
      </c>
      <c r="L179" s="317">
        <v>47.339139000000003</v>
      </c>
      <c r="M179" s="317">
        <v>39.642527999999999</v>
      </c>
    </row>
    <row r="180" spans="1:13" ht="75" hidden="1" x14ac:dyDescent="0.25">
      <c r="A180" s="313">
        <f t="shared" si="2"/>
        <v>179</v>
      </c>
      <c r="B180" s="314" t="s">
        <v>1291</v>
      </c>
      <c r="C180" s="315" t="s">
        <v>428</v>
      </c>
      <c r="D180" s="316" t="s">
        <v>1292</v>
      </c>
      <c r="E180" s="313">
        <v>2.4</v>
      </c>
      <c r="F180" s="313" t="s">
        <v>395</v>
      </c>
      <c r="G180" s="313" t="s">
        <v>395</v>
      </c>
      <c r="H180" s="313" t="s">
        <v>395</v>
      </c>
      <c r="I180" s="313" t="s">
        <v>1016</v>
      </c>
      <c r="J180" s="313">
        <v>70</v>
      </c>
      <c r="K180" s="317" t="s">
        <v>397</v>
      </c>
      <c r="L180" s="317">
        <v>47.388193999999999</v>
      </c>
      <c r="M180" s="317">
        <v>39.683638999999999</v>
      </c>
    </row>
    <row r="181" spans="1:13" ht="60" hidden="1" x14ac:dyDescent="0.25">
      <c r="A181" s="313">
        <f t="shared" si="2"/>
        <v>180</v>
      </c>
      <c r="B181" s="314" t="s">
        <v>1295</v>
      </c>
      <c r="C181" s="315" t="s">
        <v>408</v>
      </c>
      <c r="D181" s="316" t="s">
        <v>1296</v>
      </c>
      <c r="E181" s="313">
        <v>1.1000000000000001</v>
      </c>
      <c r="F181" s="313" t="s">
        <v>395</v>
      </c>
      <c r="G181" s="313" t="s">
        <v>395</v>
      </c>
      <c r="H181" s="313" t="s">
        <v>395</v>
      </c>
      <c r="I181" s="313" t="s">
        <v>1016</v>
      </c>
      <c r="J181" s="313">
        <v>5</v>
      </c>
      <c r="K181" s="317" t="s">
        <v>397</v>
      </c>
      <c r="L181" s="317">
        <v>47.219769999999997</v>
      </c>
      <c r="M181" s="317">
        <v>38.933636999999997</v>
      </c>
    </row>
    <row r="182" spans="1:13" ht="60" hidden="1" x14ac:dyDescent="0.25">
      <c r="A182" s="313">
        <f t="shared" si="2"/>
        <v>181</v>
      </c>
      <c r="B182" s="314" t="s">
        <v>1299</v>
      </c>
      <c r="C182" s="315" t="s">
        <v>452</v>
      </c>
      <c r="D182" s="316" t="s">
        <v>1300</v>
      </c>
      <c r="E182" s="313">
        <v>1.54</v>
      </c>
      <c r="F182" s="313" t="s">
        <v>395</v>
      </c>
      <c r="G182" s="313" t="s">
        <v>395</v>
      </c>
      <c r="H182" s="313" t="s">
        <v>395</v>
      </c>
      <c r="I182" s="313" t="s">
        <v>1016</v>
      </c>
      <c r="J182" s="313">
        <v>27</v>
      </c>
      <c r="K182" s="317" t="s">
        <v>397</v>
      </c>
      <c r="L182" s="317">
        <v>47.418638999999999</v>
      </c>
      <c r="M182" s="317">
        <v>38.904139000000001</v>
      </c>
    </row>
    <row r="183" spans="1:13" ht="75" hidden="1" x14ac:dyDescent="0.25">
      <c r="A183" s="313">
        <f t="shared" si="2"/>
        <v>182</v>
      </c>
      <c r="B183" s="314" t="s">
        <v>1303</v>
      </c>
      <c r="C183" s="315" t="s">
        <v>428</v>
      </c>
      <c r="D183" s="316" t="s">
        <v>1304</v>
      </c>
      <c r="E183" s="313">
        <v>1.52</v>
      </c>
      <c r="F183" s="313" t="s">
        <v>395</v>
      </c>
      <c r="G183" s="313" t="s">
        <v>395</v>
      </c>
      <c r="H183" s="313" t="s">
        <v>395</v>
      </c>
      <c r="I183" s="313" t="s">
        <v>1016</v>
      </c>
      <c r="J183" s="313">
        <v>26</v>
      </c>
      <c r="K183" s="317" t="s">
        <v>397</v>
      </c>
      <c r="L183" s="317">
        <v>47.393917000000002</v>
      </c>
      <c r="M183" s="317">
        <v>38.918917</v>
      </c>
    </row>
    <row r="184" spans="1:13" ht="60" hidden="1" x14ac:dyDescent="0.25">
      <c r="A184" s="313">
        <f t="shared" si="2"/>
        <v>183</v>
      </c>
      <c r="B184" s="314" t="s">
        <v>1307</v>
      </c>
      <c r="C184" s="315" t="s">
        <v>452</v>
      </c>
      <c r="D184" s="316" t="s">
        <v>1308</v>
      </c>
      <c r="E184" s="313">
        <v>2.5</v>
      </c>
      <c r="F184" s="313" t="s">
        <v>395</v>
      </c>
      <c r="G184" s="313" t="s">
        <v>395</v>
      </c>
      <c r="H184" s="313" t="s">
        <v>395</v>
      </c>
      <c r="I184" s="313" t="s">
        <v>1016</v>
      </c>
      <c r="J184" s="313">
        <v>75</v>
      </c>
      <c r="K184" s="317" t="s">
        <v>397</v>
      </c>
      <c r="L184" s="317">
        <v>47.478693999999997</v>
      </c>
      <c r="M184" s="317">
        <v>38.527332999999999</v>
      </c>
    </row>
    <row r="185" spans="1:13" ht="75" hidden="1" x14ac:dyDescent="0.25">
      <c r="A185" s="313">
        <f t="shared" si="2"/>
        <v>184</v>
      </c>
      <c r="B185" s="314" t="s">
        <v>1311</v>
      </c>
      <c r="C185" s="315" t="s">
        <v>428</v>
      </c>
      <c r="D185" s="316" t="s">
        <v>1312</v>
      </c>
      <c r="E185" s="313">
        <v>1.6</v>
      </c>
      <c r="F185" s="313" t="s">
        <v>395</v>
      </c>
      <c r="G185" s="313" t="s">
        <v>395</v>
      </c>
      <c r="H185" s="313" t="s">
        <v>395</v>
      </c>
      <c r="I185" s="313" t="s">
        <v>1016</v>
      </c>
      <c r="J185" s="313">
        <v>30</v>
      </c>
      <c r="K185" s="317" t="s">
        <v>397</v>
      </c>
      <c r="L185" s="317">
        <v>47.435333</v>
      </c>
      <c r="M185" s="317">
        <v>38.908306000000003</v>
      </c>
    </row>
    <row r="186" spans="1:13" ht="75" hidden="1" x14ac:dyDescent="0.25">
      <c r="A186" s="313">
        <f t="shared" si="2"/>
        <v>185</v>
      </c>
      <c r="B186" s="314" t="s">
        <v>1315</v>
      </c>
      <c r="C186" s="315" t="s">
        <v>428</v>
      </c>
      <c r="D186" s="316" t="s">
        <v>1316</v>
      </c>
      <c r="E186" s="313">
        <v>1.34</v>
      </c>
      <c r="F186" s="313" t="s">
        <v>395</v>
      </c>
      <c r="G186" s="313" t="s">
        <v>395</v>
      </c>
      <c r="H186" s="313" t="s">
        <v>395</v>
      </c>
      <c r="I186" s="313" t="s">
        <v>1016</v>
      </c>
      <c r="J186" s="313">
        <v>17</v>
      </c>
      <c r="K186" s="317" t="s">
        <v>397</v>
      </c>
      <c r="L186" s="317">
        <v>47.352639000000003</v>
      </c>
      <c r="M186" s="317">
        <v>38.893555999999997</v>
      </c>
    </row>
    <row r="187" spans="1:13" ht="60" hidden="1" x14ac:dyDescent="0.25">
      <c r="A187" s="313">
        <f t="shared" si="2"/>
        <v>186</v>
      </c>
      <c r="B187" s="314" t="s">
        <v>1319</v>
      </c>
      <c r="C187" s="315" t="s">
        <v>452</v>
      </c>
      <c r="D187" s="316" t="s">
        <v>1320</v>
      </c>
      <c r="E187" s="313">
        <v>1.86</v>
      </c>
      <c r="F187" s="313" t="s">
        <v>395</v>
      </c>
      <c r="G187" s="313" t="s">
        <v>395</v>
      </c>
      <c r="H187" s="313" t="s">
        <v>395</v>
      </c>
      <c r="I187" s="313" t="s">
        <v>1016</v>
      </c>
      <c r="J187" s="313">
        <v>43</v>
      </c>
      <c r="K187" s="317" t="s">
        <v>397</v>
      </c>
      <c r="L187" s="317">
        <v>47.318972000000002</v>
      </c>
      <c r="M187" s="317">
        <v>38.479944000000003</v>
      </c>
    </row>
    <row r="188" spans="1:13" ht="60" hidden="1" x14ac:dyDescent="0.25">
      <c r="A188" s="313">
        <f t="shared" si="2"/>
        <v>187</v>
      </c>
      <c r="B188" s="314" t="s">
        <v>1323</v>
      </c>
      <c r="C188" s="315" t="s">
        <v>447</v>
      </c>
      <c r="D188" s="316" t="s">
        <v>1324</v>
      </c>
      <c r="E188" s="313">
        <v>1.7</v>
      </c>
      <c r="F188" s="313" t="s">
        <v>395</v>
      </c>
      <c r="G188" s="313" t="s">
        <v>395</v>
      </c>
      <c r="H188" s="313" t="s">
        <v>395</v>
      </c>
      <c r="I188" s="313" t="s">
        <v>1016</v>
      </c>
      <c r="J188" s="313">
        <v>35</v>
      </c>
      <c r="K188" s="317" t="s">
        <v>397</v>
      </c>
      <c r="L188" s="317">
        <v>47.280949999999997</v>
      </c>
      <c r="M188" s="317">
        <v>38.679003000000002</v>
      </c>
    </row>
    <row r="189" spans="1:13" ht="45" hidden="1" x14ac:dyDescent="0.25">
      <c r="A189" s="313">
        <f t="shared" si="2"/>
        <v>188</v>
      </c>
      <c r="B189" s="314" t="s">
        <v>1327</v>
      </c>
      <c r="C189" s="315" t="s">
        <v>393</v>
      </c>
      <c r="D189" s="316" t="s">
        <v>1328</v>
      </c>
      <c r="E189" s="313">
        <v>1.54</v>
      </c>
      <c r="F189" s="313" t="s">
        <v>395</v>
      </c>
      <c r="G189" s="313" t="s">
        <v>395</v>
      </c>
      <c r="H189" s="313" t="s">
        <v>395</v>
      </c>
      <c r="I189" s="313" t="s">
        <v>1016</v>
      </c>
      <c r="J189" s="313">
        <v>27</v>
      </c>
      <c r="K189" s="317" t="s">
        <v>397</v>
      </c>
      <c r="L189" s="317">
        <v>47.415944000000003</v>
      </c>
      <c r="M189" s="317">
        <v>38.895305999999998</v>
      </c>
    </row>
    <row r="190" spans="1:13" ht="60" hidden="1" x14ac:dyDescent="0.25">
      <c r="A190" s="313">
        <f t="shared" si="2"/>
        <v>189</v>
      </c>
      <c r="B190" s="314" t="s">
        <v>1331</v>
      </c>
      <c r="C190" s="315" t="s">
        <v>447</v>
      </c>
      <c r="D190" s="316" t="s">
        <v>1332</v>
      </c>
      <c r="E190" s="313">
        <v>2.78</v>
      </c>
      <c r="F190" s="313" t="s">
        <v>395</v>
      </c>
      <c r="G190" s="313" t="s">
        <v>395</v>
      </c>
      <c r="H190" s="313" t="s">
        <v>395</v>
      </c>
      <c r="I190" s="313" t="s">
        <v>1016</v>
      </c>
      <c r="J190" s="313">
        <v>89</v>
      </c>
      <c r="K190" s="317" t="s">
        <v>397</v>
      </c>
      <c r="L190" s="317">
        <v>47.590277999999998</v>
      </c>
      <c r="M190" s="317">
        <v>38.535832999999997</v>
      </c>
    </row>
    <row r="191" spans="1:13" ht="45" hidden="1" x14ac:dyDescent="0.25">
      <c r="A191" s="313">
        <f t="shared" si="2"/>
        <v>190</v>
      </c>
      <c r="B191" s="314" t="s">
        <v>1335</v>
      </c>
      <c r="C191" s="315" t="s">
        <v>412</v>
      </c>
      <c r="D191" s="316" t="s">
        <v>1336</v>
      </c>
      <c r="E191" s="313">
        <v>1.92</v>
      </c>
      <c r="F191" s="313" t="s">
        <v>395</v>
      </c>
      <c r="G191" s="313" t="s">
        <v>395</v>
      </c>
      <c r="H191" s="313" t="s">
        <v>395</v>
      </c>
      <c r="I191" s="313" t="s">
        <v>1016</v>
      </c>
      <c r="J191" s="313">
        <v>46</v>
      </c>
      <c r="K191" s="317" t="s">
        <v>397</v>
      </c>
      <c r="L191" s="317">
        <v>47.579721999999997</v>
      </c>
      <c r="M191" s="317">
        <v>38.919167000000002</v>
      </c>
    </row>
    <row r="192" spans="1:13" ht="30" hidden="1" x14ac:dyDescent="0.25">
      <c r="A192" s="313">
        <f t="shared" si="2"/>
        <v>191</v>
      </c>
      <c r="B192" s="314" t="s">
        <v>1339</v>
      </c>
      <c r="C192" s="315" t="s">
        <v>399</v>
      </c>
      <c r="D192" s="316" t="s">
        <v>1340</v>
      </c>
      <c r="E192" s="313">
        <v>1.86</v>
      </c>
      <c r="F192" s="313" t="s">
        <v>395</v>
      </c>
      <c r="G192" s="313" t="s">
        <v>395</v>
      </c>
      <c r="H192" s="313" t="s">
        <v>395</v>
      </c>
      <c r="I192" s="313" t="s">
        <v>1016</v>
      </c>
      <c r="J192" s="313">
        <v>43</v>
      </c>
      <c r="K192" s="317" t="s">
        <v>397</v>
      </c>
      <c r="L192" s="317">
        <v>47.556888999999998</v>
      </c>
      <c r="M192" s="317">
        <v>38.866138999999997</v>
      </c>
    </row>
    <row r="193" spans="1:13" ht="75" hidden="1" x14ac:dyDescent="0.25">
      <c r="A193" s="313">
        <f t="shared" si="2"/>
        <v>192</v>
      </c>
      <c r="B193" s="314" t="s">
        <v>1343</v>
      </c>
      <c r="C193" s="315" t="s">
        <v>428</v>
      </c>
      <c r="D193" s="316" t="s">
        <v>1344</v>
      </c>
      <c r="E193" s="313">
        <v>1.9</v>
      </c>
      <c r="F193" s="313" t="s">
        <v>395</v>
      </c>
      <c r="G193" s="313" t="s">
        <v>395</v>
      </c>
      <c r="H193" s="313" t="s">
        <v>395</v>
      </c>
      <c r="I193" s="313" t="s">
        <v>1016</v>
      </c>
      <c r="J193" s="313">
        <v>45</v>
      </c>
      <c r="K193" s="317" t="s">
        <v>397</v>
      </c>
      <c r="L193" s="317">
        <v>47.569583000000002</v>
      </c>
      <c r="M193" s="317">
        <v>38.869999999999997</v>
      </c>
    </row>
    <row r="194" spans="1:13" ht="45" hidden="1" x14ac:dyDescent="0.25">
      <c r="A194" s="313">
        <f t="shared" si="2"/>
        <v>193</v>
      </c>
      <c r="B194" s="314" t="s">
        <v>1347</v>
      </c>
      <c r="C194" s="315" t="s">
        <v>412</v>
      </c>
      <c r="D194" s="316" t="s">
        <v>1348</v>
      </c>
      <c r="E194" s="313">
        <v>1.92</v>
      </c>
      <c r="F194" s="313" t="s">
        <v>395</v>
      </c>
      <c r="G194" s="313" t="s">
        <v>395</v>
      </c>
      <c r="H194" s="313" t="s">
        <v>395</v>
      </c>
      <c r="I194" s="313" t="s">
        <v>1016</v>
      </c>
      <c r="J194" s="313">
        <v>46</v>
      </c>
      <c r="K194" s="317" t="s">
        <v>397</v>
      </c>
      <c r="L194" s="317">
        <v>47.575771000000003</v>
      </c>
      <c r="M194" s="317">
        <v>38.859813000000003</v>
      </c>
    </row>
    <row r="195" spans="1:13" ht="45" hidden="1" x14ac:dyDescent="0.25">
      <c r="A195" s="313">
        <f t="shared" si="2"/>
        <v>194</v>
      </c>
      <c r="B195" s="314" t="s">
        <v>1351</v>
      </c>
      <c r="C195" s="315" t="s">
        <v>412</v>
      </c>
      <c r="D195" s="316" t="s">
        <v>1352</v>
      </c>
      <c r="E195" s="313">
        <v>2.58</v>
      </c>
      <c r="F195" s="313" t="s">
        <v>395</v>
      </c>
      <c r="G195" s="313" t="s">
        <v>395</v>
      </c>
      <c r="H195" s="313" t="s">
        <v>395</v>
      </c>
      <c r="I195" s="313" t="s">
        <v>1016</v>
      </c>
      <c r="J195" s="313">
        <v>79</v>
      </c>
      <c r="K195" s="317" t="s">
        <v>397</v>
      </c>
      <c r="L195" s="317">
        <v>47.785832999999997</v>
      </c>
      <c r="M195" s="317">
        <v>38.947806</v>
      </c>
    </row>
    <row r="196" spans="1:13" ht="45" hidden="1" x14ac:dyDescent="0.25">
      <c r="A196" s="313">
        <f t="shared" ref="A196:A259" si="3">A195+1</f>
        <v>195</v>
      </c>
      <c r="B196" s="314" t="s">
        <v>1355</v>
      </c>
      <c r="C196" s="315" t="s">
        <v>412</v>
      </c>
      <c r="D196" s="316" t="s">
        <v>1356</v>
      </c>
      <c r="E196" s="313">
        <v>2.62</v>
      </c>
      <c r="F196" s="313" t="s">
        <v>395</v>
      </c>
      <c r="G196" s="313" t="s">
        <v>395</v>
      </c>
      <c r="H196" s="313" t="s">
        <v>395</v>
      </c>
      <c r="I196" s="313" t="s">
        <v>1016</v>
      </c>
      <c r="J196" s="313">
        <v>81</v>
      </c>
      <c r="K196" s="317" t="s">
        <v>397</v>
      </c>
      <c r="L196" s="317">
        <v>47.702883</v>
      </c>
      <c r="M196" s="317">
        <v>39.203257999999998</v>
      </c>
    </row>
    <row r="197" spans="1:13" ht="75" hidden="1" x14ac:dyDescent="0.25">
      <c r="A197" s="313">
        <f t="shared" si="3"/>
        <v>196</v>
      </c>
      <c r="B197" s="314" t="s">
        <v>1359</v>
      </c>
      <c r="C197" s="315" t="s">
        <v>428</v>
      </c>
      <c r="D197" s="316" t="s">
        <v>1360</v>
      </c>
      <c r="E197" s="313">
        <v>2.36</v>
      </c>
      <c r="F197" s="313" t="s">
        <v>395</v>
      </c>
      <c r="G197" s="313" t="s">
        <v>395</v>
      </c>
      <c r="H197" s="313" t="s">
        <v>395</v>
      </c>
      <c r="I197" s="313" t="s">
        <v>1016</v>
      </c>
      <c r="J197" s="313">
        <v>68</v>
      </c>
      <c r="K197" s="317" t="s">
        <v>397</v>
      </c>
      <c r="L197" s="317">
        <v>47.694305999999997</v>
      </c>
      <c r="M197" s="317">
        <v>38.675249999999998</v>
      </c>
    </row>
    <row r="198" spans="1:13" ht="45" hidden="1" x14ac:dyDescent="0.25">
      <c r="A198" s="313">
        <f t="shared" si="3"/>
        <v>197</v>
      </c>
      <c r="B198" s="314" t="s">
        <v>1363</v>
      </c>
      <c r="C198" s="315" t="s">
        <v>393</v>
      </c>
      <c r="D198" s="316" t="s">
        <v>1364</v>
      </c>
      <c r="E198" s="313">
        <v>1.1000000000000001</v>
      </c>
      <c r="F198" s="313" t="s">
        <v>395</v>
      </c>
      <c r="G198" s="313" t="s">
        <v>395</v>
      </c>
      <c r="H198" s="313" t="s">
        <v>395</v>
      </c>
      <c r="I198" s="313" t="s">
        <v>1016</v>
      </c>
      <c r="J198" s="313">
        <v>5</v>
      </c>
      <c r="K198" s="317" t="s">
        <v>397</v>
      </c>
      <c r="L198" s="317">
        <v>47.276426999999998</v>
      </c>
      <c r="M198" s="317">
        <v>38.915064000000001</v>
      </c>
    </row>
    <row r="199" spans="1:13" ht="75" hidden="1" x14ac:dyDescent="0.25">
      <c r="A199" s="313">
        <f t="shared" si="3"/>
        <v>198</v>
      </c>
      <c r="B199" s="314" t="s">
        <v>1367</v>
      </c>
      <c r="C199" s="315" t="s">
        <v>428</v>
      </c>
      <c r="D199" s="316" t="s">
        <v>1368</v>
      </c>
      <c r="E199" s="313">
        <v>2.58</v>
      </c>
      <c r="F199" s="313" t="s">
        <v>395</v>
      </c>
      <c r="G199" s="313" t="s">
        <v>395</v>
      </c>
      <c r="H199" s="313" t="s">
        <v>395</v>
      </c>
      <c r="I199" s="313" t="s">
        <v>1016</v>
      </c>
      <c r="J199" s="313">
        <v>79</v>
      </c>
      <c r="K199" s="317" t="s">
        <v>397</v>
      </c>
      <c r="L199" s="317">
        <v>47.813333</v>
      </c>
      <c r="M199" s="317">
        <v>38.913860999999997</v>
      </c>
    </row>
    <row r="200" spans="1:13" ht="45" hidden="1" x14ac:dyDescent="0.25">
      <c r="A200" s="313">
        <f t="shared" si="3"/>
        <v>199</v>
      </c>
      <c r="B200" s="314" t="s">
        <v>1371</v>
      </c>
      <c r="C200" s="315" t="s">
        <v>412</v>
      </c>
      <c r="D200" s="316" t="s">
        <v>1372</v>
      </c>
      <c r="E200" s="313">
        <v>1.34</v>
      </c>
      <c r="F200" s="313" t="s">
        <v>395</v>
      </c>
      <c r="G200" s="313" t="s">
        <v>395</v>
      </c>
      <c r="H200" s="313" t="s">
        <v>395</v>
      </c>
      <c r="I200" s="313" t="s">
        <v>1016</v>
      </c>
      <c r="J200" s="313">
        <v>17</v>
      </c>
      <c r="K200" s="317" t="s">
        <v>397</v>
      </c>
      <c r="L200" s="317">
        <v>47.312561000000002</v>
      </c>
      <c r="M200" s="317">
        <v>38.805177999999998</v>
      </c>
    </row>
    <row r="201" spans="1:13" ht="45" hidden="1" x14ac:dyDescent="0.25">
      <c r="A201" s="313">
        <f t="shared" si="3"/>
        <v>200</v>
      </c>
      <c r="B201" s="314" t="s">
        <v>1375</v>
      </c>
      <c r="C201" s="315" t="s">
        <v>412</v>
      </c>
      <c r="D201" s="316" t="s">
        <v>1376</v>
      </c>
      <c r="E201" s="313">
        <v>1.1000000000000001</v>
      </c>
      <c r="F201" s="313" t="s">
        <v>395</v>
      </c>
      <c r="G201" s="313" t="s">
        <v>395</v>
      </c>
      <c r="H201" s="313" t="s">
        <v>395</v>
      </c>
      <c r="I201" s="313" t="s">
        <v>1016</v>
      </c>
      <c r="J201" s="313">
        <v>5</v>
      </c>
      <c r="K201" s="317" t="s">
        <v>397</v>
      </c>
      <c r="L201" s="317">
        <v>47.279921999999999</v>
      </c>
      <c r="M201" s="317">
        <v>38.924298</v>
      </c>
    </row>
    <row r="202" spans="1:13" ht="45" hidden="1" x14ac:dyDescent="0.25">
      <c r="A202" s="313">
        <f t="shared" si="3"/>
        <v>201</v>
      </c>
      <c r="B202" s="314" t="s">
        <v>1380</v>
      </c>
      <c r="C202" s="315" t="s">
        <v>412</v>
      </c>
      <c r="D202" s="316" t="s">
        <v>1381</v>
      </c>
      <c r="E202" s="313">
        <v>2.04</v>
      </c>
      <c r="F202" s="313" t="s">
        <v>395</v>
      </c>
      <c r="G202" s="313" t="s">
        <v>395</v>
      </c>
      <c r="H202" s="313" t="s">
        <v>395</v>
      </c>
      <c r="I202" s="313" t="s">
        <v>1016</v>
      </c>
      <c r="J202" s="313">
        <v>52</v>
      </c>
      <c r="K202" s="317" t="s">
        <v>397</v>
      </c>
      <c r="L202" s="317">
        <v>47.278897999999998</v>
      </c>
      <c r="M202" s="317">
        <v>39.516221000000002</v>
      </c>
    </row>
    <row r="203" spans="1:13" ht="60" hidden="1" x14ac:dyDescent="0.25">
      <c r="A203" s="313">
        <f t="shared" si="3"/>
        <v>202</v>
      </c>
      <c r="B203" s="314" t="s">
        <v>1384</v>
      </c>
      <c r="C203" s="315" t="s">
        <v>447</v>
      </c>
      <c r="D203" s="316" t="s">
        <v>1385</v>
      </c>
      <c r="E203" s="313">
        <v>1</v>
      </c>
      <c r="F203" s="313" t="s">
        <v>395</v>
      </c>
      <c r="G203" s="313" t="s">
        <v>395</v>
      </c>
      <c r="H203" s="313" t="s">
        <v>395</v>
      </c>
      <c r="I203" s="313" t="s">
        <v>1016</v>
      </c>
      <c r="J203" s="313">
        <v>0</v>
      </c>
      <c r="K203" s="317" t="s">
        <v>397</v>
      </c>
      <c r="L203" s="317">
        <v>47.227580000000003</v>
      </c>
      <c r="M203" s="317">
        <v>38.902169999999998</v>
      </c>
    </row>
    <row r="204" spans="1:13" ht="45" hidden="1" x14ac:dyDescent="0.25">
      <c r="A204" s="313">
        <f t="shared" si="3"/>
        <v>203</v>
      </c>
      <c r="B204" s="314" t="s">
        <v>1388</v>
      </c>
      <c r="C204" s="315" t="s">
        <v>412</v>
      </c>
      <c r="D204" s="316" t="s">
        <v>1390</v>
      </c>
      <c r="E204" s="313">
        <v>2.96</v>
      </c>
      <c r="F204" s="313" t="s">
        <v>395</v>
      </c>
      <c r="G204" s="313" t="s">
        <v>395</v>
      </c>
      <c r="H204" s="313" t="s">
        <v>395</v>
      </c>
      <c r="I204" s="313" t="s">
        <v>1016</v>
      </c>
      <c r="J204" s="313">
        <v>98</v>
      </c>
      <c r="K204" s="317" t="s">
        <v>397</v>
      </c>
      <c r="L204" s="317">
        <v>47.827213</v>
      </c>
      <c r="M204" s="317">
        <v>39.253613000000001</v>
      </c>
    </row>
    <row r="205" spans="1:13" ht="45" hidden="1" x14ac:dyDescent="0.25">
      <c r="A205" s="313">
        <f t="shared" si="3"/>
        <v>204</v>
      </c>
      <c r="B205" s="314" t="s">
        <v>1392</v>
      </c>
      <c r="C205" s="315" t="s">
        <v>412</v>
      </c>
      <c r="D205" s="316" t="s">
        <v>1394</v>
      </c>
      <c r="E205" s="313">
        <v>2.44</v>
      </c>
      <c r="F205" s="313" t="s">
        <v>395</v>
      </c>
      <c r="G205" s="313" t="s">
        <v>395</v>
      </c>
      <c r="H205" s="313" t="s">
        <v>395</v>
      </c>
      <c r="I205" s="313" t="s">
        <v>1016</v>
      </c>
      <c r="J205" s="313">
        <v>72</v>
      </c>
      <c r="K205" s="317" t="s">
        <v>397</v>
      </c>
      <c r="L205" s="317">
        <v>47.622636</v>
      </c>
      <c r="M205" s="317">
        <v>38.677748999999999</v>
      </c>
    </row>
    <row r="206" spans="1:13" ht="45" hidden="1" x14ac:dyDescent="0.25">
      <c r="A206" s="313">
        <f t="shared" si="3"/>
        <v>205</v>
      </c>
      <c r="B206" s="314" t="s">
        <v>1396</v>
      </c>
      <c r="C206" s="315" t="s">
        <v>582</v>
      </c>
      <c r="D206" s="316" t="s">
        <v>1398</v>
      </c>
      <c r="E206" s="313">
        <v>1.56</v>
      </c>
      <c r="F206" s="313" t="s">
        <v>395</v>
      </c>
      <c r="G206" s="313" t="s">
        <v>395</v>
      </c>
      <c r="H206" s="313" t="s">
        <v>395</v>
      </c>
      <c r="I206" s="313" t="s">
        <v>1016</v>
      </c>
      <c r="J206" s="313">
        <v>28</v>
      </c>
      <c r="K206" s="317" t="s">
        <v>397</v>
      </c>
      <c r="L206" s="317">
        <v>47.362273000000002</v>
      </c>
      <c r="M206" s="317">
        <v>39.104478</v>
      </c>
    </row>
    <row r="207" spans="1:13" ht="75" hidden="1" x14ac:dyDescent="0.25">
      <c r="A207" s="313">
        <f t="shared" si="3"/>
        <v>206</v>
      </c>
      <c r="B207" s="314" t="s">
        <v>1400</v>
      </c>
      <c r="C207" s="315" t="s">
        <v>428</v>
      </c>
      <c r="D207" s="316" t="s">
        <v>1402</v>
      </c>
      <c r="E207" s="313">
        <v>2.66</v>
      </c>
      <c r="F207" s="313" t="s">
        <v>395</v>
      </c>
      <c r="G207" s="313" t="s">
        <v>395</v>
      </c>
      <c r="H207" s="313" t="s">
        <v>395</v>
      </c>
      <c r="I207" s="313" t="s">
        <v>1016</v>
      </c>
      <c r="J207" s="313">
        <v>83</v>
      </c>
      <c r="K207" s="317" t="s">
        <v>397</v>
      </c>
      <c r="L207" s="317">
        <v>47.818703999999997</v>
      </c>
      <c r="M207" s="317">
        <v>38.898119999999999</v>
      </c>
    </row>
    <row r="208" spans="1:13" ht="60" hidden="1" x14ac:dyDescent="0.25">
      <c r="A208" s="313">
        <f t="shared" si="3"/>
        <v>207</v>
      </c>
      <c r="B208" s="314" t="s">
        <v>1405</v>
      </c>
      <c r="C208" s="315" t="s">
        <v>447</v>
      </c>
      <c r="D208" s="316" t="s">
        <v>1407</v>
      </c>
      <c r="E208" s="313">
        <v>2.68</v>
      </c>
      <c r="F208" s="313" t="s">
        <v>395</v>
      </c>
      <c r="G208" s="313" t="s">
        <v>395</v>
      </c>
      <c r="H208" s="313" t="s">
        <v>395</v>
      </c>
      <c r="I208" s="313" t="s">
        <v>1016</v>
      </c>
      <c r="J208" s="313">
        <v>84</v>
      </c>
      <c r="K208" s="317" t="s">
        <v>397</v>
      </c>
      <c r="L208" s="317">
        <v>47.785111000000001</v>
      </c>
      <c r="M208" s="317">
        <v>38.876860999999998</v>
      </c>
    </row>
    <row r="209" spans="1:13" ht="45" hidden="1" x14ac:dyDescent="0.25">
      <c r="A209" s="313">
        <f t="shared" si="3"/>
        <v>208</v>
      </c>
      <c r="B209" s="314" t="s">
        <v>1409</v>
      </c>
      <c r="C209" s="315" t="s">
        <v>412</v>
      </c>
      <c r="D209" s="316" t="s">
        <v>1411</v>
      </c>
      <c r="E209" s="313">
        <v>2.88</v>
      </c>
      <c r="F209" s="313" t="s">
        <v>395</v>
      </c>
      <c r="G209" s="313" t="s">
        <v>395</v>
      </c>
      <c r="H209" s="313" t="s">
        <v>395</v>
      </c>
      <c r="I209" s="313" t="s">
        <v>1016</v>
      </c>
      <c r="J209" s="313">
        <v>94</v>
      </c>
      <c r="K209" s="317" t="s">
        <v>397</v>
      </c>
      <c r="L209" s="317">
        <v>47.841276000000001</v>
      </c>
      <c r="M209" s="317">
        <v>39.076197999999998</v>
      </c>
    </row>
    <row r="210" spans="1:13" ht="75" hidden="1" x14ac:dyDescent="0.25">
      <c r="A210" s="313">
        <f t="shared" si="3"/>
        <v>209</v>
      </c>
      <c r="B210" s="314" t="s">
        <v>1413</v>
      </c>
      <c r="C210" s="315" t="s">
        <v>428</v>
      </c>
      <c r="D210" s="316" t="s">
        <v>1415</v>
      </c>
      <c r="E210" s="313">
        <v>1.18</v>
      </c>
      <c r="F210" s="313" t="s">
        <v>395</v>
      </c>
      <c r="G210" s="313" t="s">
        <v>395</v>
      </c>
      <c r="H210" s="313" t="s">
        <v>395</v>
      </c>
      <c r="I210" s="313" t="s">
        <v>1016</v>
      </c>
      <c r="J210" s="313">
        <v>9</v>
      </c>
      <c r="K210" s="317" t="s">
        <v>397</v>
      </c>
      <c r="L210" s="317">
        <v>47.283203999999998</v>
      </c>
      <c r="M210" s="317">
        <v>38.990088999999998</v>
      </c>
    </row>
    <row r="211" spans="1:13" ht="45" hidden="1" x14ac:dyDescent="0.25">
      <c r="A211" s="313">
        <f t="shared" si="3"/>
        <v>210</v>
      </c>
      <c r="B211" s="314" t="s">
        <v>1417</v>
      </c>
      <c r="C211" s="315" t="s">
        <v>412</v>
      </c>
      <c r="D211" s="316" t="s">
        <v>1419</v>
      </c>
      <c r="E211" s="313">
        <v>1.26</v>
      </c>
      <c r="F211" s="313" t="s">
        <v>395</v>
      </c>
      <c r="G211" s="313" t="s">
        <v>395</v>
      </c>
      <c r="H211" s="313" t="s">
        <v>395</v>
      </c>
      <c r="I211" s="313" t="s">
        <v>1016</v>
      </c>
      <c r="J211" s="313">
        <v>13</v>
      </c>
      <c r="K211" s="317" t="s">
        <v>397</v>
      </c>
      <c r="L211" s="317">
        <v>47.256162000000003</v>
      </c>
      <c r="M211" s="317">
        <v>38.836145999999999</v>
      </c>
    </row>
    <row r="212" spans="1:13" ht="75" hidden="1" x14ac:dyDescent="0.25">
      <c r="A212" s="313">
        <f t="shared" si="3"/>
        <v>211</v>
      </c>
      <c r="B212" s="314" t="s">
        <v>1422</v>
      </c>
      <c r="C212" s="315" t="s">
        <v>428</v>
      </c>
      <c r="D212" s="316" t="s">
        <v>1424</v>
      </c>
      <c r="E212" s="313">
        <v>1.5</v>
      </c>
      <c r="F212" s="313" t="s">
        <v>395</v>
      </c>
      <c r="G212" s="313" t="s">
        <v>395</v>
      </c>
      <c r="H212" s="313" t="s">
        <v>395</v>
      </c>
      <c r="I212" s="313" t="s">
        <v>1016</v>
      </c>
      <c r="J212" s="313">
        <v>25</v>
      </c>
      <c r="K212" s="317" t="s">
        <v>397</v>
      </c>
      <c r="L212" s="317">
        <v>47.271617999999997</v>
      </c>
      <c r="M212" s="317">
        <v>38.731561999999997</v>
      </c>
    </row>
    <row r="213" spans="1:13" ht="45" hidden="1" x14ac:dyDescent="0.25">
      <c r="A213" s="313">
        <f t="shared" si="3"/>
        <v>212</v>
      </c>
      <c r="B213" s="314" t="s">
        <v>1426</v>
      </c>
      <c r="C213" s="315" t="s">
        <v>412</v>
      </c>
      <c r="D213" s="316" t="s">
        <v>1428</v>
      </c>
      <c r="E213" s="313">
        <v>1</v>
      </c>
      <c r="F213" s="313" t="s">
        <v>395</v>
      </c>
      <c r="G213" s="313" t="s">
        <v>395</v>
      </c>
      <c r="H213" s="313" t="s">
        <v>395</v>
      </c>
      <c r="I213" s="313" t="s">
        <v>1016</v>
      </c>
      <c r="J213" s="313">
        <v>0</v>
      </c>
      <c r="K213" s="317" t="s">
        <v>397</v>
      </c>
      <c r="L213" s="317">
        <v>47.331923000000003</v>
      </c>
      <c r="M213" s="317">
        <v>39.303713999999999</v>
      </c>
    </row>
    <row r="214" spans="1:13" ht="38.25" hidden="1" x14ac:dyDescent="0.25">
      <c r="A214" s="313">
        <f t="shared" si="3"/>
        <v>213</v>
      </c>
      <c r="B214" s="314" t="s">
        <v>1430</v>
      </c>
      <c r="C214" s="315" t="s">
        <v>503</v>
      </c>
      <c r="D214" s="316" t="s">
        <v>1432</v>
      </c>
      <c r="E214" s="313">
        <v>1</v>
      </c>
      <c r="F214" s="313" t="s">
        <v>395</v>
      </c>
      <c r="G214" s="313" t="s">
        <v>395</v>
      </c>
      <c r="H214" s="313" t="s">
        <v>395</v>
      </c>
      <c r="I214" s="313" t="s">
        <v>1016</v>
      </c>
      <c r="J214" s="313">
        <v>0</v>
      </c>
      <c r="K214" s="317" t="s">
        <v>397</v>
      </c>
      <c r="L214" s="317">
        <v>47.357928999999999</v>
      </c>
      <c r="M214" s="317">
        <v>39.582259999999998</v>
      </c>
    </row>
    <row r="215" spans="1:13" ht="75" hidden="1" x14ac:dyDescent="0.25">
      <c r="A215" s="313">
        <f t="shared" si="3"/>
        <v>214</v>
      </c>
      <c r="B215" s="314" t="s">
        <v>1435</v>
      </c>
      <c r="C215" s="315" t="s">
        <v>428</v>
      </c>
      <c r="D215" s="316" t="s">
        <v>1436</v>
      </c>
      <c r="E215" s="313">
        <v>2.02</v>
      </c>
      <c r="F215" s="313" t="s">
        <v>395</v>
      </c>
      <c r="G215" s="313" t="s">
        <v>395</v>
      </c>
      <c r="H215" s="313" t="s">
        <v>395</v>
      </c>
      <c r="I215" s="313" t="s">
        <v>1016</v>
      </c>
      <c r="J215" s="313">
        <v>51</v>
      </c>
      <c r="K215" s="317" t="s">
        <v>397</v>
      </c>
      <c r="L215" s="317">
        <v>47.273639000000003</v>
      </c>
      <c r="M215" s="317">
        <v>39.433970000000002</v>
      </c>
    </row>
    <row r="216" spans="1:13" ht="60" hidden="1" x14ac:dyDescent="0.25">
      <c r="A216" s="313">
        <f t="shared" si="3"/>
        <v>215</v>
      </c>
      <c r="B216" s="314" t="s">
        <v>1439</v>
      </c>
      <c r="C216" s="315" t="s">
        <v>447</v>
      </c>
      <c r="D216" s="316" t="s">
        <v>1440</v>
      </c>
      <c r="E216" s="313">
        <v>1.1399999999999999</v>
      </c>
      <c r="F216" s="313" t="s">
        <v>395</v>
      </c>
      <c r="G216" s="313" t="s">
        <v>395</v>
      </c>
      <c r="H216" s="313" t="s">
        <v>395</v>
      </c>
      <c r="I216" s="313" t="s">
        <v>1016</v>
      </c>
      <c r="J216" s="313">
        <v>7</v>
      </c>
      <c r="K216" s="317" t="s">
        <v>397</v>
      </c>
      <c r="L216" s="317">
        <v>47.260756000000001</v>
      </c>
      <c r="M216" s="317">
        <v>38.939397</v>
      </c>
    </row>
    <row r="217" spans="1:13" ht="75" hidden="1" x14ac:dyDescent="0.25">
      <c r="A217" s="313">
        <f t="shared" si="3"/>
        <v>216</v>
      </c>
      <c r="B217" s="314" t="s">
        <v>1443</v>
      </c>
      <c r="C217" s="315" t="s">
        <v>428</v>
      </c>
      <c r="D217" s="316" t="s">
        <v>1444</v>
      </c>
      <c r="E217" s="313">
        <v>1.1000000000000001</v>
      </c>
      <c r="F217" s="313" t="s">
        <v>395</v>
      </c>
      <c r="G217" s="313" t="s">
        <v>395</v>
      </c>
      <c r="H217" s="313" t="s">
        <v>395</v>
      </c>
      <c r="I217" s="313" t="s">
        <v>1016</v>
      </c>
      <c r="J217" s="313">
        <v>5</v>
      </c>
      <c r="K217" s="317" t="s">
        <v>397</v>
      </c>
      <c r="L217" s="317">
        <v>47.246153999999997</v>
      </c>
      <c r="M217" s="317">
        <v>38.919972999999999</v>
      </c>
    </row>
    <row r="218" spans="1:13" ht="45" hidden="1" x14ac:dyDescent="0.25">
      <c r="A218" s="313">
        <f t="shared" si="3"/>
        <v>217</v>
      </c>
      <c r="B218" s="314" t="s">
        <v>1447</v>
      </c>
      <c r="C218" s="315" t="s">
        <v>412</v>
      </c>
      <c r="D218" s="316" t="s">
        <v>1448</v>
      </c>
      <c r="E218" s="313">
        <v>1.06</v>
      </c>
      <c r="F218" s="313" t="s">
        <v>395</v>
      </c>
      <c r="G218" s="313" t="s">
        <v>395</v>
      </c>
      <c r="H218" s="313" t="s">
        <v>395</v>
      </c>
      <c r="I218" s="313" t="s">
        <v>1016</v>
      </c>
      <c r="J218" s="313">
        <v>3</v>
      </c>
      <c r="K218" s="317" t="s">
        <v>397</v>
      </c>
      <c r="L218" s="317">
        <v>47.227888999999998</v>
      </c>
      <c r="M218" s="317">
        <v>38.922944000000001</v>
      </c>
    </row>
    <row r="219" spans="1:13" hidden="1" x14ac:dyDescent="0.25">
      <c r="A219" s="313">
        <f t="shared" si="3"/>
        <v>218</v>
      </c>
      <c r="B219" s="314" t="s">
        <v>1451</v>
      </c>
      <c r="C219" s="315" t="s">
        <v>402</v>
      </c>
      <c r="D219" s="316" t="s">
        <v>1452</v>
      </c>
      <c r="E219" s="313">
        <v>1.1000000000000001</v>
      </c>
      <c r="F219" s="313" t="s">
        <v>395</v>
      </c>
      <c r="G219" s="313" t="s">
        <v>395</v>
      </c>
      <c r="H219" s="313" t="s">
        <v>395</v>
      </c>
      <c r="I219" s="313" t="s">
        <v>1016</v>
      </c>
      <c r="J219" s="313">
        <v>5</v>
      </c>
      <c r="K219" s="317" t="s">
        <v>397</v>
      </c>
      <c r="L219" s="317">
        <v>47.217449999999999</v>
      </c>
      <c r="M219" s="317">
        <v>38.898639000000003</v>
      </c>
    </row>
    <row r="220" spans="1:13" ht="60" hidden="1" x14ac:dyDescent="0.25">
      <c r="A220" s="313">
        <f t="shared" si="3"/>
        <v>219</v>
      </c>
      <c r="B220" s="314" t="s">
        <v>1455</v>
      </c>
      <c r="C220" s="315" t="s">
        <v>447</v>
      </c>
      <c r="D220" s="316" t="s">
        <v>1456</v>
      </c>
      <c r="E220" s="313">
        <v>1.44</v>
      </c>
      <c r="F220" s="313" t="s">
        <v>395</v>
      </c>
      <c r="G220" s="313" t="s">
        <v>395</v>
      </c>
      <c r="H220" s="313" t="s">
        <v>395</v>
      </c>
      <c r="I220" s="313" t="s">
        <v>1016</v>
      </c>
      <c r="J220" s="313">
        <v>22</v>
      </c>
      <c r="K220" s="317" t="s">
        <v>397</v>
      </c>
      <c r="L220" s="317">
        <v>47.167417</v>
      </c>
      <c r="M220" s="317">
        <v>38.737389</v>
      </c>
    </row>
    <row r="221" spans="1:13" ht="25.5" hidden="1" x14ac:dyDescent="0.25">
      <c r="A221" s="313">
        <f t="shared" si="3"/>
        <v>220</v>
      </c>
      <c r="B221" s="314" t="s">
        <v>1459</v>
      </c>
      <c r="C221" s="315" t="s">
        <v>848</v>
      </c>
      <c r="D221" s="316" t="s">
        <v>1460</v>
      </c>
      <c r="E221" s="313">
        <v>1.08</v>
      </c>
      <c r="F221" s="313" t="s">
        <v>395</v>
      </c>
      <c r="G221" s="313" t="s">
        <v>395</v>
      </c>
      <c r="H221" s="313" t="s">
        <v>395</v>
      </c>
      <c r="I221" s="313" t="s">
        <v>1016</v>
      </c>
      <c r="J221" s="313">
        <v>4</v>
      </c>
      <c r="K221" s="317" t="s">
        <v>397</v>
      </c>
      <c r="L221" s="317">
        <v>47.228386999999998</v>
      </c>
      <c r="M221" s="317">
        <v>38.908442000000001</v>
      </c>
    </row>
    <row r="222" spans="1:13" ht="45" hidden="1" x14ac:dyDescent="0.25">
      <c r="A222" s="313">
        <f t="shared" si="3"/>
        <v>221</v>
      </c>
      <c r="B222" s="314" t="s">
        <v>1463</v>
      </c>
      <c r="C222" s="315" t="s">
        <v>582</v>
      </c>
      <c r="D222" s="316" t="s">
        <v>1464</v>
      </c>
      <c r="E222" s="313">
        <v>2.36</v>
      </c>
      <c r="F222" s="313" t="s">
        <v>395</v>
      </c>
      <c r="G222" s="313" t="s">
        <v>395</v>
      </c>
      <c r="H222" s="313" t="s">
        <v>395</v>
      </c>
      <c r="I222" s="313" t="s">
        <v>1016</v>
      </c>
      <c r="J222" s="313">
        <v>68</v>
      </c>
      <c r="K222" s="317" t="s">
        <v>397</v>
      </c>
      <c r="L222" s="317">
        <v>47.566676000000001</v>
      </c>
      <c r="M222" s="317">
        <v>38.644306999999998</v>
      </c>
    </row>
    <row r="223" spans="1:13" ht="30" hidden="1" x14ac:dyDescent="0.25">
      <c r="A223" s="313">
        <f t="shared" si="3"/>
        <v>222</v>
      </c>
      <c r="B223" s="314" t="s">
        <v>1467</v>
      </c>
      <c r="C223" s="315" t="s">
        <v>637</v>
      </c>
      <c r="D223" s="316" t="s">
        <v>1468</v>
      </c>
      <c r="E223" s="313">
        <v>2.2799999999999998</v>
      </c>
      <c r="F223" s="313" t="s">
        <v>395</v>
      </c>
      <c r="G223" s="313" t="s">
        <v>395</v>
      </c>
      <c r="H223" s="313" t="s">
        <v>395</v>
      </c>
      <c r="I223" s="313" t="s">
        <v>1016</v>
      </c>
      <c r="J223" s="313">
        <v>64</v>
      </c>
      <c r="K223" s="317" t="s">
        <v>397</v>
      </c>
      <c r="L223" s="317">
        <v>47.592081</v>
      </c>
      <c r="M223" s="317">
        <v>39.136355999999999</v>
      </c>
    </row>
    <row r="224" spans="1:13" ht="45" hidden="1" x14ac:dyDescent="0.25">
      <c r="A224" s="313">
        <f t="shared" si="3"/>
        <v>223</v>
      </c>
      <c r="B224" s="314" t="s">
        <v>1471</v>
      </c>
      <c r="C224" s="315" t="s">
        <v>582</v>
      </c>
      <c r="D224" s="316" t="s">
        <v>1472</v>
      </c>
      <c r="E224" s="313">
        <v>2.56</v>
      </c>
      <c r="F224" s="313" t="s">
        <v>395</v>
      </c>
      <c r="G224" s="313" t="s">
        <v>395</v>
      </c>
      <c r="H224" s="313" t="s">
        <v>395</v>
      </c>
      <c r="I224" s="313" t="s">
        <v>1016</v>
      </c>
      <c r="J224" s="313">
        <v>78</v>
      </c>
      <c r="K224" s="317" t="s">
        <v>397</v>
      </c>
      <c r="L224" s="317">
        <v>47.428755000000002</v>
      </c>
      <c r="M224" s="317">
        <v>38.655867999999998</v>
      </c>
    </row>
    <row r="225" spans="1:13" ht="45" hidden="1" x14ac:dyDescent="0.25">
      <c r="A225" s="313">
        <f t="shared" si="3"/>
        <v>224</v>
      </c>
      <c r="B225" s="314" t="s">
        <v>1475</v>
      </c>
      <c r="C225" s="315" t="s">
        <v>582</v>
      </c>
      <c r="D225" s="316" t="s">
        <v>1476</v>
      </c>
      <c r="E225" s="313">
        <v>2.62</v>
      </c>
      <c r="F225" s="313" t="s">
        <v>395</v>
      </c>
      <c r="G225" s="313" t="s">
        <v>395</v>
      </c>
      <c r="H225" s="313" t="s">
        <v>395</v>
      </c>
      <c r="I225" s="313" t="s">
        <v>1016</v>
      </c>
      <c r="J225" s="313">
        <v>81</v>
      </c>
      <c r="K225" s="317" t="s">
        <v>397</v>
      </c>
      <c r="L225" s="317">
        <v>47.425552000000003</v>
      </c>
      <c r="M225" s="317">
        <v>38.683362000000002</v>
      </c>
    </row>
    <row r="226" spans="1:13" ht="45" hidden="1" x14ac:dyDescent="0.25">
      <c r="A226" s="313">
        <f t="shared" si="3"/>
        <v>225</v>
      </c>
      <c r="B226" s="314" t="s">
        <v>1479</v>
      </c>
      <c r="C226" s="315" t="s">
        <v>412</v>
      </c>
      <c r="D226" s="316" t="s">
        <v>1480</v>
      </c>
      <c r="E226" s="313">
        <v>1.08</v>
      </c>
      <c r="F226" s="313" t="s">
        <v>395</v>
      </c>
      <c r="G226" s="313" t="s">
        <v>395</v>
      </c>
      <c r="H226" s="313" t="s">
        <v>395</v>
      </c>
      <c r="I226" s="313" t="s">
        <v>1016</v>
      </c>
      <c r="J226" s="313">
        <v>4</v>
      </c>
      <c r="K226" s="317" t="s">
        <v>397</v>
      </c>
      <c r="L226" s="317">
        <v>47.258986999999998</v>
      </c>
      <c r="M226" s="317">
        <v>38.917816999999999</v>
      </c>
    </row>
    <row r="227" spans="1:13" ht="75" hidden="1" x14ac:dyDescent="0.25">
      <c r="A227" s="313">
        <f t="shared" si="3"/>
        <v>226</v>
      </c>
      <c r="B227" s="314" t="s">
        <v>1483</v>
      </c>
      <c r="C227" s="315" t="s">
        <v>428</v>
      </c>
      <c r="D227" s="316" t="s">
        <v>1484</v>
      </c>
      <c r="E227" s="313">
        <v>1.52</v>
      </c>
      <c r="F227" s="313" t="s">
        <v>395</v>
      </c>
      <c r="G227" s="313" t="s">
        <v>395</v>
      </c>
      <c r="H227" s="313" t="s">
        <v>395</v>
      </c>
      <c r="I227" s="313" t="s">
        <v>1016</v>
      </c>
      <c r="J227" s="313">
        <v>26</v>
      </c>
      <c r="K227" s="317" t="s">
        <v>397</v>
      </c>
      <c r="L227" s="317">
        <v>47.405555999999997</v>
      </c>
      <c r="M227" s="317">
        <v>38.913055999999997</v>
      </c>
    </row>
    <row r="228" spans="1:13" ht="30" hidden="1" x14ac:dyDescent="0.25">
      <c r="A228" s="313">
        <f t="shared" si="3"/>
        <v>227</v>
      </c>
      <c r="B228" s="314" t="s">
        <v>1487</v>
      </c>
      <c r="C228" s="315" t="s">
        <v>637</v>
      </c>
      <c r="D228" s="316" t="s">
        <v>1488</v>
      </c>
      <c r="E228" s="313">
        <v>2.9</v>
      </c>
      <c r="F228" s="313" t="s">
        <v>395</v>
      </c>
      <c r="G228" s="313" t="s">
        <v>395</v>
      </c>
      <c r="H228" s="313" t="s">
        <v>395</v>
      </c>
      <c r="I228" s="313" t="s">
        <v>1016</v>
      </c>
      <c r="J228" s="313">
        <v>95</v>
      </c>
      <c r="K228" s="317" t="s">
        <v>397</v>
      </c>
      <c r="L228" s="317">
        <v>47.501199999999997</v>
      </c>
      <c r="M228" s="317">
        <v>38.344099999999997</v>
      </c>
    </row>
    <row r="229" spans="1:13" ht="30" hidden="1" x14ac:dyDescent="0.25">
      <c r="A229" s="313">
        <f t="shared" si="3"/>
        <v>228</v>
      </c>
      <c r="B229" s="314" t="s">
        <v>1491</v>
      </c>
      <c r="C229" s="315" t="s">
        <v>637</v>
      </c>
      <c r="D229" s="316" t="s">
        <v>1492</v>
      </c>
      <c r="E229" s="313">
        <v>1.66</v>
      </c>
      <c r="F229" s="313" t="s">
        <v>395</v>
      </c>
      <c r="G229" s="313" t="s">
        <v>395</v>
      </c>
      <c r="H229" s="313" t="s">
        <v>395</v>
      </c>
      <c r="I229" s="313" t="s">
        <v>1016</v>
      </c>
      <c r="J229" s="313">
        <v>33</v>
      </c>
      <c r="K229" s="317" t="s">
        <v>397</v>
      </c>
      <c r="L229" s="317">
        <v>47.378242999999998</v>
      </c>
      <c r="M229" s="317">
        <v>38.664836000000001</v>
      </c>
    </row>
    <row r="230" spans="1:13" ht="30" hidden="1" x14ac:dyDescent="0.25">
      <c r="A230" s="313">
        <f t="shared" si="3"/>
        <v>229</v>
      </c>
      <c r="B230" s="314" t="s">
        <v>1495</v>
      </c>
      <c r="C230" s="315" t="s">
        <v>637</v>
      </c>
      <c r="D230" s="316" t="s">
        <v>1496</v>
      </c>
      <c r="E230" s="313">
        <v>1.9</v>
      </c>
      <c r="F230" s="313" t="s">
        <v>395</v>
      </c>
      <c r="G230" s="313" t="s">
        <v>395</v>
      </c>
      <c r="H230" s="313" t="s">
        <v>395</v>
      </c>
      <c r="I230" s="313" t="s">
        <v>1016</v>
      </c>
      <c r="J230" s="313">
        <v>45</v>
      </c>
      <c r="K230" s="317" t="s">
        <v>397</v>
      </c>
      <c r="L230" s="317">
        <v>47.288500999999997</v>
      </c>
      <c r="M230" s="317">
        <v>38.582227000000003</v>
      </c>
    </row>
    <row r="231" spans="1:13" ht="45" hidden="1" x14ac:dyDescent="0.25">
      <c r="A231" s="313">
        <f t="shared" si="3"/>
        <v>230</v>
      </c>
      <c r="B231" s="314" t="s">
        <v>1500</v>
      </c>
      <c r="C231" s="315" t="s">
        <v>582</v>
      </c>
      <c r="D231" s="316" t="s">
        <v>1501</v>
      </c>
      <c r="E231" s="313">
        <v>2.38</v>
      </c>
      <c r="F231" s="313" t="s">
        <v>395</v>
      </c>
      <c r="G231" s="313" t="s">
        <v>395</v>
      </c>
      <c r="H231" s="313" t="s">
        <v>395</v>
      </c>
      <c r="I231" s="313" t="s">
        <v>1016</v>
      </c>
      <c r="J231" s="313">
        <v>69</v>
      </c>
      <c r="K231" s="317" t="s">
        <v>397</v>
      </c>
      <c r="L231" s="317">
        <v>47.704422000000001</v>
      </c>
      <c r="M231" s="317">
        <v>39.641888999999999</v>
      </c>
    </row>
    <row r="232" spans="1:13" ht="30" hidden="1" x14ac:dyDescent="0.25">
      <c r="A232" s="313">
        <f t="shared" si="3"/>
        <v>231</v>
      </c>
      <c r="B232" s="314" t="s">
        <v>1504</v>
      </c>
      <c r="C232" s="315" t="s">
        <v>637</v>
      </c>
      <c r="D232" s="316" t="s">
        <v>1505</v>
      </c>
      <c r="E232" s="313">
        <v>2.12</v>
      </c>
      <c r="F232" s="313" t="s">
        <v>395</v>
      </c>
      <c r="G232" s="313" t="s">
        <v>395</v>
      </c>
      <c r="H232" s="313" t="s">
        <v>395</v>
      </c>
      <c r="I232" s="313" t="s">
        <v>1016</v>
      </c>
      <c r="J232" s="313">
        <v>56</v>
      </c>
      <c r="K232" s="317" t="s">
        <v>397</v>
      </c>
      <c r="L232" s="317">
        <v>47.612217000000001</v>
      </c>
      <c r="M232" s="317">
        <v>38.798631999999998</v>
      </c>
    </row>
    <row r="233" spans="1:13" ht="30" hidden="1" x14ac:dyDescent="0.25">
      <c r="A233" s="313">
        <f t="shared" si="3"/>
        <v>232</v>
      </c>
      <c r="B233" s="314" t="s">
        <v>1508</v>
      </c>
      <c r="C233" s="315" t="s">
        <v>503</v>
      </c>
      <c r="D233" s="316" t="s">
        <v>1509</v>
      </c>
      <c r="E233" s="313">
        <v>1</v>
      </c>
      <c r="F233" s="313" t="s">
        <v>395</v>
      </c>
      <c r="G233" s="313" t="s">
        <v>395</v>
      </c>
      <c r="H233" s="313" t="s">
        <v>395</v>
      </c>
      <c r="I233" s="313" t="s">
        <v>1016</v>
      </c>
      <c r="J233" s="313">
        <v>0</v>
      </c>
      <c r="K233" s="317" t="s">
        <v>397</v>
      </c>
      <c r="L233" s="317">
        <v>47.207407000000003</v>
      </c>
      <c r="M233" s="317">
        <v>38.857739000000002</v>
      </c>
    </row>
    <row r="234" spans="1:13" ht="25.5" hidden="1" x14ac:dyDescent="0.25">
      <c r="A234" s="313">
        <f t="shared" si="3"/>
        <v>233</v>
      </c>
      <c r="B234" s="314" t="s">
        <v>1512</v>
      </c>
      <c r="C234" s="315" t="s">
        <v>848</v>
      </c>
      <c r="D234" s="316" t="s">
        <v>1513</v>
      </c>
      <c r="E234" s="313">
        <v>1.02</v>
      </c>
      <c r="F234" s="313" t="s">
        <v>395</v>
      </c>
      <c r="G234" s="313" t="s">
        <v>395</v>
      </c>
      <c r="H234" s="313" t="s">
        <v>395</v>
      </c>
      <c r="I234" s="313" t="s">
        <v>1016</v>
      </c>
      <c r="J234" s="313">
        <v>1</v>
      </c>
      <c r="K234" s="317" t="s">
        <v>397</v>
      </c>
      <c r="L234" s="317">
        <v>47.217139000000003</v>
      </c>
      <c r="M234" s="317">
        <v>38.923651</v>
      </c>
    </row>
    <row r="235" spans="1:13" ht="45" hidden="1" x14ac:dyDescent="0.25">
      <c r="A235" s="313">
        <f t="shared" si="3"/>
        <v>234</v>
      </c>
      <c r="B235" s="314" t="s">
        <v>1516</v>
      </c>
      <c r="C235" s="315" t="s">
        <v>412</v>
      </c>
      <c r="D235" s="316" t="s">
        <v>1517</v>
      </c>
      <c r="E235" s="313">
        <v>2.76</v>
      </c>
      <c r="F235" s="313" t="s">
        <v>395</v>
      </c>
      <c r="G235" s="313" t="s">
        <v>395</v>
      </c>
      <c r="H235" s="313" t="s">
        <v>395</v>
      </c>
      <c r="I235" s="313" t="s">
        <v>1016</v>
      </c>
      <c r="J235" s="313">
        <v>88</v>
      </c>
      <c r="K235" s="317" t="s">
        <v>397</v>
      </c>
      <c r="L235" s="317">
        <v>47.561556000000003</v>
      </c>
      <c r="M235" s="317">
        <v>38.483739</v>
      </c>
    </row>
    <row r="236" spans="1:13" ht="30" hidden="1" x14ac:dyDescent="0.25">
      <c r="A236" s="313">
        <f t="shared" si="3"/>
        <v>235</v>
      </c>
      <c r="B236" s="314" t="s">
        <v>1520</v>
      </c>
      <c r="C236" s="315" t="s">
        <v>503</v>
      </c>
      <c r="D236" s="316" t="s">
        <v>1521</v>
      </c>
      <c r="E236" s="313">
        <v>1.04</v>
      </c>
      <c r="F236" s="313" t="s">
        <v>395</v>
      </c>
      <c r="G236" s="313" t="s">
        <v>395</v>
      </c>
      <c r="H236" s="313" t="s">
        <v>395</v>
      </c>
      <c r="I236" s="313" t="s">
        <v>1016</v>
      </c>
      <c r="J236" s="313">
        <v>2</v>
      </c>
      <c r="K236" s="317" t="s">
        <v>397</v>
      </c>
      <c r="L236" s="317">
        <v>47.250629000000004</v>
      </c>
      <c r="M236" s="317">
        <v>38.923428999999999</v>
      </c>
    </row>
    <row r="237" spans="1:13" ht="45" hidden="1" x14ac:dyDescent="0.25">
      <c r="A237" s="313">
        <f t="shared" si="3"/>
        <v>236</v>
      </c>
      <c r="B237" s="314" t="s">
        <v>1524</v>
      </c>
      <c r="C237" s="315" t="s">
        <v>412</v>
      </c>
      <c r="D237" s="316" t="s">
        <v>1525</v>
      </c>
      <c r="E237" s="313">
        <v>1</v>
      </c>
      <c r="F237" s="313" t="s">
        <v>395</v>
      </c>
      <c r="G237" s="313" t="s">
        <v>395</v>
      </c>
      <c r="H237" s="313" t="s">
        <v>395</v>
      </c>
      <c r="I237" s="313" t="s">
        <v>1016</v>
      </c>
      <c r="J237" s="313">
        <v>0</v>
      </c>
      <c r="K237" s="317" t="s">
        <v>397</v>
      </c>
      <c r="L237" s="317">
        <v>47.227412999999999</v>
      </c>
      <c r="M237" s="317">
        <v>38.932110999999999</v>
      </c>
    </row>
    <row r="238" spans="1:13" ht="75" hidden="1" x14ac:dyDescent="0.25">
      <c r="A238" s="313">
        <f t="shared" si="3"/>
        <v>237</v>
      </c>
      <c r="B238" s="314" t="s">
        <v>1528</v>
      </c>
      <c r="C238" s="315" t="s">
        <v>428</v>
      </c>
      <c r="D238" s="316" t="s">
        <v>1529</v>
      </c>
      <c r="E238" s="313">
        <v>1.1599999999999999</v>
      </c>
      <c r="F238" s="313" t="s">
        <v>395</v>
      </c>
      <c r="G238" s="313" t="s">
        <v>395</v>
      </c>
      <c r="H238" s="313" t="s">
        <v>395</v>
      </c>
      <c r="I238" s="313" t="s">
        <v>1016</v>
      </c>
      <c r="J238" s="313">
        <v>8</v>
      </c>
      <c r="K238" s="317" t="s">
        <v>397</v>
      </c>
      <c r="L238" s="317">
        <v>47.219721999999997</v>
      </c>
      <c r="M238" s="317">
        <v>38.859444000000003</v>
      </c>
    </row>
    <row r="239" spans="1:13" ht="75" hidden="1" x14ac:dyDescent="0.25">
      <c r="A239" s="313">
        <f t="shared" si="3"/>
        <v>238</v>
      </c>
      <c r="B239" s="314" t="s">
        <v>1532</v>
      </c>
      <c r="C239" s="315" t="s">
        <v>428</v>
      </c>
      <c r="D239" s="316" t="s">
        <v>1535</v>
      </c>
      <c r="E239" s="313">
        <v>1.06</v>
      </c>
      <c r="F239" s="313" t="s">
        <v>395</v>
      </c>
      <c r="G239" s="313" t="s">
        <v>395</v>
      </c>
      <c r="H239" s="313" t="s">
        <v>395</v>
      </c>
      <c r="I239" s="313" t="s">
        <v>1016</v>
      </c>
      <c r="J239" s="313">
        <v>3</v>
      </c>
      <c r="K239" s="317" t="s">
        <v>397</v>
      </c>
      <c r="L239" s="317">
        <v>47.256551999999999</v>
      </c>
      <c r="M239" s="317">
        <v>38.911791999999998</v>
      </c>
    </row>
    <row r="240" spans="1:13" ht="30" hidden="1" x14ac:dyDescent="0.25">
      <c r="A240" s="313">
        <f t="shared" si="3"/>
        <v>239</v>
      </c>
      <c r="B240" s="314" t="s">
        <v>1537</v>
      </c>
      <c r="C240" s="315" t="s">
        <v>399</v>
      </c>
      <c r="D240" s="316" t="s">
        <v>1539</v>
      </c>
      <c r="E240" s="313">
        <v>1.1599999999999999</v>
      </c>
      <c r="F240" s="313" t="s">
        <v>395</v>
      </c>
      <c r="G240" s="313" t="s">
        <v>395</v>
      </c>
      <c r="H240" s="313" t="s">
        <v>395</v>
      </c>
      <c r="I240" s="313" t="s">
        <v>1016</v>
      </c>
      <c r="J240" s="313">
        <v>8</v>
      </c>
      <c r="K240" s="317" t="s">
        <v>397</v>
      </c>
      <c r="L240" s="317">
        <v>47.262462999999997</v>
      </c>
      <c r="M240" s="317">
        <v>38.868262000000001</v>
      </c>
    </row>
    <row r="241" spans="1:13" ht="45" hidden="1" x14ac:dyDescent="0.25">
      <c r="A241" s="313">
        <f t="shared" si="3"/>
        <v>240</v>
      </c>
      <c r="B241" s="314" t="s">
        <v>1541</v>
      </c>
      <c r="C241" s="315" t="s">
        <v>412</v>
      </c>
      <c r="D241" s="316" t="s">
        <v>1543</v>
      </c>
      <c r="E241" s="313">
        <v>1.08</v>
      </c>
      <c r="F241" s="313" t="s">
        <v>395</v>
      </c>
      <c r="G241" s="313" t="s">
        <v>395</v>
      </c>
      <c r="H241" s="313" t="s">
        <v>395</v>
      </c>
      <c r="I241" s="313" t="s">
        <v>1016</v>
      </c>
      <c r="J241" s="313">
        <v>4</v>
      </c>
      <c r="K241" s="317" t="s">
        <v>397</v>
      </c>
      <c r="L241" s="317">
        <v>47.252946999999999</v>
      </c>
      <c r="M241" s="317">
        <v>38.933681999999997</v>
      </c>
    </row>
    <row r="242" spans="1:13" ht="45" hidden="1" x14ac:dyDescent="0.25">
      <c r="A242" s="313">
        <f t="shared" si="3"/>
        <v>241</v>
      </c>
      <c r="B242" s="314" t="s">
        <v>1545</v>
      </c>
      <c r="C242" s="315" t="s">
        <v>412</v>
      </c>
      <c r="D242" s="316" t="s">
        <v>1547</v>
      </c>
      <c r="E242" s="313">
        <v>2.14</v>
      </c>
      <c r="F242" s="313" t="s">
        <v>395</v>
      </c>
      <c r="G242" s="313" t="s">
        <v>395</v>
      </c>
      <c r="H242" s="313" t="s">
        <v>395</v>
      </c>
      <c r="I242" s="313" t="s">
        <v>1016</v>
      </c>
      <c r="J242" s="313">
        <v>57</v>
      </c>
      <c r="K242" s="317" t="s">
        <v>397</v>
      </c>
      <c r="L242" s="317">
        <v>47.167499999999997</v>
      </c>
      <c r="M242" s="317">
        <v>38.260832999999998</v>
      </c>
    </row>
    <row r="243" spans="1:13" ht="60" hidden="1" x14ac:dyDescent="0.25">
      <c r="A243" s="313">
        <f t="shared" si="3"/>
        <v>242</v>
      </c>
      <c r="B243" s="314" t="s">
        <v>1549</v>
      </c>
      <c r="C243" s="315" t="s">
        <v>408</v>
      </c>
      <c r="D243" s="316" t="s">
        <v>1551</v>
      </c>
      <c r="E243" s="313">
        <v>1.1200000000000001</v>
      </c>
      <c r="F243" s="313" t="s">
        <v>395</v>
      </c>
      <c r="G243" s="313" t="s">
        <v>395</v>
      </c>
      <c r="H243" s="313" t="s">
        <v>395</v>
      </c>
      <c r="I243" s="313" t="s">
        <v>1016</v>
      </c>
      <c r="J243" s="313">
        <v>6</v>
      </c>
      <c r="K243" s="317" t="s">
        <v>397</v>
      </c>
      <c r="L243" s="317">
        <v>47.223056</v>
      </c>
      <c r="M243" s="317">
        <v>38.881943999999997</v>
      </c>
    </row>
    <row r="244" spans="1:13" ht="75" hidden="1" x14ac:dyDescent="0.25">
      <c r="A244" s="313">
        <f t="shared" si="3"/>
        <v>243</v>
      </c>
      <c r="B244" s="314" t="s">
        <v>1553</v>
      </c>
      <c r="C244" s="315" t="s">
        <v>428</v>
      </c>
      <c r="D244" s="316" t="s">
        <v>1555</v>
      </c>
      <c r="E244" s="318">
        <v>1.72</v>
      </c>
      <c r="F244" s="318" t="s">
        <v>395</v>
      </c>
      <c r="G244" s="318" t="s">
        <v>395</v>
      </c>
      <c r="H244" s="318" t="s">
        <v>395</v>
      </c>
      <c r="I244" s="318" t="s">
        <v>1016</v>
      </c>
      <c r="J244" s="318">
        <v>36</v>
      </c>
      <c r="K244" s="317" t="s">
        <v>397</v>
      </c>
      <c r="L244" s="317">
        <v>47.273223999999999</v>
      </c>
      <c r="M244" s="317">
        <v>39.277980999999997</v>
      </c>
    </row>
    <row r="245" spans="1:13" ht="60" hidden="1" x14ac:dyDescent="0.25">
      <c r="A245" s="313">
        <f t="shared" si="3"/>
        <v>244</v>
      </c>
      <c r="B245" s="314" t="s">
        <v>1557</v>
      </c>
      <c r="C245" s="315" t="s">
        <v>677</v>
      </c>
      <c r="D245" s="316" t="s">
        <v>1559</v>
      </c>
      <c r="E245" s="318">
        <v>1.58</v>
      </c>
      <c r="F245" s="318" t="s">
        <v>395</v>
      </c>
      <c r="G245" s="318" t="s">
        <v>395</v>
      </c>
      <c r="H245" s="318" t="s">
        <v>395</v>
      </c>
      <c r="I245" s="318" t="s">
        <v>1016</v>
      </c>
      <c r="J245" s="318">
        <v>29</v>
      </c>
      <c r="K245" s="317" t="s">
        <v>397</v>
      </c>
      <c r="L245" s="317">
        <v>47.292661000000003</v>
      </c>
      <c r="M245" s="317">
        <v>39.204225999999998</v>
      </c>
    </row>
    <row r="246" spans="1:13" ht="60" hidden="1" x14ac:dyDescent="0.25">
      <c r="A246" s="313">
        <f t="shared" si="3"/>
        <v>245</v>
      </c>
      <c r="B246" s="314" t="s">
        <v>1561</v>
      </c>
      <c r="C246" s="315" t="s">
        <v>408</v>
      </c>
      <c r="D246" s="316" t="s">
        <v>1563</v>
      </c>
      <c r="E246" s="318">
        <v>1.1200000000000001</v>
      </c>
      <c r="F246" s="318" t="s">
        <v>395</v>
      </c>
      <c r="G246" s="318" t="s">
        <v>395</v>
      </c>
      <c r="H246" s="318" t="s">
        <v>395</v>
      </c>
      <c r="I246" s="318" t="s">
        <v>1016</v>
      </c>
      <c r="J246" s="318">
        <v>6</v>
      </c>
      <c r="K246" s="317" t="s">
        <v>397</v>
      </c>
      <c r="L246" s="317">
        <v>47.240278000000004</v>
      </c>
      <c r="M246" s="317">
        <v>38.880664000000003</v>
      </c>
    </row>
    <row r="247" spans="1:13" ht="45" hidden="1" x14ac:dyDescent="0.25">
      <c r="A247" s="313">
        <f t="shared" si="3"/>
        <v>246</v>
      </c>
      <c r="B247" s="314" t="s">
        <v>1565</v>
      </c>
      <c r="C247" s="315" t="s">
        <v>412</v>
      </c>
      <c r="D247" s="316" t="s">
        <v>1567</v>
      </c>
      <c r="E247" s="318">
        <v>2.12</v>
      </c>
      <c r="F247" s="318" t="s">
        <v>395</v>
      </c>
      <c r="G247" s="318" t="s">
        <v>395</v>
      </c>
      <c r="H247" s="318" t="s">
        <v>395</v>
      </c>
      <c r="I247" s="318" t="s">
        <v>1016</v>
      </c>
      <c r="J247" s="318">
        <v>56</v>
      </c>
      <c r="K247" s="317" t="s">
        <v>397</v>
      </c>
      <c r="L247" s="317">
        <v>47.234817</v>
      </c>
      <c r="M247" s="317">
        <v>38.369309000000001</v>
      </c>
    </row>
    <row r="248" spans="1:13" ht="75" hidden="1" x14ac:dyDescent="0.25">
      <c r="A248" s="313">
        <f t="shared" si="3"/>
        <v>247</v>
      </c>
      <c r="B248" s="314" t="s">
        <v>1569</v>
      </c>
      <c r="C248" s="315" t="s">
        <v>428</v>
      </c>
      <c r="D248" s="316" t="s">
        <v>1571</v>
      </c>
      <c r="E248" s="318">
        <v>1.46</v>
      </c>
      <c r="F248" s="318" t="s">
        <v>395</v>
      </c>
      <c r="G248" s="318" t="s">
        <v>395</v>
      </c>
      <c r="H248" s="318" t="s">
        <v>395</v>
      </c>
      <c r="I248" s="318" t="s">
        <v>1016</v>
      </c>
      <c r="J248" s="318">
        <v>23</v>
      </c>
      <c r="K248" s="317" t="s">
        <v>397</v>
      </c>
      <c r="L248" s="317">
        <v>47.189166999999998</v>
      </c>
      <c r="M248" s="317">
        <v>38.665278000000001</v>
      </c>
    </row>
    <row r="249" spans="1:13" ht="75" hidden="1" x14ac:dyDescent="0.25">
      <c r="A249" s="313">
        <f t="shared" si="3"/>
        <v>248</v>
      </c>
      <c r="B249" s="314" t="s">
        <v>1573</v>
      </c>
      <c r="C249" s="315" t="s">
        <v>428</v>
      </c>
      <c r="D249" s="316" t="s">
        <v>1575</v>
      </c>
      <c r="E249" s="318">
        <v>1.18</v>
      </c>
      <c r="F249" s="318" t="s">
        <v>395</v>
      </c>
      <c r="G249" s="318" t="s">
        <v>395</v>
      </c>
      <c r="H249" s="318" t="s">
        <v>395</v>
      </c>
      <c r="I249" s="318" t="s">
        <v>1016</v>
      </c>
      <c r="J249" s="318">
        <v>9</v>
      </c>
      <c r="K249" s="317" t="s">
        <v>397</v>
      </c>
      <c r="L249" s="317">
        <v>47.224477</v>
      </c>
      <c r="M249" s="317">
        <v>38.845751</v>
      </c>
    </row>
    <row r="250" spans="1:13" ht="60" hidden="1" x14ac:dyDescent="0.25">
      <c r="A250" s="313">
        <f t="shared" si="3"/>
        <v>249</v>
      </c>
      <c r="B250" s="314" t="s">
        <v>1577</v>
      </c>
      <c r="C250" s="315" t="s">
        <v>677</v>
      </c>
      <c r="D250" s="316" t="s">
        <v>1579</v>
      </c>
      <c r="E250" s="318">
        <v>2.08</v>
      </c>
      <c r="F250" s="318" t="s">
        <v>395</v>
      </c>
      <c r="G250" s="318" t="s">
        <v>395</v>
      </c>
      <c r="H250" s="318" t="s">
        <v>395</v>
      </c>
      <c r="I250" s="318" t="s">
        <v>1016</v>
      </c>
      <c r="J250" s="318">
        <v>54</v>
      </c>
      <c r="K250" s="317" t="s">
        <v>397</v>
      </c>
      <c r="L250" s="317">
        <v>47.510278</v>
      </c>
      <c r="M250" s="317">
        <v>39.247500000000002</v>
      </c>
    </row>
    <row r="251" spans="1:13" ht="60" hidden="1" x14ac:dyDescent="0.25">
      <c r="A251" s="313">
        <f t="shared" si="3"/>
        <v>250</v>
      </c>
      <c r="B251" s="314" t="s">
        <v>1581</v>
      </c>
      <c r="C251" s="315" t="s">
        <v>452</v>
      </c>
      <c r="D251" s="316" t="s">
        <v>1583</v>
      </c>
      <c r="E251" s="318">
        <v>1.8</v>
      </c>
      <c r="F251" s="318" t="s">
        <v>395</v>
      </c>
      <c r="G251" s="318" t="s">
        <v>395</v>
      </c>
      <c r="H251" s="318" t="s">
        <v>395</v>
      </c>
      <c r="I251" s="318" t="s">
        <v>1016</v>
      </c>
      <c r="J251" s="318">
        <v>40</v>
      </c>
      <c r="K251" s="317" t="s">
        <v>397</v>
      </c>
      <c r="L251" s="317">
        <v>47.194161999999999</v>
      </c>
      <c r="M251" s="317">
        <v>38.550057000000002</v>
      </c>
    </row>
    <row r="252" spans="1:13" ht="75" hidden="1" x14ac:dyDescent="0.25">
      <c r="A252" s="313">
        <f t="shared" si="3"/>
        <v>251</v>
      </c>
      <c r="B252" s="314" t="s">
        <v>1584</v>
      </c>
      <c r="C252" s="315" t="s">
        <v>428</v>
      </c>
      <c r="D252" s="316" t="s">
        <v>1585</v>
      </c>
      <c r="E252" s="318">
        <v>1.64</v>
      </c>
      <c r="F252" s="318" t="s">
        <v>395</v>
      </c>
      <c r="G252" s="318" t="s">
        <v>395</v>
      </c>
      <c r="H252" s="318" t="s">
        <v>395</v>
      </c>
      <c r="I252" s="318" t="s">
        <v>1016</v>
      </c>
      <c r="J252" s="318">
        <v>32</v>
      </c>
      <c r="K252" s="317" t="s">
        <v>397</v>
      </c>
      <c r="L252" s="317">
        <v>47.349722</v>
      </c>
      <c r="M252" s="317">
        <v>38.629722000000001</v>
      </c>
    </row>
    <row r="253" spans="1:13" ht="45" hidden="1" x14ac:dyDescent="0.25">
      <c r="A253" s="313">
        <f t="shared" si="3"/>
        <v>252</v>
      </c>
      <c r="B253" s="314" t="s">
        <v>1588</v>
      </c>
      <c r="C253" s="315" t="s">
        <v>412</v>
      </c>
      <c r="D253" s="316" t="s">
        <v>1589</v>
      </c>
      <c r="E253" s="318">
        <v>2.76</v>
      </c>
      <c r="F253" s="318" t="s">
        <v>395</v>
      </c>
      <c r="G253" s="318" t="s">
        <v>395</v>
      </c>
      <c r="H253" s="318" t="s">
        <v>395</v>
      </c>
      <c r="I253" s="318" t="s">
        <v>1016</v>
      </c>
      <c r="J253" s="318">
        <v>88</v>
      </c>
      <c r="K253" s="317" t="s">
        <v>397</v>
      </c>
      <c r="L253" s="317">
        <v>47.750166999999998</v>
      </c>
      <c r="M253" s="317">
        <v>39.215277999999998</v>
      </c>
    </row>
    <row r="254" spans="1:13" ht="45" hidden="1" x14ac:dyDescent="0.25">
      <c r="A254" s="313">
        <f t="shared" si="3"/>
        <v>253</v>
      </c>
      <c r="B254" s="314" t="s">
        <v>1592</v>
      </c>
      <c r="C254" s="315" t="s">
        <v>412</v>
      </c>
      <c r="D254" s="316" t="s">
        <v>1593</v>
      </c>
      <c r="E254" s="318">
        <v>2.62</v>
      </c>
      <c r="F254" s="318" t="s">
        <v>395</v>
      </c>
      <c r="G254" s="318" t="s">
        <v>395</v>
      </c>
      <c r="H254" s="318" t="s">
        <v>395</v>
      </c>
      <c r="I254" s="318" t="s">
        <v>1016</v>
      </c>
      <c r="J254" s="318">
        <v>81</v>
      </c>
      <c r="K254" s="317" t="s">
        <v>397</v>
      </c>
      <c r="L254" s="317">
        <v>47.655306000000003</v>
      </c>
      <c r="M254" s="317">
        <v>39.207473999999998</v>
      </c>
    </row>
    <row r="255" spans="1:13" ht="60" hidden="1" x14ac:dyDescent="0.25">
      <c r="A255" s="313">
        <f t="shared" si="3"/>
        <v>254</v>
      </c>
      <c r="B255" s="314" t="s">
        <v>1596</v>
      </c>
      <c r="C255" s="315" t="s">
        <v>677</v>
      </c>
      <c r="D255" s="316" t="s">
        <v>1597</v>
      </c>
      <c r="E255" s="318">
        <v>2.7</v>
      </c>
      <c r="F255" s="318" t="s">
        <v>395</v>
      </c>
      <c r="G255" s="318" t="s">
        <v>395</v>
      </c>
      <c r="H255" s="318" t="s">
        <v>395</v>
      </c>
      <c r="I255" s="318" t="s">
        <v>1016</v>
      </c>
      <c r="J255" s="318">
        <v>85</v>
      </c>
      <c r="K255" s="317" t="s">
        <v>397</v>
      </c>
      <c r="L255" s="317">
        <v>47.808889000000001</v>
      </c>
      <c r="M255" s="317">
        <v>38.905833000000001</v>
      </c>
    </row>
    <row r="256" spans="1:13" ht="60" hidden="1" x14ac:dyDescent="0.25">
      <c r="A256" s="313">
        <f t="shared" si="3"/>
        <v>255</v>
      </c>
      <c r="B256" s="314" t="s">
        <v>1600</v>
      </c>
      <c r="C256" s="315" t="s">
        <v>677</v>
      </c>
      <c r="D256" s="316" t="s">
        <v>1601</v>
      </c>
      <c r="E256" s="318">
        <v>2</v>
      </c>
      <c r="F256" s="318" t="s">
        <v>395</v>
      </c>
      <c r="G256" s="318" t="s">
        <v>395</v>
      </c>
      <c r="H256" s="318" t="s">
        <v>395</v>
      </c>
      <c r="I256" s="318" t="s">
        <v>1016</v>
      </c>
      <c r="J256" s="318">
        <v>50</v>
      </c>
      <c r="K256" s="317" t="s">
        <v>397</v>
      </c>
      <c r="L256" s="317">
        <v>47.564999999999998</v>
      </c>
      <c r="M256" s="317">
        <v>38.860278000000001</v>
      </c>
    </row>
    <row r="257" spans="1:13" ht="75" hidden="1" x14ac:dyDescent="0.25">
      <c r="A257" s="313">
        <f t="shared" si="3"/>
        <v>256</v>
      </c>
      <c r="B257" s="314" t="s">
        <v>1604</v>
      </c>
      <c r="C257" s="315" t="s">
        <v>428</v>
      </c>
      <c r="D257" s="316" t="s">
        <v>1605</v>
      </c>
      <c r="E257" s="318">
        <v>1.1000000000000001</v>
      </c>
      <c r="F257" s="318" t="s">
        <v>395</v>
      </c>
      <c r="G257" s="318" t="s">
        <v>395</v>
      </c>
      <c r="H257" s="318" t="s">
        <v>395</v>
      </c>
      <c r="I257" s="318" t="s">
        <v>1016</v>
      </c>
      <c r="J257" s="318">
        <v>5</v>
      </c>
      <c r="K257" s="317" t="s">
        <v>397</v>
      </c>
      <c r="L257" s="317">
        <v>47.207326999999999</v>
      </c>
      <c r="M257" s="317">
        <v>38.90616</v>
      </c>
    </row>
    <row r="258" spans="1:13" ht="60" hidden="1" x14ac:dyDescent="0.25">
      <c r="A258" s="313">
        <f t="shared" si="3"/>
        <v>257</v>
      </c>
      <c r="B258" s="314" t="s">
        <v>1608</v>
      </c>
      <c r="C258" s="315" t="s">
        <v>447</v>
      </c>
      <c r="D258" s="316" t="s">
        <v>1609</v>
      </c>
      <c r="E258" s="318">
        <v>1.22</v>
      </c>
      <c r="F258" s="318" t="s">
        <v>395</v>
      </c>
      <c r="G258" s="318" t="s">
        <v>395</v>
      </c>
      <c r="H258" s="318" t="s">
        <v>395</v>
      </c>
      <c r="I258" s="318" t="s">
        <v>1016</v>
      </c>
      <c r="J258" s="318">
        <v>11</v>
      </c>
      <c r="K258" s="317" t="s">
        <v>397</v>
      </c>
      <c r="L258" s="317">
        <v>47.231138999999999</v>
      </c>
      <c r="M258" s="317">
        <v>38.839717</v>
      </c>
    </row>
    <row r="259" spans="1:13" ht="45" hidden="1" x14ac:dyDescent="0.25">
      <c r="A259" s="313">
        <f t="shared" si="3"/>
        <v>258</v>
      </c>
      <c r="B259" s="314" t="s">
        <v>1612</v>
      </c>
      <c r="C259" s="315" t="s">
        <v>412</v>
      </c>
      <c r="D259" s="316" t="s">
        <v>1613</v>
      </c>
      <c r="E259" s="318">
        <v>1.06</v>
      </c>
      <c r="F259" s="318" t="s">
        <v>395</v>
      </c>
      <c r="G259" s="318" t="s">
        <v>395</v>
      </c>
      <c r="H259" s="318" t="s">
        <v>395</v>
      </c>
      <c r="I259" s="318" t="s">
        <v>1016</v>
      </c>
      <c r="J259" s="318">
        <v>3</v>
      </c>
      <c r="K259" s="317" t="s">
        <v>397</v>
      </c>
      <c r="L259" s="317">
        <v>47.234225000000002</v>
      </c>
      <c r="M259" s="317">
        <v>38.908633000000002</v>
      </c>
    </row>
    <row r="260" spans="1:13" ht="45" hidden="1" x14ac:dyDescent="0.25">
      <c r="A260" s="313">
        <f t="shared" ref="A260:A323" si="4">A259+1</f>
        <v>259</v>
      </c>
      <c r="B260" s="314" t="s">
        <v>1616</v>
      </c>
      <c r="C260" s="315" t="s">
        <v>412</v>
      </c>
      <c r="D260" s="316" t="s">
        <v>1617</v>
      </c>
      <c r="E260" s="318">
        <v>2.04</v>
      </c>
      <c r="F260" s="318" t="s">
        <v>395</v>
      </c>
      <c r="G260" s="318" t="s">
        <v>395</v>
      </c>
      <c r="H260" s="318" t="s">
        <v>395</v>
      </c>
      <c r="I260" s="318" t="s">
        <v>1016</v>
      </c>
      <c r="J260" s="318">
        <v>52</v>
      </c>
      <c r="K260" s="317" t="s">
        <v>397</v>
      </c>
      <c r="L260" s="317">
        <v>47.45</v>
      </c>
      <c r="M260" s="317">
        <v>39.316600000000001</v>
      </c>
    </row>
    <row r="261" spans="1:13" ht="30" hidden="1" x14ac:dyDescent="0.25">
      <c r="A261" s="313">
        <f t="shared" si="4"/>
        <v>260</v>
      </c>
      <c r="B261" s="314" t="s">
        <v>1620</v>
      </c>
      <c r="C261" s="315" t="s">
        <v>637</v>
      </c>
      <c r="D261" s="316" t="s">
        <v>1621</v>
      </c>
      <c r="E261" s="318">
        <v>2.64</v>
      </c>
      <c r="F261" s="318" t="s">
        <v>395</v>
      </c>
      <c r="G261" s="318" t="s">
        <v>395</v>
      </c>
      <c r="H261" s="318" t="s">
        <v>395</v>
      </c>
      <c r="I261" s="318" t="s">
        <v>1016</v>
      </c>
      <c r="J261" s="318">
        <v>82</v>
      </c>
      <c r="K261" s="317" t="s">
        <v>397</v>
      </c>
      <c r="L261" s="317">
        <v>47.744100000000003</v>
      </c>
      <c r="M261" s="317">
        <v>39.079300000000003</v>
      </c>
    </row>
    <row r="262" spans="1:13" ht="30" hidden="1" x14ac:dyDescent="0.25">
      <c r="A262" s="313">
        <f t="shared" si="4"/>
        <v>261</v>
      </c>
      <c r="B262" s="314" t="s">
        <v>1624</v>
      </c>
      <c r="C262" s="315" t="s">
        <v>637</v>
      </c>
      <c r="D262" s="316" t="s">
        <v>1625</v>
      </c>
      <c r="E262" s="318">
        <v>2.64</v>
      </c>
      <c r="F262" s="318" t="s">
        <v>395</v>
      </c>
      <c r="G262" s="318" t="s">
        <v>395</v>
      </c>
      <c r="H262" s="318" t="s">
        <v>395</v>
      </c>
      <c r="I262" s="318" t="s">
        <v>1016</v>
      </c>
      <c r="J262" s="318">
        <v>82</v>
      </c>
      <c r="K262" s="317" t="s">
        <v>397</v>
      </c>
      <c r="L262" s="317">
        <v>47.743056000000003</v>
      </c>
      <c r="M262" s="317">
        <v>38.9375</v>
      </c>
    </row>
    <row r="263" spans="1:13" ht="25.5" hidden="1" x14ac:dyDescent="0.25">
      <c r="A263" s="313">
        <f t="shared" si="4"/>
        <v>262</v>
      </c>
      <c r="B263" s="314" t="s">
        <v>1628</v>
      </c>
      <c r="C263" s="315" t="s">
        <v>672</v>
      </c>
      <c r="D263" s="316" t="s">
        <v>1629</v>
      </c>
      <c r="E263" s="318">
        <v>1.8</v>
      </c>
      <c r="F263" s="318" t="s">
        <v>395</v>
      </c>
      <c r="G263" s="318" t="s">
        <v>395</v>
      </c>
      <c r="H263" s="318" t="s">
        <v>395</v>
      </c>
      <c r="I263" s="318" t="s">
        <v>1016</v>
      </c>
      <c r="J263" s="318">
        <v>40</v>
      </c>
      <c r="K263" s="317" t="s">
        <v>397</v>
      </c>
      <c r="L263" s="317">
        <v>47.406508000000002</v>
      </c>
      <c r="M263" s="317">
        <v>39.167701000000001</v>
      </c>
    </row>
    <row r="264" spans="1:13" ht="38.25" hidden="1" x14ac:dyDescent="0.25">
      <c r="A264" s="313">
        <f t="shared" si="4"/>
        <v>263</v>
      </c>
      <c r="B264" s="314" t="s">
        <v>1632</v>
      </c>
      <c r="C264" s="315" t="s">
        <v>503</v>
      </c>
      <c r="D264" s="316" t="s">
        <v>1633</v>
      </c>
      <c r="E264" s="318">
        <v>1.9</v>
      </c>
      <c r="F264" s="318" t="s">
        <v>395</v>
      </c>
      <c r="G264" s="318" t="s">
        <v>395</v>
      </c>
      <c r="H264" s="318" t="s">
        <v>395</v>
      </c>
      <c r="I264" s="318" t="s">
        <v>1016</v>
      </c>
      <c r="J264" s="318">
        <v>45</v>
      </c>
      <c r="K264" s="317" t="s">
        <v>397</v>
      </c>
      <c r="L264" s="317">
        <v>47.146332000000001</v>
      </c>
      <c r="M264" s="317">
        <v>38.418520999999998</v>
      </c>
    </row>
    <row r="265" spans="1:13" ht="75" hidden="1" x14ac:dyDescent="0.25">
      <c r="A265" s="313">
        <f t="shared" si="4"/>
        <v>264</v>
      </c>
      <c r="B265" s="314" t="s">
        <v>1636</v>
      </c>
      <c r="C265" s="315" t="s">
        <v>428</v>
      </c>
      <c r="D265" s="316" t="s">
        <v>1637</v>
      </c>
      <c r="E265" s="318">
        <v>2.1</v>
      </c>
      <c r="F265" s="318" t="s">
        <v>395</v>
      </c>
      <c r="G265" s="318" t="s">
        <v>395</v>
      </c>
      <c r="H265" s="318" t="s">
        <v>395</v>
      </c>
      <c r="I265" s="318" t="s">
        <v>1016</v>
      </c>
      <c r="J265" s="318">
        <v>55</v>
      </c>
      <c r="K265" s="317" t="s">
        <v>397</v>
      </c>
      <c r="L265" s="317">
        <v>47.656405999999997</v>
      </c>
      <c r="M265" s="317">
        <v>38.899441000000003</v>
      </c>
    </row>
    <row r="266" spans="1:13" ht="45" hidden="1" x14ac:dyDescent="0.25">
      <c r="A266" s="313">
        <f t="shared" si="4"/>
        <v>265</v>
      </c>
      <c r="B266" s="314" t="s">
        <v>1640</v>
      </c>
      <c r="C266" s="315" t="s">
        <v>412</v>
      </c>
      <c r="D266" s="316" t="s">
        <v>1641</v>
      </c>
      <c r="E266" s="318">
        <v>1.28</v>
      </c>
      <c r="F266" s="318" t="s">
        <v>395</v>
      </c>
      <c r="G266" s="318" t="s">
        <v>395</v>
      </c>
      <c r="H266" s="318" t="s">
        <v>395</v>
      </c>
      <c r="I266" s="318" t="s">
        <v>1016</v>
      </c>
      <c r="J266" s="318">
        <v>14</v>
      </c>
      <c r="K266" s="317" t="s">
        <v>397</v>
      </c>
      <c r="L266" s="317">
        <v>47.275044999999999</v>
      </c>
      <c r="M266" s="317">
        <v>38.872689000000001</v>
      </c>
    </row>
    <row r="267" spans="1:13" ht="45" hidden="1" x14ac:dyDescent="0.25">
      <c r="A267" s="313">
        <f t="shared" si="4"/>
        <v>266</v>
      </c>
      <c r="B267" s="314" t="s">
        <v>1644</v>
      </c>
      <c r="C267" s="315" t="s">
        <v>582</v>
      </c>
      <c r="D267" s="316" t="s">
        <v>1645</v>
      </c>
      <c r="E267" s="318">
        <v>2.44</v>
      </c>
      <c r="F267" s="318" t="s">
        <v>395</v>
      </c>
      <c r="G267" s="318" t="s">
        <v>395</v>
      </c>
      <c r="H267" s="318" t="s">
        <v>395</v>
      </c>
      <c r="I267" s="318" t="s">
        <v>1016</v>
      </c>
      <c r="J267" s="318">
        <v>72</v>
      </c>
      <c r="K267" s="317" t="s">
        <v>397</v>
      </c>
      <c r="L267" s="317">
        <v>47.556719999999999</v>
      </c>
      <c r="M267" s="317">
        <v>39.188369999999999</v>
      </c>
    </row>
    <row r="268" spans="1:13" ht="45" hidden="1" x14ac:dyDescent="0.25">
      <c r="A268" s="313">
        <f t="shared" si="4"/>
        <v>267</v>
      </c>
      <c r="B268" s="314" t="s">
        <v>1648</v>
      </c>
      <c r="C268" s="315" t="s">
        <v>582</v>
      </c>
      <c r="D268" s="316" t="s">
        <v>1649</v>
      </c>
      <c r="E268" s="318">
        <v>2.14</v>
      </c>
      <c r="F268" s="318" t="s">
        <v>395</v>
      </c>
      <c r="G268" s="318" t="s">
        <v>395</v>
      </c>
      <c r="H268" s="318" t="s">
        <v>395</v>
      </c>
      <c r="I268" s="318" t="s">
        <v>1016</v>
      </c>
      <c r="J268" s="318">
        <v>57</v>
      </c>
      <c r="K268" s="317" t="s">
        <v>397</v>
      </c>
      <c r="L268" s="317">
        <v>47.609363000000002</v>
      </c>
      <c r="M268" s="317">
        <v>38.733741999999999</v>
      </c>
    </row>
    <row r="269" spans="1:13" ht="45" hidden="1" x14ac:dyDescent="0.25">
      <c r="A269" s="313">
        <f t="shared" si="4"/>
        <v>268</v>
      </c>
      <c r="B269" s="314" t="s">
        <v>1652</v>
      </c>
      <c r="C269" s="315" t="s">
        <v>582</v>
      </c>
      <c r="D269" s="316" t="s">
        <v>1653</v>
      </c>
      <c r="E269" s="318">
        <v>2.2400000000000002</v>
      </c>
      <c r="F269" s="318" t="s">
        <v>395</v>
      </c>
      <c r="G269" s="318" t="s">
        <v>395</v>
      </c>
      <c r="H269" s="318" t="s">
        <v>395</v>
      </c>
      <c r="I269" s="318" t="s">
        <v>1016</v>
      </c>
      <c r="J269" s="318">
        <v>62</v>
      </c>
      <c r="K269" s="317" t="s">
        <v>397</v>
      </c>
      <c r="L269" s="317">
        <v>47.678669999999997</v>
      </c>
      <c r="M269" s="317">
        <v>38.740139999999997</v>
      </c>
    </row>
    <row r="270" spans="1:13" ht="45" hidden="1" x14ac:dyDescent="0.25">
      <c r="A270" s="313">
        <f t="shared" si="4"/>
        <v>269</v>
      </c>
      <c r="B270" s="314" t="s">
        <v>1656</v>
      </c>
      <c r="C270" s="315" t="s">
        <v>582</v>
      </c>
      <c r="D270" s="316" t="s">
        <v>1657</v>
      </c>
      <c r="E270" s="318">
        <v>2.96</v>
      </c>
      <c r="F270" s="318" t="s">
        <v>395</v>
      </c>
      <c r="G270" s="318" t="s">
        <v>395</v>
      </c>
      <c r="H270" s="318" t="s">
        <v>395</v>
      </c>
      <c r="I270" s="318" t="s">
        <v>1016</v>
      </c>
      <c r="J270" s="318">
        <v>98</v>
      </c>
      <c r="K270" s="317" t="s">
        <v>397</v>
      </c>
      <c r="L270" s="317">
        <v>47.590170000000001</v>
      </c>
      <c r="M270" s="317">
        <v>38.401809999999998</v>
      </c>
    </row>
    <row r="271" spans="1:13" ht="45" hidden="1" x14ac:dyDescent="0.25">
      <c r="A271" s="313">
        <f t="shared" si="4"/>
        <v>270</v>
      </c>
      <c r="B271" s="314" t="s">
        <v>1660</v>
      </c>
      <c r="C271" s="315" t="s">
        <v>582</v>
      </c>
      <c r="D271" s="316" t="s">
        <v>1661</v>
      </c>
      <c r="E271" s="318">
        <v>2.1</v>
      </c>
      <c r="F271" s="318" t="s">
        <v>395</v>
      </c>
      <c r="G271" s="318" t="s">
        <v>395</v>
      </c>
      <c r="H271" s="318" t="s">
        <v>395</v>
      </c>
      <c r="I271" s="318" t="s">
        <v>1016</v>
      </c>
      <c r="J271" s="318">
        <v>55</v>
      </c>
      <c r="K271" s="317" t="s">
        <v>397</v>
      </c>
      <c r="L271" s="317">
        <v>47.574824</v>
      </c>
      <c r="M271" s="317">
        <v>39.034242999999996</v>
      </c>
    </row>
    <row r="272" spans="1:13" ht="30" hidden="1" x14ac:dyDescent="0.25">
      <c r="A272" s="313">
        <f t="shared" si="4"/>
        <v>271</v>
      </c>
      <c r="B272" s="314" t="s">
        <v>1664</v>
      </c>
      <c r="C272" s="315" t="s">
        <v>503</v>
      </c>
      <c r="D272" s="316" t="s">
        <v>1665</v>
      </c>
      <c r="E272" s="318">
        <v>1.1200000000000001</v>
      </c>
      <c r="F272" s="318" t="s">
        <v>395</v>
      </c>
      <c r="G272" s="318" t="s">
        <v>395</v>
      </c>
      <c r="H272" s="318" t="s">
        <v>395</v>
      </c>
      <c r="I272" s="318" t="s">
        <v>1016</v>
      </c>
      <c r="J272" s="318">
        <v>6</v>
      </c>
      <c r="K272" s="317" t="s">
        <v>397</v>
      </c>
      <c r="L272" s="317">
        <v>47.208804000000001</v>
      </c>
      <c r="M272" s="317">
        <v>38.88937</v>
      </c>
    </row>
    <row r="273" spans="1:13" ht="45" hidden="1" x14ac:dyDescent="0.25">
      <c r="A273" s="313">
        <f t="shared" si="4"/>
        <v>272</v>
      </c>
      <c r="B273" s="314" t="s">
        <v>1668</v>
      </c>
      <c r="C273" s="315" t="s">
        <v>412</v>
      </c>
      <c r="D273" s="316" t="s">
        <v>1669</v>
      </c>
      <c r="E273" s="318">
        <v>1.1000000000000001</v>
      </c>
      <c r="F273" s="318" t="s">
        <v>395</v>
      </c>
      <c r="G273" s="318" t="s">
        <v>395</v>
      </c>
      <c r="H273" s="318" t="s">
        <v>395</v>
      </c>
      <c r="I273" s="318" t="s">
        <v>1016</v>
      </c>
      <c r="J273" s="318">
        <v>5</v>
      </c>
      <c r="K273" s="317" t="s">
        <v>397</v>
      </c>
      <c r="L273" s="317">
        <v>47.241528000000002</v>
      </c>
      <c r="M273" s="317">
        <v>38.893583</v>
      </c>
    </row>
    <row r="274" spans="1:13" ht="30" hidden="1" x14ac:dyDescent="0.25">
      <c r="A274" s="313">
        <f t="shared" si="4"/>
        <v>273</v>
      </c>
      <c r="B274" s="314" t="s">
        <v>1672</v>
      </c>
      <c r="C274" s="315" t="s">
        <v>399</v>
      </c>
      <c r="D274" s="316" t="s">
        <v>1673</v>
      </c>
      <c r="E274" s="318">
        <v>1.08</v>
      </c>
      <c r="F274" s="318" t="s">
        <v>395</v>
      </c>
      <c r="G274" s="318" t="s">
        <v>395</v>
      </c>
      <c r="H274" s="318" t="s">
        <v>395</v>
      </c>
      <c r="I274" s="318" t="s">
        <v>1016</v>
      </c>
      <c r="J274" s="318">
        <v>4</v>
      </c>
      <c r="K274" s="317" t="s">
        <v>397</v>
      </c>
      <c r="L274" s="317">
        <v>47.217550000000003</v>
      </c>
      <c r="M274" s="317">
        <v>38.924996999999998</v>
      </c>
    </row>
    <row r="275" spans="1:13" ht="60" hidden="1" x14ac:dyDescent="0.25">
      <c r="A275" s="313">
        <f t="shared" si="4"/>
        <v>274</v>
      </c>
      <c r="B275" s="314" t="s">
        <v>1676</v>
      </c>
      <c r="C275" s="315" t="s">
        <v>447</v>
      </c>
      <c r="D275" s="316" t="s">
        <v>1677</v>
      </c>
      <c r="E275" s="318">
        <v>1.02</v>
      </c>
      <c r="F275" s="318" t="s">
        <v>395</v>
      </c>
      <c r="G275" s="318" t="s">
        <v>395</v>
      </c>
      <c r="H275" s="318" t="s">
        <v>395</v>
      </c>
      <c r="I275" s="318" t="s">
        <v>1016</v>
      </c>
      <c r="J275" s="318">
        <v>1</v>
      </c>
      <c r="K275" s="317" t="s">
        <v>397</v>
      </c>
      <c r="L275" s="317">
        <v>47.234884000000001</v>
      </c>
      <c r="M275" s="317">
        <v>38.917242999999999</v>
      </c>
    </row>
    <row r="276" spans="1:13" ht="60" hidden="1" x14ac:dyDescent="0.25">
      <c r="A276" s="313">
        <f t="shared" si="4"/>
        <v>275</v>
      </c>
      <c r="B276" s="314" t="s">
        <v>1680</v>
      </c>
      <c r="C276" s="315" t="s">
        <v>447</v>
      </c>
      <c r="D276" s="316" t="s">
        <v>1681</v>
      </c>
      <c r="E276" s="318">
        <v>1.18</v>
      </c>
      <c r="F276" s="318" t="s">
        <v>395</v>
      </c>
      <c r="G276" s="318" t="s">
        <v>395</v>
      </c>
      <c r="H276" s="318" t="s">
        <v>395</v>
      </c>
      <c r="I276" s="318" t="s">
        <v>1016</v>
      </c>
      <c r="J276" s="318">
        <v>9</v>
      </c>
      <c r="K276" s="317" t="s">
        <v>397</v>
      </c>
      <c r="L276" s="317">
        <v>47.238748999999999</v>
      </c>
      <c r="M276" s="317">
        <v>38.868158000000001</v>
      </c>
    </row>
    <row r="277" spans="1:13" ht="60" hidden="1" x14ac:dyDescent="0.25">
      <c r="A277" s="313">
        <f t="shared" si="4"/>
        <v>276</v>
      </c>
      <c r="B277" s="314" t="s">
        <v>1684</v>
      </c>
      <c r="C277" s="315" t="s">
        <v>447</v>
      </c>
      <c r="D277" s="316" t="s">
        <v>1685</v>
      </c>
      <c r="E277" s="318">
        <v>1.04</v>
      </c>
      <c r="F277" s="318" t="s">
        <v>395</v>
      </c>
      <c r="G277" s="318" t="s">
        <v>395</v>
      </c>
      <c r="H277" s="318" t="s">
        <v>395</v>
      </c>
      <c r="I277" s="318" t="s">
        <v>1016</v>
      </c>
      <c r="J277" s="318">
        <v>2</v>
      </c>
      <c r="K277" s="317" t="s">
        <v>397</v>
      </c>
      <c r="L277" s="317">
        <v>47.244805999999997</v>
      </c>
      <c r="M277" s="317">
        <v>38.909332999999997</v>
      </c>
    </row>
    <row r="278" spans="1:13" ht="60" hidden="1" x14ac:dyDescent="0.25">
      <c r="A278" s="313">
        <f t="shared" si="4"/>
        <v>277</v>
      </c>
      <c r="B278" s="314" t="s">
        <v>1688</v>
      </c>
      <c r="C278" s="315" t="s">
        <v>408</v>
      </c>
      <c r="D278" s="316" t="s">
        <v>1689</v>
      </c>
      <c r="E278" s="318">
        <v>1.08</v>
      </c>
      <c r="F278" s="318" t="s">
        <v>395</v>
      </c>
      <c r="G278" s="318" t="s">
        <v>395</v>
      </c>
      <c r="H278" s="318" t="s">
        <v>395</v>
      </c>
      <c r="I278" s="318" t="s">
        <v>1016</v>
      </c>
      <c r="J278" s="318">
        <v>4</v>
      </c>
      <c r="K278" s="317" t="s">
        <v>397</v>
      </c>
      <c r="L278" s="317">
        <v>47.252039000000003</v>
      </c>
      <c r="M278" s="317">
        <v>38.903342000000002</v>
      </c>
    </row>
    <row r="279" spans="1:13" ht="45" hidden="1" x14ac:dyDescent="0.25">
      <c r="A279" s="313">
        <f t="shared" si="4"/>
        <v>278</v>
      </c>
      <c r="B279" s="314" t="s">
        <v>1692</v>
      </c>
      <c r="C279" s="315" t="s">
        <v>412</v>
      </c>
      <c r="D279" s="316" t="s">
        <v>1693</v>
      </c>
      <c r="E279" s="318">
        <v>1.1599999999999999</v>
      </c>
      <c r="F279" s="318" t="s">
        <v>395</v>
      </c>
      <c r="G279" s="318" t="s">
        <v>395</v>
      </c>
      <c r="H279" s="318" t="s">
        <v>395</v>
      </c>
      <c r="I279" s="318" t="s">
        <v>1016</v>
      </c>
      <c r="J279" s="318">
        <v>8</v>
      </c>
      <c r="K279" s="317" t="s">
        <v>397</v>
      </c>
      <c r="L279" s="317">
        <v>47.268749999999997</v>
      </c>
      <c r="M279" s="317">
        <v>38.887278000000002</v>
      </c>
    </row>
    <row r="280" spans="1:13" ht="30" x14ac:dyDescent="0.25">
      <c r="A280" s="313">
        <f t="shared" si="4"/>
        <v>279</v>
      </c>
      <c r="B280" s="314" t="s">
        <v>1696</v>
      </c>
      <c r="C280" s="315" t="s">
        <v>399</v>
      </c>
      <c r="D280" s="316" t="s">
        <v>1697</v>
      </c>
      <c r="E280" s="318">
        <v>1</v>
      </c>
      <c r="F280" s="318" t="s">
        <v>395</v>
      </c>
      <c r="G280" s="318" t="s">
        <v>395</v>
      </c>
      <c r="H280" s="318" t="s">
        <v>395</v>
      </c>
      <c r="I280" s="318" t="s">
        <v>1016</v>
      </c>
      <c r="J280" s="318">
        <v>0</v>
      </c>
      <c r="K280" s="317" t="s">
        <v>397</v>
      </c>
      <c r="L280" s="317">
        <v>47.265780999999997</v>
      </c>
      <c r="M280" s="317">
        <v>38.928654999999999</v>
      </c>
    </row>
    <row r="281" spans="1:13" ht="45" hidden="1" x14ac:dyDescent="0.25">
      <c r="A281" s="313">
        <f t="shared" si="4"/>
        <v>280</v>
      </c>
      <c r="B281" s="314" t="s">
        <v>1700</v>
      </c>
      <c r="C281" s="315" t="s">
        <v>412</v>
      </c>
      <c r="D281" s="316" t="s">
        <v>1701</v>
      </c>
      <c r="E281" s="318">
        <v>1.36</v>
      </c>
      <c r="F281" s="318" t="s">
        <v>395</v>
      </c>
      <c r="G281" s="318" t="s">
        <v>395</v>
      </c>
      <c r="H281" s="318" t="s">
        <v>395</v>
      </c>
      <c r="I281" s="318" t="s">
        <v>1016</v>
      </c>
      <c r="J281" s="318">
        <v>18</v>
      </c>
      <c r="K281" s="317" t="s">
        <v>397</v>
      </c>
      <c r="L281" s="317">
        <v>47.272221999999999</v>
      </c>
      <c r="M281" s="317">
        <v>38.847777999999998</v>
      </c>
    </row>
    <row r="282" spans="1:13" ht="60" hidden="1" x14ac:dyDescent="0.25">
      <c r="A282" s="313">
        <f t="shared" si="4"/>
        <v>281</v>
      </c>
      <c r="B282" s="314" t="s">
        <v>1704</v>
      </c>
      <c r="C282" s="315" t="s">
        <v>415</v>
      </c>
      <c r="D282" s="316" t="s">
        <v>1705</v>
      </c>
      <c r="E282" s="318">
        <v>1</v>
      </c>
      <c r="F282" s="318" t="s">
        <v>395</v>
      </c>
      <c r="G282" s="318" t="s">
        <v>395</v>
      </c>
      <c r="H282" s="318" t="s">
        <v>395</v>
      </c>
      <c r="I282" s="318" t="s">
        <v>1016</v>
      </c>
      <c r="J282" s="318">
        <v>0</v>
      </c>
      <c r="K282" s="317" t="s">
        <v>397</v>
      </c>
      <c r="L282" s="317">
        <v>47.242279000000003</v>
      </c>
      <c r="M282" s="317">
        <v>38.918759999999999</v>
      </c>
    </row>
    <row r="283" spans="1:13" ht="60" hidden="1" x14ac:dyDescent="0.25">
      <c r="A283" s="313">
        <f t="shared" si="4"/>
        <v>282</v>
      </c>
      <c r="B283" s="314" t="s">
        <v>1708</v>
      </c>
      <c r="C283" s="315" t="s">
        <v>415</v>
      </c>
      <c r="D283" s="316" t="s">
        <v>1709</v>
      </c>
      <c r="E283" s="318">
        <v>1.08</v>
      </c>
      <c r="F283" s="318" t="s">
        <v>395</v>
      </c>
      <c r="G283" s="318" t="s">
        <v>395</v>
      </c>
      <c r="H283" s="318" t="s">
        <v>395</v>
      </c>
      <c r="I283" s="318" t="s">
        <v>1016</v>
      </c>
      <c r="J283" s="318">
        <v>4</v>
      </c>
      <c r="K283" s="317" t="s">
        <v>397</v>
      </c>
      <c r="L283" s="317">
        <v>47.214207000000002</v>
      </c>
      <c r="M283" s="317">
        <v>38.928159999999998</v>
      </c>
    </row>
    <row r="284" spans="1:13" ht="45" hidden="1" x14ac:dyDescent="0.25">
      <c r="A284" s="313">
        <f t="shared" si="4"/>
        <v>283</v>
      </c>
      <c r="B284" s="314" t="s">
        <v>1712</v>
      </c>
      <c r="C284" s="315" t="s">
        <v>412</v>
      </c>
      <c r="D284" s="316" t="s">
        <v>1713</v>
      </c>
      <c r="E284" s="318">
        <v>3.04</v>
      </c>
      <c r="F284" s="318" t="s">
        <v>395</v>
      </c>
      <c r="G284" s="318" t="s">
        <v>395</v>
      </c>
      <c r="H284" s="318" t="s">
        <v>395</v>
      </c>
      <c r="I284" s="318" t="s">
        <v>1715</v>
      </c>
      <c r="J284" s="318">
        <v>102</v>
      </c>
      <c r="K284" s="317" t="s">
        <v>397</v>
      </c>
      <c r="L284" s="317">
        <v>47.081111</v>
      </c>
      <c r="M284" s="317">
        <v>40.735278000000001</v>
      </c>
    </row>
    <row r="285" spans="1:13" ht="30" hidden="1" x14ac:dyDescent="0.25">
      <c r="A285" s="313">
        <f t="shared" si="4"/>
        <v>284</v>
      </c>
      <c r="B285" s="314" t="s">
        <v>1717</v>
      </c>
      <c r="C285" s="315" t="s">
        <v>399</v>
      </c>
      <c r="D285" s="316" t="s">
        <v>1718</v>
      </c>
      <c r="E285" s="318">
        <v>3.48</v>
      </c>
      <c r="F285" s="318" t="s">
        <v>395</v>
      </c>
      <c r="G285" s="318" t="s">
        <v>395</v>
      </c>
      <c r="H285" s="318" t="s">
        <v>395</v>
      </c>
      <c r="I285" s="318" t="s">
        <v>1715</v>
      </c>
      <c r="J285" s="318">
        <v>124</v>
      </c>
      <c r="K285" s="317" t="s">
        <v>397</v>
      </c>
      <c r="L285" s="317">
        <v>46.840499999999999</v>
      </c>
      <c r="M285" s="317">
        <v>40.309193999999998</v>
      </c>
    </row>
    <row r="286" spans="1:13" ht="45" hidden="1" x14ac:dyDescent="0.25">
      <c r="A286" s="313">
        <f t="shared" si="4"/>
        <v>285</v>
      </c>
      <c r="B286" s="314" t="s">
        <v>1721</v>
      </c>
      <c r="C286" s="315" t="s">
        <v>412</v>
      </c>
      <c r="D286" s="316" t="s">
        <v>1722</v>
      </c>
      <c r="E286" s="318">
        <v>3.18</v>
      </c>
      <c r="F286" s="318" t="s">
        <v>395</v>
      </c>
      <c r="G286" s="318" t="s">
        <v>395</v>
      </c>
      <c r="H286" s="318" t="s">
        <v>395</v>
      </c>
      <c r="I286" s="318" t="s">
        <v>1715</v>
      </c>
      <c r="J286" s="318">
        <v>109</v>
      </c>
      <c r="K286" s="317" t="s">
        <v>397</v>
      </c>
      <c r="L286" s="317">
        <v>46.78275</v>
      </c>
      <c r="M286" s="317">
        <v>40.465722</v>
      </c>
    </row>
    <row r="287" spans="1:13" ht="75" hidden="1" x14ac:dyDescent="0.25">
      <c r="A287" s="313">
        <f t="shared" si="4"/>
        <v>286</v>
      </c>
      <c r="B287" s="314" t="s">
        <v>1725</v>
      </c>
      <c r="C287" s="315" t="s">
        <v>428</v>
      </c>
      <c r="D287" s="316" t="s">
        <v>1726</v>
      </c>
      <c r="E287" s="318">
        <v>3.52</v>
      </c>
      <c r="F287" s="318" t="s">
        <v>395</v>
      </c>
      <c r="G287" s="318" t="s">
        <v>395</v>
      </c>
      <c r="H287" s="318" t="s">
        <v>395</v>
      </c>
      <c r="I287" s="318" t="s">
        <v>1715</v>
      </c>
      <c r="J287" s="318">
        <v>126</v>
      </c>
      <c r="K287" s="317" t="s">
        <v>397</v>
      </c>
      <c r="L287" s="317">
        <v>46.846361000000002</v>
      </c>
      <c r="M287" s="317">
        <v>40.318277999999999</v>
      </c>
    </row>
    <row r="288" spans="1:13" ht="75" hidden="1" x14ac:dyDescent="0.25">
      <c r="A288" s="313">
        <f t="shared" si="4"/>
        <v>287</v>
      </c>
      <c r="B288" s="314" t="s">
        <v>1729</v>
      </c>
      <c r="C288" s="315" t="s">
        <v>428</v>
      </c>
      <c r="D288" s="316" t="s">
        <v>1730</v>
      </c>
      <c r="E288" s="318">
        <v>3.5</v>
      </c>
      <c r="F288" s="318" t="s">
        <v>395</v>
      </c>
      <c r="G288" s="318" t="s">
        <v>395</v>
      </c>
      <c r="H288" s="318" t="s">
        <v>395</v>
      </c>
      <c r="I288" s="318" t="s">
        <v>1715</v>
      </c>
      <c r="J288" s="318">
        <v>125</v>
      </c>
      <c r="K288" s="317" t="s">
        <v>397</v>
      </c>
      <c r="L288" s="317">
        <v>46.851999999999997</v>
      </c>
      <c r="M288" s="317">
        <v>40.291167000000002</v>
      </c>
    </row>
    <row r="289" spans="1:13" ht="75" hidden="1" x14ac:dyDescent="0.25">
      <c r="A289" s="313">
        <f t="shared" si="4"/>
        <v>288</v>
      </c>
      <c r="B289" s="314" t="s">
        <v>1733</v>
      </c>
      <c r="C289" s="315" t="s">
        <v>428</v>
      </c>
      <c r="D289" s="316" t="s">
        <v>1734</v>
      </c>
      <c r="E289" s="318">
        <v>3.14</v>
      </c>
      <c r="F289" s="318" t="s">
        <v>395</v>
      </c>
      <c r="G289" s="318" t="s">
        <v>395</v>
      </c>
      <c r="H289" s="318" t="s">
        <v>395</v>
      </c>
      <c r="I289" s="318" t="s">
        <v>1715</v>
      </c>
      <c r="J289" s="318">
        <v>107</v>
      </c>
      <c r="K289" s="317" t="s">
        <v>397</v>
      </c>
      <c r="L289" s="317">
        <v>46.763333000000003</v>
      </c>
      <c r="M289" s="317">
        <v>40.452778000000002</v>
      </c>
    </row>
    <row r="290" spans="1:13" ht="45" hidden="1" x14ac:dyDescent="0.25">
      <c r="A290" s="313">
        <f t="shared" si="4"/>
        <v>289</v>
      </c>
      <c r="B290" s="314" t="s">
        <v>1737</v>
      </c>
      <c r="C290" s="315" t="s">
        <v>412</v>
      </c>
      <c r="D290" s="316" t="s">
        <v>1738</v>
      </c>
      <c r="E290" s="318">
        <v>3.62</v>
      </c>
      <c r="F290" s="318" t="s">
        <v>395</v>
      </c>
      <c r="G290" s="318" t="s">
        <v>395</v>
      </c>
      <c r="H290" s="318" t="s">
        <v>395</v>
      </c>
      <c r="I290" s="318" t="s">
        <v>1715</v>
      </c>
      <c r="J290" s="318">
        <v>131</v>
      </c>
      <c r="K290" s="317" t="s">
        <v>397</v>
      </c>
      <c r="L290" s="317">
        <v>46.622222000000001</v>
      </c>
      <c r="M290" s="317">
        <v>40.214722000000002</v>
      </c>
    </row>
    <row r="291" spans="1:13" ht="45" hidden="1" x14ac:dyDescent="0.25">
      <c r="A291" s="313">
        <f t="shared" si="4"/>
        <v>290</v>
      </c>
      <c r="B291" s="314" t="s">
        <v>1741</v>
      </c>
      <c r="C291" s="315" t="s">
        <v>412</v>
      </c>
      <c r="D291" s="316" t="s">
        <v>1742</v>
      </c>
      <c r="E291" s="318">
        <v>3.46</v>
      </c>
      <c r="F291" s="318" t="s">
        <v>395</v>
      </c>
      <c r="G291" s="318" t="s">
        <v>395</v>
      </c>
      <c r="H291" s="318" t="s">
        <v>395</v>
      </c>
      <c r="I291" s="318" t="s">
        <v>1715</v>
      </c>
      <c r="J291" s="318">
        <v>123</v>
      </c>
      <c r="K291" s="317" t="s">
        <v>397</v>
      </c>
      <c r="L291" s="317">
        <v>46.968333000000001</v>
      </c>
      <c r="M291" s="317">
        <v>40.617778000000001</v>
      </c>
    </row>
    <row r="292" spans="1:13" ht="60" hidden="1" x14ac:dyDescent="0.25">
      <c r="A292" s="313">
        <f t="shared" si="4"/>
        <v>291</v>
      </c>
      <c r="B292" s="314" t="s">
        <v>1745</v>
      </c>
      <c r="C292" s="315" t="s">
        <v>452</v>
      </c>
      <c r="D292" s="316" t="s">
        <v>1746</v>
      </c>
      <c r="E292" s="318">
        <v>3.54</v>
      </c>
      <c r="F292" s="318" t="s">
        <v>395</v>
      </c>
      <c r="G292" s="318" t="s">
        <v>395</v>
      </c>
      <c r="H292" s="318" t="s">
        <v>395</v>
      </c>
      <c r="I292" s="318" t="s">
        <v>1715</v>
      </c>
      <c r="J292" s="318">
        <v>127</v>
      </c>
      <c r="K292" s="317" t="s">
        <v>397</v>
      </c>
      <c r="L292" s="317">
        <v>46.864528</v>
      </c>
      <c r="M292" s="317">
        <v>40.333139000000003</v>
      </c>
    </row>
    <row r="293" spans="1:13" ht="75" hidden="1" x14ac:dyDescent="0.25">
      <c r="A293" s="313">
        <f t="shared" si="4"/>
        <v>292</v>
      </c>
      <c r="B293" s="314" t="s">
        <v>1749</v>
      </c>
      <c r="C293" s="315" t="s">
        <v>428</v>
      </c>
      <c r="D293" s="316" t="s">
        <v>1750</v>
      </c>
      <c r="E293" s="318">
        <v>3.5</v>
      </c>
      <c r="F293" s="318" t="s">
        <v>395</v>
      </c>
      <c r="G293" s="318" t="s">
        <v>395</v>
      </c>
      <c r="H293" s="318" t="s">
        <v>395</v>
      </c>
      <c r="I293" s="318" t="s">
        <v>1715</v>
      </c>
      <c r="J293" s="318">
        <v>125</v>
      </c>
      <c r="K293" s="317" t="s">
        <v>397</v>
      </c>
      <c r="L293" s="317">
        <v>46.852471999999999</v>
      </c>
      <c r="M293" s="317">
        <v>40.305360999999998</v>
      </c>
    </row>
    <row r="294" spans="1:13" ht="60" hidden="1" x14ac:dyDescent="0.25">
      <c r="A294" s="313">
        <f t="shared" si="4"/>
        <v>293</v>
      </c>
      <c r="B294" s="314" t="s">
        <v>1753</v>
      </c>
      <c r="C294" s="315" t="s">
        <v>452</v>
      </c>
      <c r="D294" s="316" t="s">
        <v>1754</v>
      </c>
      <c r="E294" s="318">
        <v>3.68</v>
      </c>
      <c r="F294" s="318" t="s">
        <v>395</v>
      </c>
      <c r="G294" s="318" t="s">
        <v>395</v>
      </c>
      <c r="H294" s="318" t="s">
        <v>395</v>
      </c>
      <c r="I294" s="318" t="s">
        <v>1715</v>
      </c>
      <c r="J294" s="318">
        <v>134</v>
      </c>
      <c r="K294" s="317" t="s">
        <v>397</v>
      </c>
      <c r="L294" s="317">
        <v>47.046528000000002</v>
      </c>
      <c r="M294" s="317">
        <v>40.404027999999997</v>
      </c>
    </row>
    <row r="295" spans="1:13" ht="60" hidden="1" x14ac:dyDescent="0.25">
      <c r="A295" s="313">
        <f t="shared" si="4"/>
        <v>294</v>
      </c>
      <c r="B295" s="314" t="s">
        <v>1757</v>
      </c>
      <c r="C295" s="315" t="s">
        <v>447</v>
      </c>
      <c r="D295" s="316" t="s">
        <v>1758</v>
      </c>
      <c r="E295" s="318">
        <v>3.38</v>
      </c>
      <c r="F295" s="318" t="s">
        <v>395</v>
      </c>
      <c r="G295" s="318" t="s">
        <v>395</v>
      </c>
      <c r="H295" s="318" t="s">
        <v>395</v>
      </c>
      <c r="I295" s="318" t="s">
        <v>1715</v>
      </c>
      <c r="J295" s="318">
        <v>119</v>
      </c>
      <c r="K295" s="317" t="s">
        <v>397</v>
      </c>
      <c r="L295" s="317">
        <v>46.678193999999998</v>
      </c>
      <c r="M295" s="317">
        <v>40.327500000000001</v>
      </c>
    </row>
    <row r="296" spans="1:13" ht="45" hidden="1" x14ac:dyDescent="0.25">
      <c r="A296" s="313">
        <f t="shared" si="4"/>
        <v>295</v>
      </c>
      <c r="B296" s="314" t="s">
        <v>1762</v>
      </c>
      <c r="C296" s="315" t="s">
        <v>412</v>
      </c>
      <c r="D296" s="316" t="s">
        <v>1764</v>
      </c>
      <c r="E296" s="318">
        <v>2.6</v>
      </c>
      <c r="F296" s="318" t="s">
        <v>395</v>
      </c>
      <c r="G296" s="318" t="s">
        <v>395</v>
      </c>
      <c r="H296" s="318" t="s">
        <v>395</v>
      </c>
      <c r="I296" s="318" t="s">
        <v>1715</v>
      </c>
      <c r="J296" s="318">
        <v>80</v>
      </c>
      <c r="K296" s="317" t="s">
        <v>397</v>
      </c>
      <c r="L296" s="317">
        <v>47.021250000000002</v>
      </c>
      <c r="M296" s="317">
        <v>41.003889999999998</v>
      </c>
    </row>
    <row r="297" spans="1:13" ht="30" hidden="1" x14ac:dyDescent="0.25">
      <c r="A297" s="313">
        <f t="shared" si="4"/>
        <v>296</v>
      </c>
      <c r="B297" s="314" t="s">
        <v>1766</v>
      </c>
      <c r="C297" s="315" t="s">
        <v>399</v>
      </c>
      <c r="D297" s="316" t="s">
        <v>1768</v>
      </c>
      <c r="E297" s="318">
        <v>3.08</v>
      </c>
      <c r="F297" s="318" t="s">
        <v>395</v>
      </c>
      <c r="G297" s="318" t="s">
        <v>395</v>
      </c>
      <c r="H297" s="318" t="s">
        <v>395</v>
      </c>
      <c r="I297" s="318" t="s">
        <v>1715</v>
      </c>
      <c r="J297" s="318">
        <v>104</v>
      </c>
      <c r="K297" s="317" t="s">
        <v>397</v>
      </c>
      <c r="L297" s="317">
        <v>47.106861000000002</v>
      </c>
      <c r="M297" s="317">
        <v>40.722943999999998</v>
      </c>
    </row>
    <row r="298" spans="1:13" ht="45" hidden="1" x14ac:dyDescent="0.25">
      <c r="A298" s="313">
        <f t="shared" si="4"/>
        <v>297</v>
      </c>
      <c r="B298" s="314" t="s">
        <v>1770</v>
      </c>
      <c r="C298" s="315" t="s">
        <v>412</v>
      </c>
      <c r="D298" s="316" t="s">
        <v>1771</v>
      </c>
      <c r="E298" s="318">
        <v>3.4</v>
      </c>
      <c r="F298" s="318" t="s">
        <v>395</v>
      </c>
      <c r="G298" s="318" t="s">
        <v>395</v>
      </c>
      <c r="H298" s="318" t="s">
        <v>395</v>
      </c>
      <c r="I298" s="318" t="s">
        <v>1715</v>
      </c>
      <c r="J298" s="318">
        <v>120</v>
      </c>
      <c r="K298" s="317" t="s">
        <v>397</v>
      </c>
      <c r="L298" s="317">
        <v>47.234999999999999</v>
      </c>
      <c r="M298" s="317">
        <v>40.806389000000003</v>
      </c>
    </row>
    <row r="299" spans="1:13" ht="45" hidden="1" x14ac:dyDescent="0.25">
      <c r="A299" s="313">
        <f t="shared" si="4"/>
        <v>298</v>
      </c>
      <c r="B299" s="314" t="s">
        <v>1774</v>
      </c>
      <c r="C299" s="315" t="s">
        <v>412</v>
      </c>
      <c r="D299" s="316" t="s">
        <v>1775</v>
      </c>
      <c r="E299" s="318">
        <v>3.34</v>
      </c>
      <c r="F299" s="318" t="s">
        <v>395</v>
      </c>
      <c r="G299" s="318" t="s">
        <v>395</v>
      </c>
      <c r="H299" s="318" t="s">
        <v>395</v>
      </c>
      <c r="I299" s="318" t="s">
        <v>1715</v>
      </c>
      <c r="J299" s="318">
        <v>117</v>
      </c>
      <c r="K299" s="317" t="s">
        <v>397</v>
      </c>
      <c r="L299" s="317">
        <v>47.094999999999999</v>
      </c>
      <c r="M299" s="317">
        <v>40.542222000000002</v>
      </c>
    </row>
    <row r="300" spans="1:13" ht="45" hidden="1" x14ac:dyDescent="0.25">
      <c r="A300" s="313">
        <f t="shared" si="4"/>
        <v>299</v>
      </c>
      <c r="B300" s="314" t="s">
        <v>1778</v>
      </c>
      <c r="C300" s="315" t="s">
        <v>412</v>
      </c>
      <c r="D300" s="316" t="s">
        <v>1779</v>
      </c>
      <c r="E300" s="318">
        <v>3.16</v>
      </c>
      <c r="F300" s="318" t="s">
        <v>395</v>
      </c>
      <c r="G300" s="318" t="s">
        <v>395</v>
      </c>
      <c r="H300" s="318" t="s">
        <v>395</v>
      </c>
      <c r="I300" s="318" t="s">
        <v>1715</v>
      </c>
      <c r="J300" s="318">
        <v>108</v>
      </c>
      <c r="K300" s="317" t="s">
        <v>397</v>
      </c>
      <c r="L300" s="317">
        <v>46.873221999999998</v>
      </c>
      <c r="M300" s="317">
        <v>40.729528000000002</v>
      </c>
    </row>
    <row r="301" spans="1:13" ht="45" hidden="1" x14ac:dyDescent="0.25">
      <c r="A301" s="313">
        <f t="shared" si="4"/>
        <v>300</v>
      </c>
      <c r="B301" s="314" t="s">
        <v>1782</v>
      </c>
      <c r="C301" s="315" t="s">
        <v>412</v>
      </c>
      <c r="D301" s="316" t="s">
        <v>1783</v>
      </c>
      <c r="E301" s="318">
        <v>3.42</v>
      </c>
      <c r="F301" s="318" t="s">
        <v>395</v>
      </c>
      <c r="G301" s="318" t="s">
        <v>395</v>
      </c>
      <c r="H301" s="318" t="s">
        <v>395</v>
      </c>
      <c r="I301" s="318" t="s">
        <v>1715</v>
      </c>
      <c r="J301" s="318">
        <v>121</v>
      </c>
      <c r="K301" s="317" t="s">
        <v>397</v>
      </c>
      <c r="L301" s="317">
        <v>46.847839999999998</v>
      </c>
      <c r="M301" s="317">
        <v>40.551960000000001</v>
      </c>
    </row>
    <row r="302" spans="1:13" ht="51" hidden="1" x14ac:dyDescent="0.25">
      <c r="A302" s="313">
        <f t="shared" si="4"/>
        <v>301</v>
      </c>
      <c r="B302" s="314" t="s">
        <v>1786</v>
      </c>
      <c r="C302" s="315" t="s">
        <v>582</v>
      </c>
      <c r="D302" s="316" t="s">
        <v>1788</v>
      </c>
      <c r="E302" s="318">
        <v>2.78</v>
      </c>
      <c r="F302" s="318" t="s">
        <v>395</v>
      </c>
      <c r="G302" s="318" t="s">
        <v>395</v>
      </c>
      <c r="H302" s="318" t="s">
        <v>395</v>
      </c>
      <c r="I302" s="318" t="s">
        <v>1715</v>
      </c>
      <c r="J302" s="318">
        <v>89</v>
      </c>
      <c r="K302" s="317" t="s">
        <v>397</v>
      </c>
      <c r="L302" s="317">
        <v>47.053024999999998</v>
      </c>
      <c r="M302" s="317">
        <v>40.909137999999999</v>
      </c>
    </row>
    <row r="303" spans="1:13" ht="38.25" hidden="1" x14ac:dyDescent="0.25">
      <c r="A303" s="313">
        <f t="shared" si="4"/>
        <v>302</v>
      </c>
      <c r="B303" s="314" t="s">
        <v>1790</v>
      </c>
      <c r="C303" s="315" t="s">
        <v>637</v>
      </c>
      <c r="D303" s="316" t="s">
        <v>1792</v>
      </c>
      <c r="E303" s="318">
        <v>2.86</v>
      </c>
      <c r="F303" s="318" t="s">
        <v>395</v>
      </c>
      <c r="G303" s="318" t="s">
        <v>395</v>
      </c>
      <c r="H303" s="318" t="s">
        <v>395</v>
      </c>
      <c r="I303" s="318" t="s">
        <v>1715</v>
      </c>
      <c r="J303" s="318">
        <v>93</v>
      </c>
      <c r="K303" s="317" t="s">
        <v>397</v>
      </c>
      <c r="L303" s="317">
        <v>47.067070000000001</v>
      </c>
      <c r="M303" s="317">
        <v>40.843266</v>
      </c>
    </row>
    <row r="304" spans="1:13" ht="30" hidden="1" x14ac:dyDescent="0.25">
      <c r="A304" s="313">
        <f t="shared" si="4"/>
        <v>303</v>
      </c>
      <c r="B304" s="314" t="s">
        <v>1795</v>
      </c>
      <c r="C304" s="315" t="s">
        <v>637</v>
      </c>
      <c r="D304" s="316" t="s">
        <v>1797</v>
      </c>
      <c r="E304" s="318">
        <v>3</v>
      </c>
      <c r="F304" s="318" t="s">
        <v>395</v>
      </c>
      <c r="G304" s="318" t="s">
        <v>395</v>
      </c>
      <c r="H304" s="318" t="s">
        <v>395</v>
      </c>
      <c r="I304" s="318" t="s">
        <v>1715</v>
      </c>
      <c r="J304" s="318">
        <v>100</v>
      </c>
      <c r="K304" s="317" t="s">
        <v>397</v>
      </c>
      <c r="L304" s="317">
        <v>46.903607999999998</v>
      </c>
      <c r="M304" s="317">
        <v>40.815350000000002</v>
      </c>
    </row>
    <row r="305" spans="1:13" ht="30" hidden="1" x14ac:dyDescent="0.25">
      <c r="A305" s="313">
        <f t="shared" si="4"/>
        <v>304</v>
      </c>
      <c r="B305" s="314" t="s">
        <v>1799</v>
      </c>
      <c r="C305" s="315" t="s">
        <v>637</v>
      </c>
      <c r="D305" s="316" t="s">
        <v>1801</v>
      </c>
      <c r="E305" s="318">
        <v>2.86</v>
      </c>
      <c r="F305" s="318" t="s">
        <v>395</v>
      </c>
      <c r="G305" s="318" t="s">
        <v>395</v>
      </c>
      <c r="H305" s="318" t="s">
        <v>395</v>
      </c>
      <c r="I305" s="318" t="s">
        <v>1715</v>
      </c>
      <c r="J305" s="318">
        <v>93</v>
      </c>
      <c r="K305" s="317" t="s">
        <v>397</v>
      </c>
      <c r="L305" s="317">
        <v>46.885111000000002</v>
      </c>
      <c r="M305" s="317">
        <v>40.905175</v>
      </c>
    </row>
    <row r="306" spans="1:13" ht="30" hidden="1" x14ac:dyDescent="0.25">
      <c r="A306" s="313">
        <f t="shared" si="4"/>
        <v>305</v>
      </c>
      <c r="B306" s="314" t="s">
        <v>1803</v>
      </c>
      <c r="C306" s="315" t="s">
        <v>637</v>
      </c>
      <c r="D306" s="316" t="s">
        <v>1805</v>
      </c>
      <c r="E306" s="318">
        <v>3.46</v>
      </c>
      <c r="F306" s="318" t="s">
        <v>395</v>
      </c>
      <c r="G306" s="318" t="s">
        <v>395</v>
      </c>
      <c r="H306" s="318" t="s">
        <v>395</v>
      </c>
      <c r="I306" s="318" t="s">
        <v>1715</v>
      </c>
      <c r="J306" s="318">
        <v>123</v>
      </c>
      <c r="K306" s="317" t="s">
        <v>397</v>
      </c>
      <c r="L306" s="317">
        <v>46.789538999999998</v>
      </c>
      <c r="M306" s="317">
        <v>40.611696999999999</v>
      </c>
    </row>
    <row r="307" spans="1:13" ht="30" hidden="1" x14ac:dyDescent="0.25">
      <c r="A307" s="313">
        <f t="shared" si="4"/>
        <v>306</v>
      </c>
      <c r="B307" s="314" t="s">
        <v>1807</v>
      </c>
      <c r="C307" s="315" t="s">
        <v>637</v>
      </c>
      <c r="D307" s="316" t="s">
        <v>1809</v>
      </c>
      <c r="E307" s="318">
        <v>3.56</v>
      </c>
      <c r="F307" s="318" t="s">
        <v>395</v>
      </c>
      <c r="G307" s="318" t="s">
        <v>395</v>
      </c>
      <c r="H307" s="318" t="s">
        <v>395</v>
      </c>
      <c r="I307" s="318" t="s">
        <v>1715</v>
      </c>
      <c r="J307" s="318">
        <v>128</v>
      </c>
      <c r="K307" s="317" t="s">
        <v>397</v>
      </c>
      <c r="L307" s="317">
        <v>46.915478</v>
      </c>
      <c r="M307" s="317">
        <v>40.631957999999997</v>
      </c>
    </row>
    <row r="308" spans="1:13" ht="30" hidden="1" x14ac:dyDescent="0.25">
      <c r="A308" s="313">
        <f t="shared" si="4"/>
        <v>307</v>
      </c>
      <c r="B308" s="314" t="s">
        <v>1811</v>
      </c>
      <c r="C308" s="315" t="s">
        <v>637</v>
      </c>
      <c r="D308" s="316" t="s">
        <v>1813</v>
      </c>
      <c r="E308" s="318">
        <v>3.68</v>
      </c>
      <c r="F308" s="318" t="s">
        <v>395</v>
      </c>
      <c r="G308" s="318" t="s">
        <v>395</v>
      </c>
      <c r="H308" s="318" t="s">
        <v>395</v>
      </c>
      <c r="I308" s="318" t="s">
        <v>1715</v>
      </c>
      <c r="J308" s="318">
        <v>134</v>
      </c>
      <c r="K308" s="317" t="s">
        <v>397</v>
      </c>
      <c r="L308" s="317">
        <v>46.957144</v>
      </c>
      <c r="M308" s="317">
        <v>40.479117000000002</v>
      </c>
    </row>
    <row r="309" spans="1:13" ht="30" hidden="1" x14ac:dyDescent="0.25">
      <c r="A309" s="313">
        <f t="shared" si="4"/>
        <v>308</v>
      </c>
      <c r="B309" s="314" t="s">
        <v>1815</v>
      </c>
      <c r="C309" s="315" t="s">
        <v>637</v>
      </c>
      <c r="D309" s="316" t="s">
        <v>1817</v>
      </c>
      <c r="E309" s="318">
        <v>3.52</v>
      </c>
      <c r="F309" s="318" t="s">
        <v>395</v>
      </c>
      <c r="G309" s="318" t="s">
        <v>395</v>
      </c>
      <c r="H309" s="318" t="s">
        <v>395</v>
      </c>
      <c r="I309" s="318" t="s">
        <v>1715</v>
      </c>
      <c r="J309" s="318">
        <v>126</v>
      </c>
      <c r="K309" s="317" t="s">
        <v>397</v>
      </c>
      <c r="L309" s="317">
        <v>46.793382999999999</v>
      </c>
      <c r="M309" s="317">
        <v>40.235363999999997</v>
      </c>
    </row>
    <row r="310" spans="1:13" ht="38.25" hidden="1" x14ac:dyDescent="0.25">
      <c r="A310" s="313">
        <f t="shared" si="4"/>
        <v>309</v>
      </c>
      <c r="B310" s="314" t="s">
        <v>1819</v>
      </c>
      <c r="C310" s="315" t="s">
        <v>637</v>
      </c>
      <c r="D310" s="316" t="s">
        <v>1821</v>
      </c>
      <c r="E310" s="318">
        <v>3.36</v>
      </c>
      <c r="F310" s="318" t="s">
        <v>395</v>
      </c>
      <c r="G310" s="318" t="s">
        <v>395</v>
      </c>
      <c r="H310" s="318" t="s">
        <v>395</v>
      </c>
      <c r="I310" s="318" t="s">
        <v>1715</v>
      </c>
      <c r="J310" s="318">
        <v>118</v>
      </c>
      <c r="K310" s="317" t="s">
        <v>397</v>
      </c>
      <c r="L310" s="317">
        <v>46.976953000000002</v>
      </c>
      <c r="M310" s="317">
        <v>40.756492999999999</v>
      </c>
    </row>
    <row r="311" spans="1:13" ht="45" hidden="1" x14ac:dyDescent="0.25">
      <c r="A311" s="313">
        <f t="shared" si="4"/>
        <v>310</v>
      </c>
      <c r="B311" s="314" t="s">
        <v>1824</v>
      </c>
      <c r="C311" s="315" t="s">
        <v>582</v>
      </c>
      <c r="D311" s="316" t="s">
        <v>1826</v>
      </c>
      <c r="E311" s="318">
        <v>3.14</v>
      </c>
      <c r="F311" s="318" t="s">
        <v>395</v>
      </c>
      <c r="G311" s="318" t="s">
        <v>395</v>
      </c>
      <c r="H311" s="318" t="s">
        <v>395</v>
      </c>
      <c r="I311" s="318" t="s">
        <v>1715</v>
      </c>
      <c r="J311" s="318">
        <v>107</v>
      </c>
      <c r="K311" s="317" t="s">
        <v>397</v>
      </c>
      <c r="L311" s="317">
        <v>46.515042000000001</v>
      </c>
      <c r="M311" s="317">
        <v>40.338192999999997</v>
      </c>
    </row>
    <row r="312" spans="1:13" ht="30" hidden="1" x14ac:dyDescent="0.25">
      <c r="A312" s="313">
        <f t="shared" si="4"/>
        <v>311</v>
      </c>
      <c r="B312" s="314" t="s">
        <v>1827</v>
      </c>
      <c r="C312" s="315" t="s">
        <v>399</v>
      </c>
      <c r="D312" s="316" t="s">
        <v>1829</v>
      </c>
      <c r="E312" s="318">
        <v>3.72</v>
      </c>
      <c r="F312" s="318" t="s">
        <v>395</v>
      </c>
      <c r="G312" s="318" t="s">
        <v>395</v>
      </c>
      <c r="H312" s="318" t="s">
        <v>395</v>
      </c>
      <c r="I312" s="318" t="s">
        <v>1715</v>
      </c>
      <c r="J312" s="318">
        <v>136</v>
      </c>
      <c r="K312" s="317" t="s">
        <v>397</v>
      </c>
      <c r="L312" s="317">
        <v>46.924014999999997</v>
      </c>
      <c r="M312" s="317">
        <v>40.361476000000003</v>
      </c>
    </row>
    <row r="313" spans="1:13" ht="75" hidden="1" x14ac:dyDescent="0.25">
      <c r="A313" s="313">
        <f t="shared" si="4"/>
        <v>312</v>
      </c>
      <c r="B313" s="314" t="s">
        <v>1831</v>
      </c>
      <c r="C313" s="315" t="s">
        <v>428</v>
      </c>
      <c r="D313" s="316" t="s">
        <v>1833</v>
      </c>
      <c r="E313" s="318">
        <v>3.16</v>
      </c>
      <c r="F313" s="318" t="s">
        <v>395</v>
      </c>
      <c r="G313" s="318" t="s">
        <v>395</v>
      </c>
      <c r="H313" s="318" t="s">
        <v>395</v>
      </c>
      <c r="I313" s="318" t="s">
        <v>1715</v>
      </c>
      <c r="J313" s="318">
        <v>108</v>
      </c>
      <c r="K313" s="317" t="s">
        <v>397</v>
      </c>
      <c r="L313" s="317">
        <v>46.772233999999997</v>
      </c>
      <c r="M313" s="317">
        <v>40.456238999999997</v>
      </c>
    </row>
    <row r="314" spans="1:13" ht="60" hidden="1" x14ac:dyDescent="0.25">
      <c r="A314" s="313">
        <f t="shared" si="4"/>
        <v>313</v>
      </c>
      <c r="B314" s="314" t="s">
        <v>1836</v>
      </c>
      <c r="C314" s="315" t="s">
        <v>677</v>
      </c>
      <c r="D314" s="316" t="s">
        <v>1838</v>
      </c>
      <c r="E314" s="318">
        <v>3.04</v>
      </c>
      <c r="F314" s="318" t="s">
        <v>395</v>
      </c>
      <c r="G314" s="318" t="s">
        <v>395</v>
      </c>
      <c r="H314" s="318" t="s">
        <v>395</v>
      </c>
      <c r="I314" s="318" t="s">
        <v>1715</v>
      </c>
      <c r="J314" s="318">
        <v>102</v>
      </c>
      <c r="K314" s="317" t="s">
        <v>397</v>
      </c>
      <c r="L314" s="317">
        <v>47.093888999999997</v>
      </c>
      <c r="M314" s="317">
        <v>40.732778000000003</v>
      </c>
    </row>
    <row r="315" spans="1:13" ht="75" hidden="1" x14ac:dyDescent="0.25">
      <c r="A315" s="313">
        <f t="shared" si="4"/>
        <v>314</v>
      </c>
      <c r="B315" s="314" t="s">
        <v>1840</v>
      </c>
      <c r="C315" s="315" t="s">
        <v>428</v>
      </c>
      <c r="D315" s="316" t="s">
        <v>1842</v>
      </c>
      <c r="E315" s="318">
        <v>3.14</v>
      </c>
      <c r="F315" s="318" t="s">
        <v>395</v>
      </c>
      <c r="G315" s="318" t="s">
        <v>395</v>
      </c>
      <c r="H315" s="318" t="s">
        <v>395</v>
      </c>
      <c r="I315" s="318" t="s">
        <v>1715</v>
      </c>
      <c r="J315" s="318">
        <v>107</v>
      </c>
      <c r="K315" s="317" t="s">
        <v>397</v>
      </c>
      <c r="L315" s="317">
        <v>46.764167</v>
      </c>
      <c r="M315" s="317">
        <v>40.454721999999997</v>
      </c>
    </row>
    <row r="316" spans="1:13" ht="45" hidden="1" x14ac:dyDescent="0.25">
      <c r="A316" s="313">
        <f t="shared" si="4"/>
        <v>315</v>
      </c>
      <c r="B316" s="314" t="s">
        <v>1844</v>
      </c>
      <c r="C316" s="315" t="s">
        <v>412</v>
      </c>
      <c r="D316" s="316" t="s">
        <v>1846</v>
      </c>
      <c r="E316" s="318">
        <v>3.48</v>
      </c>
      <c r="F316" s="318" t="s">
        <v>395</v>
      </c>
      <c r="G316" s="318" t="s">
        <v>395</v>
      </c>
      <c r="H316" s="318" t="s">
        <v>395</v>
      </c>
      <c r="I316" s="318" t="s">
        <v>1715</v>
      </c>
      <c r="J316" s="318">
        <v>124</v>
      </c>
      <c r="K316" s="317" t="s">
        <v>397</v>
      </c>
      <c r="L316" s="317">
        <v>46.845348999999999</v>
      </c>
      <c r="M316" s="317">
        <v>40.299017999999997</v>
      </c>
    </row>
    <row r="317" spans="1:13" ht="38.25" hidden="1" x14ac:dyDescent="0.25">
      <c r="A317" s="313">
        <f t="shared" si="4"/>
        <v>316</v>
      </c>
      <c r="B317" s="314" t="s">
        <v>1848</v>
      </c>
      <c r="C317" s="315" t="s">
        <v>637</v>
      </c>
      <c r="D317" s="316" t="s">
        <v>1850</v>
      </c>
      <c r="E317" s="318">
        <v>3.5</v>
      </c>
      <c r="F317" s="318" t="s">
        <v>395</v>
      </c>
      <c r="G317" s="318" t="s">
        <v>395</v>
      </c>
      <c r="H317" s="318" t="s">
        <v>395</v>
      </c>
      <c r="I317" s="318" t="s">
        <v>1715</v>
      </c>
      <c r="J317" s="318">
        <v>125</v>
      </c>
      <c r="K317" s="317" t="s">
        <v>397</v>
      </c>
      <c r="L317" s="317">
        <v>46.772886</v>
      </c>
      <c r="M317" s="317">
        <v>40.314731000000002</v>
      </c>
    </row>
    <row r="318" spans="1:13" ht="60" hidden="1" x14ac:dyDescent="0.25">
      <c r="A318" s="313">
        <f t="shared" si="4"/>
        <v>317</v>
      </c>
      <c r="B318" s="314" t="s">
        <v>1852</v>
      </c>
      <c r="C318" s="315" t="s">
        <v>447</v>
      </c>
      <c r="D318" s="316" t="s">
        <v>1854</v>
      </c>
      <c r="E318" s="318">
        <v>3.52</v>
      </c>
      <c r="F318" s="318" t="s">
        <v>395</v>
      </c>
      <c r="G318" s="318" t="s">
        <v>395</v>
      </c>
      <c r="H318" s="318" t="s">
        <v>395</v>
      </c>
      <c r="I318" s="318" t="s">
        <v>1715</v>
      </c>
      <c r="J318" s="318">
        <v>126</v>
      </c>
      <c r="K318" s="317" t="s">
        <v>397</v>
      </c>
      <c r="L318" s="317">
        <v>47.220554999999997</v>
      </c>
      <c r="M318" s="317">
        <v>40.670444000000003</v>
      </c>
    </row>
    <row r="319" spans="1:13" ht="45" hidden="1" x14ac:dyDescent="0.25">
      <c r="A319" s="313">
        <f t="shared" si="4"/>
        <v>318</v>
      </c>
      <c r="B319" s="314" t="s">
        <v>1856</v>
      </c>
      <c r="C319" s="315" t="s">
        <v>412</v>
      </c>
      <c r="D319" s="316" t="s">
        <v>1858</v>
      </c>
      <c r="E319" s="318">
        <v>2.2200000000000002</v>
      </c>
      <c r="F319" s="318" t="s">
        <v>395</v>
      </c>
      <c r="G319" s="318" t="s">
        <v>395</v>
      </c>
      <c r="H319" s="318" t="s">
        <v>395</v>
      </c>
      <c r="I319" s="318" t="s">
        <v>1859</v>
      </c>
      <c r="J319" s="318">
        <v>61</v>
      </c>
      <c r="K319" s="317" t="s">
        <v>397</v>
      </c>
      <c r="L319" s="317">
        <v>47.257897999999997</v>
      </c>
      <c r="M319" s="317">
        <v>39.639941999999998</v>
      </c>
    </row>
    <row r="320" spans="1:13" ht="45" hidden="1" x14ac:dyDescent="0.25">
      <c r="A320" s="313">
        <f t="shared" si="4"/>
        <v>319</v>
      </c>
      <c r="B320" s="314" t="s">
        <v>1861</v>
      </c>
      <c r="C320" s="315" t="s">
        <v>393</v>
      </c>
      <c r="D320" s="316" t="s">
        <v>1863</v>
      </c>
      <c r="E320" s="318">
        <v>2.3199999999999998</v>
      </c>
      <c r="F320" s="318" t="s">
        <v>395</v>
      </c>
      <c r="G320" s="318" t="s">
        <v>395</v>
      </c>
      <c r="H320" s="318" t="s">
        <v>395</v>
      </c>
      <c r="I320" s="318" t="s">
        <v>1859</v>
      </c>
      <c r="J320" s="318">
        <v>66</v>
      </c>
      <c r="K320" s="317" t="s">
        <v>397</v>
      </c>
      <c r="L320" s="317">
        <v>47.266528000000001</v>
      </c>
      <c r="M320" s="317">
        <v>39.6965</v>
      </c>
    </row>
    <row r="321" spans="1:13" ht="45" hidden="1" x14ac:dyDescent="0.25">
      <c r="A321" s="313">
        <f t="shared" si="4"/>
        <v>320</v>
      </c>
      <c r="B321" s="314" t="s">
        <v>1865</v>
      </c>
      <c r="C321" s="315" t="s">
        <v>393</v>
      </c>
      <c r="D321" s="316" t="s">
        <v>1867</v>
      </c>
      <c r="E321" s="318">
        <v>2.38</v>
      </c>
      <c r="F321" s="318" t="s">
        <v>395</v>
      </c>
      <c r="G321" s="318" t="s">
        <v>395</v>
      </c>
      <c r="H321" s="318" t="s">
        <v>395</v>
      </c>
      <c r="I321" s="318" t="s">
        <v>1859</v>
      </c>
      <c r="J321" s="318">
        <v>69</v>
      </c>
      <c r="K321" s="317" t="s">
        <v>397</v>
      </c>
      <c r="L321" s="317">
        <v>47.210166999999998</v>
      </c>
      <c r="M321" s="317">
        <v>39.670389</v>
      </c>
    </row>
    <row r="322" spans="1:13" ht="45" hidden="1" x14ac:dyDescent="0.25">
      <c r="A322" s="313">
        <f t="shared" si="4"/>
        <v>321</v>
      </c>
      <c r="B322" s="314" t="s">
        <v>1869</v>
      </c>
      <c r="C322" s="315" t="s">
        <v>412</v>
      </c>
      <c r="D322" s="316" t="s">
        <v>1871</v>
      </c>
      <c r="E322" s="318">
        <v>2.2599999999999998</v>
      </c>
      <c r="F322" s="318" t="s">
        <v>395</v>
      </c>
      <c r="G322" s="318" t="s">
        <v>395</v>
      </c>
      <c r="H322" s="318" t="s">
        <v>395</v>
      </c>
      <c r="I322" s="318" t="s">
        <v>1859</v>
      </c>
      <c r="J322" s="318">
        <v>63</v>
      </c>
      <c r="K322" s="317" t="s">
        <v>397</v>
      </c>
      <c r="L322" s="317">
        <v>47.246842000000001</v>
      </c>
      <c r="M322" s="317">
        <v>39.623837000000002</v>
      </c>
    </row>
    <row r="323" spans="1:13" ht="45" hidden="1" x14ac:dyDescent="0.25">
      <c r="A323" s="313">
        <f t="shared" si="4"/>
        <v>322</v>
      </c>
      <c r="B323" s="314" t="s">
        <v>1873</v>
      </c>
      <c r="C323" s="315" t="s">
        <v>393</v>
      </c>
      <c r="D323" s="316" t="s">
        <v>1875</v>
      </c>
      <c r="E323" s="318">
        <v>2.34</v>
      </c>
      <c r="F323" s="318" t="s">
        <v>395</v>
      </c>
      <c r="G323" s="318" t="s">
        <v>395</v>
      </c>
      <c r="H323" s="318" t="s">
        <v>395</v>
      </c>
      <c r="I323" s="318" t="s">
        <v>1859</v>
      </c>
      <c r="J323" s="318">
        <v>67</v>
      </c>
      <c r="K323" s="317" t="s">
        <v>397</v>
      </c>
      <c r="L323" s="317">
        <v>47.202361000000003</v>
      </c>
      <c r="M323" s="317">
        <v>39.627333</v>
      </c>
    </row>
    <row r="324" spans="1:13" ht="45" hidden="1" x14ac:dyDescent="0.25">
      <c r="A324" s="313">
        <f t="shared" ref="A324:A387" si="5">A323+1</f>
        <v>323</v>
      </c>
      <c r="B324" s="314" t="s">
        <v>1878</v>
      </c>
      <c r="C324" s="315" t="s">
        <v>393</v>
      </c>
      <c r="D324" s="316" t="s">
        <v>1879</v>
      </c>
      <c r="E324" s="318">
        <v>2.36</v>
      </c>
      <c r="F324" s="318" t="s">
        <v>395</v>
      </c>
      <c r="G324" s="318" t="s">
        <v>395</v>
      </c>
      <c r="H324" s="318" t="s">
        <v>395</v>
      </c>
      <c r="I324" s="318" t="s">
        <v>1859</v>
      </c>
      <c r="J324" s="318">
        <v>68</v>
      </c>
      <c r="K324" s="317" t="s">
        <v>397</v>
      </c>
      <c r="L324" s="317">
        <v>47.191139</v>
      </c>
      <c r="M324" s="317">
        <v>39.634639</v>
      </c>
    </row>
    <row r="325" spans="1:13" ht="45" hidden="1" x14ac:dyDescent="0.25">
      <c r="A325" s="313">
        <f t="shared" si="5"/>
        <v>324</v>
      </c>
      <c r="B325" s="314" t="s">
        <v>1882</v>
      </c>
      <c r="C325" s="315" t="s">
        <v>393</v>
      </c>
      <c r="D325" s="316" t="s">
        <v>1883</v>
      </c>
      <c r="E325" s="318">
        <v>2.2999999999999998</v>
      </c>
      <c r="F325" s="318" t="s">
        <v>395</v>
      </c>
      <c r="G325" s="318" t="s">
        <v>395</v>
      </c>
      <c r="H325" s="318" t="s">
        <v>395</v>
      </c>
      <c r="I325" s="318" t="s">
        <v>1859</v>
      </c>
      <c r="J325" s="318">
        <v>65</v>
      </c>
      <c r="K325" s="317" t="s">
        <v>397</v>
      </c>
      <c r="L325" s="317">
        <v>47.207861000000001</v>
      </c>
      <c r="M325" s="317">
        <v>39.611832999999997</v>
      </c>
    </row>
    <row r="326" spans="1:13" ht="45" hidden="1" x14ac:dyDescent="0.25">
      <c r="A326" s="313">
        <f t="shared" si="5"/>
        <v>325</v>
      </c>
      <c r="B326" s="314" t="s">
        <v>1886</v>
      </c>
      <c r="C326" s="315" t="s">
        <v>393</v>
      </c>
      <c r="D326" s="316" t="s">
        <v>1887</v>
      </c>
      <c r="E326" s="318">
        <v>2.3199999999999998</v>
      </c>
      <c r="F326" s="318" t="s">
        <v>395</v>
      </c>
      <c r="G326" s="318" t="s">
        <v>395</v>
      </c>
      <c r="H326" s="318" t="s">
        <v>395</v>
      </c>
      <c r="I326" s="318" t="s">
        <v>1859</v>
      </c>
      <c r="J326" s="318">
        <v>66</v>
      </c>
      <c r="K326" s="317" t="s">
        <v>397</v>
      </c>
      <c r="L326" s="317">
        <v>47.215139000000001</v>
      </c>
      <c r="M326" s="317">
        <v>39.628999999999998</v>
      </c>
    </row>
    <row r="327" spans="1:13" ht="45" hidden="1" x14ac:dyDescent="0.25">
      <c r="A327" s="313">
        <f t="shared" si="5"/>
        <v>326</v>
      </c>
      <c r="B327" s="314" t="s">
        <v>1890</v>
      </c>
      <c r="C327" s="315" t="s">
        <v>393</v>
      </c>
      <c r="D327" s="316" t="s">
        <v>1891</v>
      </c>
      <c r="E327" s="318">
        <v>2.2400000000000002</v>
      </c>
      <c r="F327" s="318" t="s">
        <v>395</v>
      </c>
      <c r="G327" s="318" t="s">
        <v>395</v>
      </c>
      <c r="H327" s="318" t="s">
        <v>395</v>
      </c>
      <c r="I327" s="318" t="s">
        <v>1859</v>
      </c>
      <c r="J327" s="318">
        <v>62</v>
      </c>
      <c r="K327" s="317" t="s">
        <v>397</v>
      </c>
      <c r="L327" s="317">
        <v>47.238610999999999</v>
      </c>
      <c r="M327" s="317">
        <v>39.604778000000003</v>
      </c>
    </row>
    <row r="328" spans="1:13" ht="45" hidden="1" x14ac:dyDescent="0.25">
      <c r="A328" s="313">
        <f t="shared" si="5"/>
        <v>327</v>
      </c>
      <c r="B328" s="314" t="s">
        <v>1894</v>
      </c>
      <c r="C328" s="315" t="s">
        <v>393</v>
      </c>
      <c r="D328" s="316" t="s">
        <v>1895</v>
      </c>
      <c r="E328" s="318">
        <v>2.2599999999999998</v>
      </c>
      <c r="F328" s="318" t="s">
        <v>395</v>
      </c>
      <c r="G328" s="318" t="s">
        <v>395</v>
      </c>
      <c r="H328" s="318" t="s">
        <v>395</v>
      </c>
      <c r="I328" s="318" t="s">
        <v>1859</v>
      </c>
      <c r="J328" s="318">
        <v>63</v>
      </c>
      <c r="K328" s="317" t="s">
        <v>397</v>
      </c>
      <c r="L328" s="317">
        <v>47.262250000000002</v>
      </c>
      <c r="M328" s="317">
        <v>39.664138999999999</v>
      </c>
    </row>
    <row r="329" spans="1:13" ht="45" hidden="1" x14ac:dyDescent="0.25">
      <c r="A329" s="313">
        <f t="shared" si="5"/>
        <v>328</v>
      </c>
      <c r="B329" s="314" t="s">
        <v>1898</v>
      </c>
      <c r="C329" s="315" t="s">
        <v>412</v>
      </c>
      <c r="D329" s="316" t="s">
        <v>1899</v>
      </c>
      <c r="E329" s="318">
        <v>2.2400000000000002</v>
      </c>
      <c r="F329" s="318" t="s">
        <v>395</v>
      </c>
      <c r="G329" s="318" t="s">
        <v>395</v>
      </c>
      <c r="H329" s="318" t="s">
        <v>395</v>
      </c>
      <c r="I329" s="318" t="s">
        <v>1859</v>
      </c>
      <c r="J329" s="318">
        <v>62</v>
      </c>
      <c r="K329" s="317" t="s">
        <v>397</v>
      </c>
      <c r="L329" s="317">
        <v>47.264861000000003</v>
      </c>
      <c r="M329" s="317">
        <v>39.648443999999998</v>
      </c>
    </row>
    <row r="330" spans="1:13" ht="30" hidden="1" x14ac:dyDescent="0.25">
      <c r="A330" s="313">
        <f t="shared" si="5"/>
        <v>329</v>
      </c>
      <c r="B330" s="314" t="s">
        <v>1902</v>
      </c>
      <c r="C330" s="315" t="s">
        <v>399</v>
      </c>
      <c r="D330" s="316" t="s">
        <v>1903</v>
      </c>
      <c r="E330" s="318">
        <v>2.36</v>
      </c>
      <c r="F330" s="318" t="s">
        <v>395</v>
      </c>
      <c r="G330" s="318" t="s">
        <v>395</v>
      </c>
      <c r="H330" s="318" t="s">
        <v>395</v>
      </c>
      <c r="I330" s="318" t="s">
        <v>1859</v>
      </c>
      <c r="J330" s="318">
        <v>68</v>
      </c>
      <c r="K330" s="317" t="s">
        <v>397</v>
      </c>
      <c r="L330" s="317">
        <v>47.209305999999998</v>
      </c>
      <c r="M330" s="317">
        <v>39.640667000000001</v>
      </c>
    </row>
    <row r="331" spans="1:13" ht="45" hidden="1" x14ac:dyDescent="0.25">
      <c r="A331" s="313">
        <f t="shared" si="5"/>
        <v>330</v>
      </c>
      <c r="B331" s="314" t="s">
        <v>1906</v>
      </c>
      <c r="C331" s="315" t="s">
        <v>412</v>
      </c>
      <c r="D331" s="316" t="s">
        <v>1907</v>
      </c>
      <c r="E331" s="318">
        <v>2.38</v>
      </c>
      <c r="F331" s="318" t="s">
        <v>395</v>
      </c>
      <c r="G331" s="318" t="s">
        <v>395</v>
      </c>
      <c r="H331" s="318" t="s">
        <v>395</v>
      </c>
      <c r="I331" s="318" t="s">
        <v>1859</v>
      </c>
      <c r="J331" s="318">
        <v>69</v>
      </c>
      <c r="K331" s="317" t="s">
        <v>397</v>
      </c>
      <c r="L331" s="317">
        <v>47.283000000000001</v>
      </c>
      <c r="M331" s="317">
        <v>39.684333000000002</v>
      </c>
    </row>
    <row r="332" spans="1:13" ht="45" hidden="1" x14ac:dyDescent="0.25">
      <c r="A332" s="313">
        <f t="shared" si="5"/>
        <v>331</v>
      </c>
      <c r="B332" s="314" t="s">
        <v>1910</v>
      </c>
      <c r="C332" s="315" t="s">
        <v>393</v>
      </c>
      <c r="D332" s="316" t="s">
        <v>1911</v>
      </c>
      <c r="E332" s="318">
        <v>2.2799999999999998</v>
      </c>
      <c r="F332" s="318" t="s">
        <v>395</v>
      </c>
      <c r="G332" s="318" t="s">
        <v>395</v>
      </c>
      <c r="H332" s="318" t="s">
        <v>395</v>
      </c>
      <c r="I332" s="318" t="s">
        <v>1859</v>
      </c>
      <c r="J332" s="318">
        <v>64</v>
      </c>
      <c r="K332" s="317" t="s">
        <v>397</v>
      </c>
      <c r="L332" s="317">
        <v>47.236611000000003</v>
      </c>
      <c r="M332" s="317">
        <v>39.635832999999998</v>
      </c>
    </row>
    <row r="333" spans="1:13" ht="30" hidden="1" x14ac:dyDescent="0.25">
      <c r="A333" s="313">
        <f t="shared" si="5"/>
        <v>332</v>
      </c>
      <c r="B333" s="314" t="s">
        <v>1914</v>
      </c>
      <c r="C333" s="315" t="s">
        <v>399</v>
      </c>
      <c r="D333" s="316" t="s">
        <v>1915</v>
      </c>
      <c r="E333" s="318">
        <v>2.2999999999999998</v>
      </c>
      <c r="F333" s="318" t="s">
        <v>395</v>
      </c>
      <c r="G333" s="318" t="s">
        <v>395</v>
      </c>
      <c r="H333" s="318" t="s">
        <v>395</v>
      </c>
      <c r="I333" s="318" t="s">
        <v>1859</v>
      </c>
      <c r="J333" s="318">
        <v>65</v>
      </c>
      <c r="K333" s="317" t="s">
        <v>397</v>
      </c>
      <c r="L333" s="317">
        <v>47.212417000000002</v>
      </c>
      <c r="M333" s="317">
        <v>39.617583000000003</v>
      </c>
    </row>
    <row r="334" spans="1:13" ht="75" hidden="1" x14ac:dyDescent="0.25">
      <c r="A334" s="313">
        <f t="shared" si="5"/>
        <v>333</v>
      </c>
      <c r="B334" s="314" t="s">
        <v>1918</v>
      </c>
      <c r="C334" s="315" t="s">
        <v>428</v>
      </c>
      <c r="D334" s="316" t="s">
        <v>1919</v>
      </c>
      <c r="E334" s="318">
        <v>2.38</v>
      </c>
      <c r="F334" s="318" t="s">
        <v>395</v>
      </c>
      <c r="G334" s="318" t="s">
        <v>395</v>
      </c>
      <c r="H334" s="318" t="s">
        <v>395</v>
      </c>
      <c r="I334" s="318" t="s">
        <v>1859</v>
      </c>
      <c r="J334" s="318">
        <v>69</v>
      </c>
      <c r="K334" s="317" t="s">
        <v>397</v>
      </c>
      <c r="L334" s="317">
        <v>47.199167000000003</v>
      </c>
      <c r="M334" s="317">
        <v>39.668444000000001</v>
      </c>
    </row>
    <row r="335" spans="1:13" ht="45" hidden="1" x14ac:dyDescent="0.25">
      <c r="A335" s="313">
        <f t="shared" si="5"/>
        <v>334</v>
      </c>
      <c r="B335" s="314" t="s">
        <v>1922</v>
      </c>
      <c r="C335" s="315" t="s">
        <v>412</v>
      </c>
      <c r="D335" s="316" t="s">
        <v>1923</v>
      </c>
      <c r="E335" s="318">
        <v>2.34</v>
      </c>
      <c r="F335" s="318" t="s">
        <v>395</v>
      </c>
      <c r="G335" s="318" t="s">
        <v>395</v>
      </c>
      <c r="H335" s="318" t="s">
        <v>395</v>
      </c>
      <c r="I335" s="318" t="s">
        <v>1859</v>
      </c>
      <c r="J335" s="318">
        <v>67</v>
      </c>
      <c r="K335" s="317" t="s">
        <v>397</v>
      </c>
      <c r="L335" s="317">
        <v>47.215803000000001</v>
      </c>
      <c r="M335" s="317">
        <v>39.669908</v>
      </c>
    </row>
    <row r="336" spans="1:13" ht="30" hidden="1" x14ac:dyDescent="0.25">
      <c r="A336" s="313">
        <f t="shared" si="5"/>
        <v>335</v>
      </c>
      <c r="B336" s="314" t="s">
        <v>1926</v>
      </c>
      <c r="C336" s="315" t="s">
        <v>399</v>
      </c>
      <c r="D336" s="316" t="s">
        <v>1927</v>
      </c>
      <c r="E336" s="318">
        <v>2.4</v>
      </c>
      <c r="F336" s="318" t="s">
        <v>395</v>
      </c>
      <c r="G336" s="318" t="s">
        <v>395</v>
      </c>
      <c r="H336" s="318" t="s">
        <v>395</v>
      </c>
      <c r="I336" s="318" t="s">
        <v>1859</v>
      </c>
      <c r="J336" s="318">
        <v>70</v>
      </c>
      <c r="K336" s="317" t="s">
        <v>397</v>
      </c>
      <c r="L336" s="317">
        <v>47.208750000000002</v>
      </c>
      <c r="M336" s="317">
        <v>39.687277999999999</v>
      </c>
    </row>
    <row r="337" spans="1:13" ht="75" hidden="1" x14ac:dyDescent="0.25">
      <c r="A337" s="313">
        <f t="shared" si="5"/>
        <v>336</v>
      </c>
      <c r="B337" s="314" t="s">
        <v>1930</v>
      </c>
      <c r="C337" s="315" t="s">
        <v>428</v>
      </c>
      <c r="D337" s="316" t="s">
        <v>1931</v>
      </c>
      <c r="E337" s="318">
        <v>2.2999999999999998</v>
      </c>
      <c r="F337" s="318" t="s">
        <v>395</v>
      </c>
      <c r="G337" s="318" t="s">
        <v>395</v>
      </c>
      <c r="H337" s="318" t="s">
        <v>395</v>
      </c>
      <c r="I337" s="318" t="s">
        <v>1859</v>
      </c>
      <c r="J337" s="318">
        <v>65</v>
      </c>
      <c r="K337" s="317" t="s">
        <v>397</v>
      </c>
      <c r="L337" s="317">
        <v>47.224027999999997</v>
      </c>
      <c r="M337" s="317">
        <v>39.642611000000002</v>
      </c>
    </row>
    <row r="338" spans="1:13" ht="75" hidden="1" x14ac:dyDescent="0.25">
      <c r="A338" s="313">
        <f t="shared" si="5"/>
        <v>337</v>
      </c>
      <c r="B338" s="314" t="s">
        <v>1934</v>
      </c>
      <c r="C338" s="315" t="s">
        <v>428</v>
      </c>
      <c r="D338" s="316" t="s">
        <v>1935</v>
      </c>
      <c r="E338" s="318">
        <v>2.2999999999999998</v>
      </c>
      <c r="F338" s="318" t="s">
        <v>395</v>
      </c>
      <c r="G338" s="318" t="s">
        <v>395</v>
      </c>
      <c r="H338" s="318" t="s">
        <v>395</v>
      </c>
      <c r="I338" s="318" t="s">
        <v>1859</v>
      </c>
      <c r="J338" s="318">
        <v>65</v>
      </c>
      <c r="K338" s="317" t="s">
        <v>397</v>
      </c>
      <c r="L338" s="317">
        <v>47.222639000000001</v>
      </c>
      <c r="M338" s="317">
        <v>39.629888999999999</v>
      </c>
    </row>
    <row r="339" spans="1:13" ht="75" hidden="1" x14ac:dyDescent="0.25">
      <c r="A339" s="313">
        <f t="shared" si="5"/>
        <v>338</v>
      </c>
      <c r="B339" s="314" t="s">
        <v>1938</v>
      </c>
      <c r="C339" s="315" t="s">
        <v>428</v>
      </c>
      <c r="D339" s="316" t="s">
        <v>1939</v>
      </c>
      <c r="E339" s="318">
        <v>2.2200000000000002</v>
      </c>
      <c r="F339" s="318" t="s">
        <v>395</v>
      </c>
      <c r="G339" s="318" t="s">
        <v>395</v>
      </c>
      <c r="H339" s="318" t="s">
        <v>395</v>
      </c>
      <c r="I339" s="318" t="s">
        <v>1859</v>
      </c>
      <c r="J339" s="318">
        <v>61</v>
      </c>
      <c r="K339" s="317" t="s">
        <v>397</v>
      </c>
      <c r="L339" s="317">
        <v>47.252777999999999</v>
      </c>
      <c r="M339" s="317">
        <v>39.610971999999997</v>
      </c>
    </row>
    <row r="340" spans="1:13" ht="45" hidden="1" x14ac:dyDescent="0.25">
      <c r="A340" s="313">
        <f t="shared" si="5"/>
        <v>339</v>
      </c>
      <c r="B340" s="314" t="s">
        <v>1942</v>
      </c>
      <c r="C340" s="315" t="s">
        <v>412</v>
      </c>
      <c r="D340" s="316" t="s">
        <v>1943</v>
      </c>
      <c r="E340" s="318">
        <v>2.2400000000000002</v>
      </c>
      <c r="F340" s="318" t="s">
        <v>395</v>
      </c>
      <c r="G340" s="318" t="s">
        <v>395</v>
      </c>
      <c r="H340" s="318" t="s">
        <v>395</v>
      </c>
      <c r="I340" s="318" t="s">
        <v>1859</v>
      </c>
      <c r="J340" s="318">
        <v>62</v>
      </c>
      <c r="K340" s="317" t="s">
        <v>397</v>
      </c>
      <c r="L340" s="317">
        <v>47.237251999999998</v>
      </c>
      <c r="M340" s="317">
        <v>39.618901999999999</v>
      </c>
    </row>
    <row r="341" spans="1:13" ht="60" hidden="1" x14ac:dyDescent="0.25">
      <c r="A341" s="313">
        <f t="shared" si="5"/>
        <v>340</v>
      </c>
      <c r="B341" s="314" t="s">
        <v>1946</v>
      </c>
      <c r="C341" s="315" t="s">
        <v>447</v>
      </c>
      <c r="D341" s="316" t="s">
        <v>1947</v>
      </c>
      <c r="E341" s="318">
        <v>2.34</v>
      </c>
      <c r="F341" s="318" t="s">
        <v>395</v>
      </c>
      <c r="G341" s="318" t="s">
        <v>395</v>
      </c>
      <c r="H341" s="318" t="s">
        <v>395</v>
      </c>
      <c r="I341" s="318" t="s">
        <v>1859</v>
      </c>
      <c r="J341" s="318">
        <v>67</v>
      </c>
      <c r="K341" s="317" t="s">
        <v>397</v>
      </c>
      <c r="L341" s="317">
        <v>47.280892999999999</v>
      </c>
      <c r="M341" s="317">
        <v>39.694074999999998</v>
      </c>
    </row>
    <row r="342" spans="1:13" ht="45" hidden="1" x14ac:dyDescent="0.25">
      <c r="A342" s="313">
        <f t="shared" si="5"/>
        <v>341</v>
      </c>
      <c r="B342" s="314" t="s">
        <v>1950</v>
      </c>
      <c r="C342" s="315" t="s">
        <v>412</v>
      </c>
      <c r="D342" s="316" t="s">
        <v>1951</v>
      </c>
      <c r="E342" s="318">
        <v>2.34</v>
      </c>
      <c r="F342" s="318" t="s">
        <v>395</v>
      </c>
      <c r="G342" s="318" t="s">
        <v>395</v>
      </c>
      <c r="H342" s="318" t="s">
        <v>395</v>
      </c>
      <c r="I342" s="318" t="s">
        <v>1859</v>
      </c>
      <c r="J342" s="318">
        <v>67</v>
      </c>
      <c r="K342" s="317" t="s">
        <v>397</v>
      </c>
      <c r="L342" s="317">
        <v>47.213721999999997</v>
      </c>
      <c r="M342" s="317">
        <v>39.654000000000003</v>
      </c>
    </row>
    <row r="343" spans="1:13" ht="30" hidden="1" x14ac:dyDescent="0.25">
      <c r="A343" s="313">
        <f t="shared" si="5"/>
        <v>342</v>
      </c>
      <c r="B343" s="314" t="s">
        <v>1954</v>
      </c>
      <c r="C343" s="315" t="s">
        <v>399</v>
      </c>
      <c r="D343" s="316" t="s">
        <v>1955</v>
      </c>
      <c r="E343" s="318">
        <v>2.3199999999999998</v>
      </c>
      <c r="F343" s="318" t="s">
        <v>395</v>
      </c>
      <c r="G343" s="318" t="s">
        <v>395</v>
      </c>
      <c r="H343" s="318" t="s">
        <v>395</v>
      </c>
      <c r="I343" s="318" t="s">
        <v>1859</v>
      </c>
      <c r="J343" s="318">
        <v>66</v>
      </c>
      <c r="K343" s="317" t="s">
        <v>397</v>
      </c>
      <c r="L343" s="317">
        <v>47.199722000000001</v>
      </c>
      <c r="M343" s="317">
        <v>39.612250000000003</v>
      </c>
    </row>
    <row r="344" spans="1:13" ht="75" hidden="1" x14ac:dyDescent="0.25">
      <c r="A344" s="313">
        <f t="shared" si="5"/>
        <v>343</v>
      </c>
      <c r="B344" s="314" t="s">
        <v>1958</v>
      </c>
      <c r="C344" s="315" t="s">
        <v>428</v>
      </c>
      <c r="D344" s="316" t="s">
        <v>1959</v>
      </c>
      <c r="E344" s="318">
        <v>2.3199999999999998</v>
      </c>
      <c r="F344" s="318" t="s">
        <v>395</v>
      </c>
      <c r="G344" s="318" t="s">
        <v>395</v>
      </c>
      <c r="H344" s="318" t="s">
        <v>395</v>
      </c>
      <c r="I344" s="318" t="s">
        <v>1859</v>
      </c>
      <c r="J344" s="318">
        <v>66</v>
      </c>
      <c r="K344" s="317" t="s">
        <v>397</v>
      </c>
      <c r="L344" s="317">
        <v>47.271611</v>
      </c>
      <c r="M344" s="317">
        <v>39.688139</v>
      </c>
    </row>
    <row r="345" spans="1:13" ht="60" hidden="1" x14ac:dyDescent="0.25">
      <c r="A345" s="313">
        <f t="shared" si="5"/>
        <v>344</v>
      </c>
      <c r="B345" s="314" t="s">
        <v>1962</v>
      </c>
      <c r="C345" s="315" t="s">
        <v>447</v>
      </c>
      <c r="D345" s="316" t="s">
        <v>1963</v>
      </c>
      <c r="E345" s="318">
        <v>2.34</v>
      </c>
      <c r="F345" s="318" t="s">
        <v>395</v>
      </c>
      <c r="G345" s="318" t="s">
        <v>395</v>
      </c>
      <c r="H345" s="318" t="s">
        <v>395</v>
      </c>
      <c r="I345" s="318" t="s">
        <v>1859</v>
      </c>
      <c r="J345" s="318">
        <v>67</v>
      </c>
      <c r="K345" s="317" t="s">
        <v>397</v>
      </c>
      <c r="L345" s="317">
        <v>47.207977</v>
      </c>
      <c r="M345" s="317">
        <v>39.632891000000001</v>
      </c>
    </row>
    <row r="346" spans="1:13" ht="30" hidden="1" x14ac:dyDescent="0.25">
      <c r="A346" s="313">
        <f t="shared" si="5"/>
        <v>345</v>
      </c>
      <c r="B346" s="314" t="s">
        <v>1966</v>
      </c>
      <c r="C346" s="315" t="s">
        <v>399</v>
      </c>
      <c r="D346" s="316" t="s">
        <v>1967</v>
      </c>
      <c r="E346" s="318">
        <v>2.34</v>
      </c>
      <c r="F346" s="318" t="s">
        <v>395</v>
      </c>
      <c r="G346" s="318" t="s">
        <v>395</v>
      </c>
      <c r="H346" s="318" t="s">
        <v>395</v>
      </c>
      <c r="I346" s="318" t="s">
        <v>1859</v>
      </c>
      <c r="J346" s="318">
        <v>67</v>
      </c>
      <c r="K346" s="317" t="s">
        <v>397</v>
      </c>
      <c r="L346" s="317">
        <v>47.205278</v>
      </c>
      <c r="M346" s="317">
        <v>39.649166999999998</v>
      </c>
    </row>
    <row r="347" spans="1:13" ht="30" hidden="1" x14ac:dyDescent="0.25">
      <c r="A347" s="313">
        <f t="shared" si="5"/>
        <v>346</v>
      </c>
      <c r="B347" s="314" t="s">
        <v>1970</v>
      </c>
      <c r="C347" s="315" t="s">
        <v>399</v>
      </c>
      <c r="D347" s="316" t="s">
        <v>1971</v>
      </c>
      <c r="E347" s="318">
        <v>2.3199999999999998</v>
      </c>
      <c r="F347" s="318" t="s">
        <v>395</v>
      </c>
      <c r="G347" s="318" t="s">
        <v>395</v>
      </c>
      <c r="H347" s="318" t="s">
        <v>395</v>
      </c>
      <c r="I347" s="318" t="s">
        <v>1859</v>
      </c>
      <c r="J347" s="318">
        <v>66</v>
      </c>
      <c r="K347" s="317" t="s">
        <v>397</v>
      </c>
      <c r="L347" s="317">
        <v>47.215000000000003</v>
      </c>
      <c r="M347" s="317">
        <v>39.636944</v>
      </c>
    </row>
    <row r="348" spans="1:13" ht="45" hidden="1" x14ac:dyDescent="0.25">
      <c r="A348" s="313">
        <f t="shared" si="5"/>
        <v>347</v>
      </c>
      <c r="B348" s="314" t="s">
        <v>1974</v>
      </c>
      <c r="C348" s="315" t="s">
        <v>412</v>
      </c>
      <c r="D348" s="316" t="s">
        <v>1975</v>
      </c>
      <c r="E348" s="318">
        <v>2.36</v>
      </c>
      <c r="F348" s="318" t="s">
        <v>395</v>
      </c>
      <c r="G348" s="318" t="s">
        <v>395</v>
      </c>
      <c r="H348" s="318" t="s">
        <v>395</v>
      </c>
      <c r="I348" s="318" t="s">
        <v>1859</v>
      </c>
      <c r="J348" s="318">
        <v>68</v>
      </c>
      <c r="K348" s="317" t="s">
        <v>397</v>
      </c>
      <c r="L348" s="317">
        <v>47.213639000000001</v>
      </c>
      <c r="M348" s="317">
        <v>39.678666999999997</v>
      </c>
    </row>
    <row r="349" spans="1:13" ht="30" hidden="1" x14ac:dyDescent="0.25">
      <c r="A349" s="313">
        <f t="shared" si="5"/>
        <v>348</v>
      </c>
      <c r="B349" s="314" t="s">
        <v>1978</v>
      </c>
      <c r="C349" s="315" t="s">
        <v>399</v>
      </c>
      <c r="D349" s="316" t="s">
        <v>1979</v>
      </c>
      <c r="E349" s="318">
        <v>2.3199999999999998</v>
      </c>
      <c r="F349" s="318" t="s">
        <v>395</v>
      </c>
      <c r="G349" s="318" t="s">
        <v>395</v>
      </c>
      <c r="H349" s="318" t="s">
        <v>395</v>
      </c>
      <c r="I349" s="318" t="s">
        <v>1859</v>
      </c>
      <c r="J349" s="318">
        <v>66</v>
      </c>
      <c r="K349" s="317" t="s">
        <v>397</v>
      </c>
      <c r="L349" s="317">
        <v>47.205914</v>
      </c>
      <c r="M349" s="317">
        <v>39.624923000000003</v>
      </c>
    </row>
    <row r="350" spans="1:13" ht="45" hidden="1" x14ac:dyDescent="0.25">
      <c r="A350" s="313">
        <f t="shared" si="5"/>
        <v>349</v>
      </c>
      <c r="B350" s="314" t="s">
        <v>1982</v>
      </c>
      <c r="C350" s="315" t="s">
        <v>412</v>
      </c>
      <c r="D350" s="316" t="s">
        <v>1983</v>
      </c>
      <c r="E350" s="318">
        <v>2.2999999999999998</v>
      </c>
      <c r="F350" s="318" t="s">
        <v>395</v>
      </c>
      <c r="G350" s="318" t="s">
        <v>395</v>
      </c>
      <c r="H350" s="318" t="s">
        <v>395</v>
      </c>
      <c r="I350" s="318" t="s">
        <v>1859</v>
      </c>
      <c r="J350" s="318">
        <v>65</v>
      </c>
      <c r="K350" s="317" t="s">
        <v>397</v>
      </c>
      <c r="L350" s="317">
        <v>47.212150000000001</v>
      </c>
      <c r="M350" s="317">
        <v>39.614871999999998</v>
      </c>
    </row>
    <row r="351" spans="1:13" ht="30" hidden="1" x14ac:dyDescent="0.25">
      <c r="A351" s="313">
        <f t="shared" si="5"/>
        <v>350</v>
      </c>
      <c r="B351" s="314" t="s">
        <v>1986</v>
      </c>
      <c r="C351" s="315" t="s">
        <v>399</v>
      </c>
      <c r="D351" s="316" t="s">
        <v>1987</v>
      </c>
      <c r="E351" s="318">
        <v>2.38</v>
      </c>
      <c r="F351" s="318" t="s">
        <v>395</v>
      </c>
      <c r="G351" s="318" t="s">
        <v>395</v>
      </c>
      <c r="H351" s="318" t="s">
        <v>395</v>
      </c>
      <c r="I351" s="318" t="s">
        <v>1859</v>
      </c>
      <c r="J351" s="318">
        <v>69</v>
      </c>
      <c r="K351" s="317" t="s">
        <v>397</v>
      </c>
      <c r="L351" s="317">
        <v>47.20478</v>
      </c>
      <c r="M351" s="317">
        <v>39.669345</v>
      </c>
    </row>
    <row r="352" spans="1:13" ht="75" hidden="1" x14ac:dyDescent="0.25">
      <c r="A352" s="313">
        <f t="shared" si="5"/>
        <v>351</v>
      </c>
      <c r="B352" s="314" t="s">
        <v>1990</v>
      </c>
      <c r="C352" s="315" t="s">
        <v>428</v>
      </c>
      <c r="D352" s="316" t="s">
        <v>1991</v>
      </c>
      <c r="E352" s="318">
        <v>2.36</v>
      </c>
      <c r="F352" s="318" t="s">
        <v>395</v>
      </c>
      <c r="G352" s="318" t="s">
        <v>395</v>
      </c>
      <c r="H352" s="318" t="s">
        <v>395</v>
      </c>
      <c r="I352" s="318" t="s">
        <v>1859</v>
      </c>
      <c r="J352" s="318">
        <v>68</v>
      </c>
      <c r="K352" s="317" t="s">
        <v>397</v>
      </c>
      <c r="L352" s="317">
        <v>47.227916999999998</v>
      </c>
      <c r="M352" s="317">
        <v>39.655278000000003</v>
      </c>
    </row>
    <row r="353" spans="1:13" ht="75" hidden="1" x14ac:dyDescent="0.25">
      <c r="A353" s="313">
        <f t="shared" si="5"/>
        <v>352</v>
      </c>
      <c r="B353" s="314" t="s">
        <v>1994</v>
      </c>
      <c r="C353" s="315" t="s">
        <v>428</v>
      </c>
      <c r="D353" s="316" t="s">
        <v>1995</v>
      </c>
      <c r="E353" s="318">
        <v>2.2599999999999998</v>
      </c>
      <c r="F353" s="318" t="s">
        <v>395</v>
      </c>
      <c r="G353" s="318" t="s">
        <v>395</v>
      </c>
      <c r="H353" s="318" t="s">
        <v>395</v>
      </c>
      <c r="I353" s="318" t="s">
        <v>1859</v>
      </c>
      <c r="J353" s="318">
        <v>63</v>
      </c>
      <c r="K353" s="317" t="s">
        <v>397</v>
      </c>
      <c r="L353" s="317">
        <v>47.265140000000002</v>
      </c>
      <c r="M353" s="317">
        <v>39.660080000000001</v>
      </c>
    </row>
    <row r="354" spans="1:13" ht="30" hidden="1" x14ac:dyDescent="0.25">
      <c r="A354" s="313">
        <f t="shared" si="5"/>
        <v>353</v>
      </c>
      <c r="B354" s="314" t="s">
        <v>1998</v>
      </c>
      <c r="C354" s="315" t="s">
        <v>399</v>
      </c>
      <c r="D354" s="316" t="s">
        <v>1999</v>
      </c>
      <c r="E354" s="318">
        <v>2.3199999999999998</v>
      </c>
      <c r="F354" s="318" t="s">
        <v>395</v>
      </c>
      <c r="G354" s="318" t="s">
        <v>395</v>
      </c>
      <c r="H354" s="318" t="s">
        <v>395</v>
      </c>
      <c r="I354" s="318" t="s">
        <v>1859</v>
      </c>
      <c r="J354" s="318">
        <v>66</v>
      </c>
      <c r="K354" s="317" t="s">
        <v>397</v>
      </c>
      <c r="L354" s="317">
        <v>47.219386</v>
      </c>
      <c r="M354" s="317">
        <v>39.633032999999998</v>
      </c>
    </row>
    <row r="355" spans="1:13" ht="45" hidden="1" x14ac:dyDescent="0.25">
      <c r="A355" s="313">
        <f t="shared" si="5"/>
        <v>354</v>
      </c>
      <c r="B355" s="314" t="s">
        <v>2002</v>
      </c>
      <c r="C355" s="315" t="s">
        <v>412</v>
      </c>
      <c r="D355" s="316" t="s">
        <v>2003</v>
      </c>
      <c r="E355" s="318">
        <v>2.36</v>
      </c>
      <c r="F355" s="318" t="s">
        <v>395</v>
      </c>
      <c r="G355" s="318" t="s">
        <v>395</v>
      </c>
      <c r="H355" s="318" t="s">
        <v>395</v>
      </c>
      <c r="I355" s="318" t="s">
        <v>1859</v>
      </c>
      <c r="J355" s="318">
        <v>68</v>
      </c>
      <c r="K355" s="317" t="s">
        <v>397</v>
      </c>
      <c r="L355" s="317">
        <v>47.220792000000003</v>
      </c>
      <c r="M355" s="317">
        <v>39.677017999999997</v>
      </c>
    </row>
    <row r="356" spans="1:13" ht="75" hidden="1" x14ac:dyDescent="0.25">
      <c r="A356" s="313">
        <f t="shared" si="5"/>
        <v>355</v>
      </c>
      <c r="B356" s="314" t="s">
        <v>2006</v>
      </c>
      <c r="C356" s="315" t="s">
        <v>428</v>
      </c>
      <c r="D356" s="316" t="s">
        <v>2007</v>
      </c>
      <c r="E356" s="318">
        <v>2.2799999999999998</v>
      </c>
      <c r="F356" s="318" t="s">
        <v>395</v>
      </c>
      <c r="G356" s="318" t="s">
        <v>395</v>
      </c>
      <c r="H356" s="318" t="s">
        <v>395</v>
      </c>
      <c r="I356" s="318" t="s">
        <v>1859</v>
      </c>
      <c r="J356" s="318">
        <v>64</v>
      </c>
      <c r="K356" s="317" t="s">
        <v>397</v>
      </c>
      <c r="L356" s="317">
        <v>47.241917000000001</v>
      </c>
      <c r="M356" s="317">
        <v>39.588082999999997</v>
      </c>
    </row>
    <row r="357" spans="1:13" ht="75" hidden="1" x14ac:dyDescent="0.25">
      <c r="A357" s="313">
        <f t="shared" si="5"/>
        <v>356</v>
      </c>
      <c r="B357" s="314" t="s">
        <v>2010</v>
      </c>
      <c r="C357" s="315" t="s">
        <v>428</v>
      </c>
      <c r="D357" s="316" t="s">
        <v>2011</v>
      </c>
      <c r="E357" s="318">
        <v>2.2599999999999998</v>
      </c>
      <c r="F357" s="318" t="s">
        <v>395</v>
      </c>
      <c r="G357" s="318" t="s">
        <v>395</v>
      </c>
      <c r="H357" s="318" t="s">
        <v>395</v>
      </c>
      <c r="I357" s="318" t="s">
        <v>1859</v>
      </c>
      <c r="J357" s="318">
        <v>63</v>
      </c>
      <c r="K357" s="317" t="s">
        <v>397</v>
      </c>
      <c r="L357" s="317">
        <v>47.234222000000003</v>
      </c>
      <c r="M357" s="317">
        <v>39.628582999999999</v>
      </c>
    </row>
    <row r="358" spans="1:13" ht="45" hidden="1" x14ac:dyDescent="0.25">
      <c r="A358" s="313">
        <f t="shared" si="5"/>
        <v>357</v>
      </c>
      <c r="B358" s="314" t="s">
        <v>2014</v>
      </c>
      <c r="C358" s="315" t="s">
        <v>412</v>
      </c>
      <c r="D358" s="316" t="s">
        <v>2015</v>
      </c>
      <c r="E358" s="318">
        <v>2.2999999999999998</v>
      </c>
      <c r="F358" s="318" t="s">
        <v>395</v>
      </c>
      <c r="G358" s="318" t="s">
        <v>395</v>
      </c>
      <c r="H358" s="318" t="s">
        <v>395</v>
      </c>
      <c r="I358" s="318" t="s">
        <v>1859</v>
      </c>
      <c r="J358" s="318">
        <v>65</v>
      </c>
      <c r="K358" s="317" t="s">
        <v>397</v>
      </c>
      <c r="L358" s="317">
        <v>47.245561000000002</v>
      </c>
      <c r="M358" s="317">
        <v>39.648193999999997</v>
      </c>
    </row>
    <row r="359" spans="1:13" ht="30" hidden="1" x14ac:dyDescent="0.25">
      <c r="A359" s="313">
        <f t="shared" si="5"/>
        <v>358</v>
      </c>
      <c r="B359" s="314" t="s">
        <v>2018</v>
      </c>
      <c r="C359" s="315" t="s">
        <v>399</v>
      </c>
      <c r="D359" s="316" t="s">
        <v>2019</v>
      </c>
      <c r="E359" s="318">
        <v>2.2799999999999998</v>
      </c>
      <c r="F359" s="318" t="s">
        <v>395</v>
      </c>
      <c r="G359" s="318" t="s">
        <v>395</v>
      </c>
      <c r="H359" s="318" t="s">
        <v>395</v>
      </c>
      <c r="I359" s="318" t="s">
        <v>1859</v>
      </c>
      <c r="J359" s="318">
        <v>64</v>
      </c>
      <c r="K359" s="317" t="s">
        <v>397</v>
      </c>
      <c r="L359" s="317">
        <v>47.267778</v>
      </c>
      <c r="M359" s="317">
        <v>39.671666999999999</v>
      </c>
    </row>
    <row r="360" spans="1:13" ht="60" hidden="1" x14ac:dyDescent="0.25">
      <c r="A360" s="313">
        <f t="shared" si="5"/>
        <v>359</v>
      </c>
      <c r="B360" s="314" t="s">
        <v>2022</v>
      </c>
      <c r="C360" s="315" t="s">
        <v>408</v>
      </c>
      <c r="D360" s="316" t="s">
        <v>2023</v>
      </c>
      <c r="E360" s="318">
        <v>2.34</v>
      </c>
      <c r="F360" s="318" t="s">
        <v>395</v>
      </c>
      <c r="G360" s="318" t="s">
        <v>395</v>
      </c>
      <c r="H360" s="318" t="s">
        <v>395</v>
      </c>
      <c r="I360" s="318" t="s">
        <v>1859</v>
      </c>
      <c r="J360" s="318">
        <v>67</v>
      </c>
      <c r="K360" s="317" t="s">
        <v>397</v>
      </c>
      <c r="L360" s="317">
        <v>47.198329999999999</v>
      </c>
      <c r="M360" s="317">
        <v>39.62444</v>
      </c>
    </row>
    <row r="361" spans="1:13" ht="45" hidden="1" x14ac:dyDescent="0.25">
      <c r="A361" s="313">
        <f t="shared" si="5"/>
        <v>360</v>
      </c>
      <c r="B361" s="314" t="s">
        <v>2026</v>
      </c>
      <c r="C361" s="315" t="s">
        <v>412</v>
      </c>
      <c r="D361" s="316" t="s">
        <v>2027</v>
      </c>
      <c r="E361" s="318">
        <v>2.4</v>
      </c>
      <c r="F361" s="318" t="s">
        <v>395</v>
      </c>
      <c r="G361" s="318" t="s">
        <v>395</v>
      </c>
      <c r="H361" s="318" t="s">
        <v>395</v>
      </c>
      <c r="I361" s="318" t="s">
        <v>1859</v>
      </c>
      <c r="J361" s="318">
        <v>70</v>
      </c>
      <c r="K361" s="317" t="s">
        <v>397</v>
      </c>
      <c r="L361" s="317">
        <v>47.194988000000002</v>
      </c>
      <c r="M361" s="317">
        <v>39.650041999999999</v>
      </c>
    </row>
    <row r="362" spans="1:13" ht="45" hidden="1" x14ac:dyDescent="0.25">
      <c r="A362" s="313">
        <f t="shared" si="5"/>
        <v>361</v>
      </c>
      <c r="B362" s="314" t="s">
        <v>2030</v>
      </c>
      <c r="C362" s="315" t="s">
        <v>393</v>
      </c>
      <c r="D362" s="316" t="s">
        <v>2031</v>
      </c>
      <c r="E362" s="318">
        <v>2.2400000000000002</v>
      </c>
      <c r="F362" s="318" t="s">
        <v>395</v>
      </c>
      <c r="G362" s="318" t="s">
        <v>395</v>
      </c>
      <c r="H362" s="318" t="s">
        <v>395</v>
      </c>
      <c r="I362" s="318" t="s">
        <v>1859</v>
      </c>
      <c r="J362" s="318">
        <v>62</v>
      </c>
      <c r="K362" s="317" t="s">
        <v>397</v>
      </c>
      <c r="L362" s="317">
        <v>47.259082999999997</v>
      </c>
      <c r="M362" s="317">
        <v>39.65</v>
      </c>
    </row>
    <row r="363" spans="1:13" ht="75" hidden="1" x14ac:dyDescent="0.25">
      <c r="A363" s="313">
        <f t="shared" si="5"/>
        <v>362</v>
      </c>
      <c r="B363" s="314" t="s">
        <v>2034</v>
      </c>
      <c r="C363" s="315" t="s">
        <v>428</v>
      </c>
      <c r="D363" s="316" t="s">
        <v>2035</v>
      </c>
      <c r="E363" s="318">
        <v>2.2599999999999998</v>
      </c>
      <c r="F363" s="318" t="s">
        <v>395</v>
      </c>
      <c r="G363" s="318" t="s">
        <v>395</v>
      </c>
      <c r="H363" s="318" t="s">
        <v>395</v>
      </c>
      <c r="I363" s="318" t="s">
        <v>1859</v>
      </c>
      <c r="J363" s="318">
        <v>63</v>
      </c>
      <c r="K363" s="317" t="s">
        <v>397</v>
      </c>
      <c r="L363" s="317">
        <v>47.286721999999997</v>
      </c>
      <c r="M363" s="317">
        <v>39.620722000000001</v>
      </c>
    </row>
    <row r="364" spans="1:13" ht="75" hidden="1" x14ac:dyDescent="0.25">
      <c r="A364" s="313">
        <f t="shared" si="5"/>
        <v>363</v>
      </c>
      <c r="B364" s="314" t="s">
        <v>2038</v>
      </c>
      <c r="C364" s="315" t="s">
        <v>428</v>
      </c>
      <c r="D364" s="316" t="s">
        <v>2039</v>
      </c>
      <c r="E364" s="318">
        <v>2.3199999999999998</v>
      </c>
      <c r="F364" s="318" t="s">
        <v>395</v>
      </c>
      <c r="G364" s="318" t="s">
        <v>395</v>
      </c>
      <c r="H364" s="318" t="s">
        <v>395</v>
      </c>
      <c r="I364" s="318" t="s">
        <v>1859</v>
      </c>
      <c r="J364" s="318">
        <v>66</v>
      </c>
      <c r="K364" s="317" t="s">
        <v>397</v>
      </c>
      <c r="L364" s="317">
        <v>47.242041999999998</v>
      </c>
      <c r="M364" s="317">
        <v>39.651941999999998</v>
      </c>
    </row>
    <row r="365" spans="1:13" ht="45" hidden="1" x14ac:dyDescent="0.25">
      <c r="A365" s="313">
        <f t="shared" si="5"/>
        <v>364</v>
      </c>
      <c r="B365" s="314" t="s">
        <v>2042</v>
      </c>
      <c r="C365" s="315" t="s">
        <v>412</v>
      </c>
      <c r="D365" s="316" t="s">
        <v>2043</v>
      </c>
      <c r="E365" s="318">
        <v>2.2999999999999998</v>
      </c>
      <c r="F365" s="318" t="s">
        <v>395</v>
      </c>
      <c r="G365" s="318" t="s">
        <v>395</v>
      </c>
      <c r="H365" s="318" t="s">
        <v>395</v>
      </c>
      <c r="I365" s="318" t="s">
        <v>1859</v>
      </c>
      <c r="J365" s="318">
        <v>65</v>
      </c>
      <c r="K365" s="317" t="s">
        <v>397</v>
      </c>
      <c r="L365" s="317">
        <v>47.225982000000002</v>
      </c>
      <c r="M365" s="317">
        <v>39.634535999999997</v>
      </c>
    </row>
    <row r="366" spans="1:13" ht="45" hidden="1" x14ac:dyDescent="0.25">
      <c r="A366" s="313">
        <f t="shared" si="5"/>
        <v>365</v>
      </c>
      <c r="B366" s="314" t="s">
        <v>2046</v>
      </c>
      <c r="C366" s="315" t="s">
        <v>393</v>
      </c>
      <c r="D366" s="316" t="s">
        <v>2048</v>
      </c>
      <c r="E366" s="318">
        <v>2.34</v>
      </c>
      <c r="F366" s="318" t="s">
        <v>395</v>
      </c>
      <c r="G366" s="318" t="s">
        <v>395</v>
      </c>
      <c r="H366" s="318" t="s">
        <v>395</v>
      </c>
      <c r="I366" s="318" t="s">
        <v>1859</v>
      </c>
      <c r="J366" s="318">
        <v>67</v>
      </c>
      <c r="K366" s="317" t="s">
        <v>397</v>
      </c>
      <c r="L366" s="317">
        <v>47.216667000000001</v>
      </c>
      <c r="M366" s="317">
        <v>39.581305999999998</v>
      </c>
    </row>
    <row r="367" spans="1:13" ht="75" hidden="1" x14ac:dyDescent="0.25">
      <c r="A367" s="313">
        <f t="shared" si="5"/>
        <v>366</v>
      </c>
      <c r="B367" s="314" t="s">
        <v>2050</v>
      </c>
      <c r="C367" s="315" t="s">
        <v>428</v>
      </c>
      <c r="D367" s="316" t="s">
        <v>2052</v>
      </c>
      <c r="E367" s="318">
        <v>2.2799999999999998</v>
      </c>
      <c r="F367" s="318" t="s">
        <v>395</v>
      </c>
      <c r="G367" s="318" t="s">
        <v>395</v>
      </c>
      <c r="H367" s="318" t="s">
        <v>395</v>
      </c>
      <c r="I367" s="318" t="s">
        <v>1859</v>
      </c>
      <c r="J367" s="318">
        <v>64</v>
      </c>
      <c r="K367" s="317" t="s">
        <v>397</v>
      </c>
      <c r="L367" s="317">
        <v>47.272264999999997</v>
      </c>
      <c r="M367" s="317">
        <v>39.664234</v>
      </c>
    </row>
    <row r="368" spans="1:13" ht="30" hidden="1" x14ac:dyDescent="0.25">
      <c r="A368" s="313">
        <f t="shared" si="5"/>
        <v>367</v>
      </c>
      <c r="B368" s="314" t="s">
        <v>2054</v>
      </c>
      <c r="C368" s="315" t="s">
        <v>399</v>
      </c>
      <c r="D368" s="316" t="s">
        <v>2056</v>
      </c>
      <c r="E368" s="318">
        <v>2.2799999999999998</v>
      </c>
      <c r="F368" s="318" t="s">
        <v>395</v>
      </c>
      <c r="G368" s="318" t="s">
        <v>395</v>
      </c>
      <c r="H368" s="318" t="s">
        <v>395</v>
      </c>
      <c r="I368" s="318" t="s">
        <v>1859</v>
      </c>
      <c r="J368" s="318">
        <v>64</v>
      </c>
      <c r="K368" s="317" t="s">
        <v>397</v>
      </c>
      <c r="L368" s="317">
        <v>47.229683000000001</v>
      </c>
      <c r="M368" s="317">
        <v>39.626401000000001</v>
      </c>
    </row>
    <row r="369" spans="1:13" ht="60" hidden="1" x14ac:dyDescent="0.25">
      <c r="A369" s="313">
        <f t="shared" si="5"/>
        <v>368</v>
      </c>
      <c r="B369" s="314" t="s">
        <v>2058</v>
      </c>
      <c r="C369" s="315" t="s">
        <v>447</v>
      </c>
      <c r="D369" s="316" t="s">
        <v>2060</v>
      </c>
      <c r="E369" s="318">
        <v>2.38</v>
      </c>
      <c r="F369" s="318" t="s">
        <v>395</v>
      </c>
      <c r="G369" s="318" t="s">
        <v>395</v>
      </c>
      <c r="H369" s="318" t="s">
        <v>395</v>
      </c>
      <c r="I369" s="318" t="s">
        <v>1859</v>
      </c>
      <c r="J369" s="318">
        <v>69</v>
      </c>
      <c r="K369" s="317" t="s">
        <v>397</v>
      </c>
      <c r="L369" s="317">
        <v>47.192495000000001</v>
      </c>
      <c r="M369" s="317">
        <v>39.643993999999999</v>
      </c>
    </row>
    <row r="370" spans="1:13" ht="45" hidden="1" x14ac:dyDescent="0.25">
      <c r="A370" s="313">
        <f t="shared" si="5"/>
        <v>369</v>
      </c>
      <c r="B370" s="314" t="s">
        <v>2062</v>
      </c>
      <c r="C370" s="315" t="s">
        <v>393</v>
      </c>
      <c r="D370" s="316" t="s">
        <v>2065</v>
      </c>
      <c r="E370" s="318">
        <v>2.34</v>
      </c>
      <c r="F370" s="318" t="s">
        <v>395</v>
      </c>
      <c r="G370" s="318" t="s">
        <v>395</v>
      </c>
      <c r="H370" s="318" t="s">
        <v>395</v>
      </c>
      <c r="I370" s="318" t="s">
        <v>1859</v>
      </c>
      <c r="J370" s="318">
        <v>67</v>
      </c>
      <c r="K370" s="317" t="s">
        <v>397</v>
      </c>
      <c r="L370" s="317">
        <v>47.214139000000003</v>
      </c>
      <c r="M370" s="317">
        <v>39.664693999999997</v>
      </c>
    </row>
    <row r="371" spans="1:13" ht="30" hidden="1" x14ac:dyDescent="0.25">
      <c r="A371" s="313">
        <f t="shared" si="5"/>
        <v>370</v>
      </c>
      <c r="B371" s="314" t="s">
        <v>2067</v>
      </c>
      <c r="C371" s="315" t="s">
        <v>399</v>
      </c>
      <c r="D371" s="316" t="s">
        <v>2069</v>
      </c>
      <c r="E371" s="318">
        <v>2.2599999999999998</v>
      </c>
      <c r="F371" s="318" t="s">
        <v>395</v>
      </c>
      <c r="G371" s="318" t="s">
        <v>395</v>
      </c>
      <c r="H371" s="318" t="s">
        <v>395</v>
      </c>
      <c r="I371" s="318" t="s">
        <v>1859</v>
      </c>
      <c r="J371" s="318">
        <v>63</v>
      </c>
      <c r="K371" s="317" t="s">
        <v>397</v>
      </c>
      <c r="L371" s="317">
        <v>47.230550000000001</v>
      </c>
      <c r="M371" s="317">
        <v>39.610481</v>
      </c>
    </row>
    <row r="372" spans="1:13" ht="60" hidden="1" x14ac:dyDescent="0.25">
      <c r="A372" s="313">
        <f t="shared" si="5"/>
        <v>371</v>
      </c>
      <c r="B372" s="314" t="s">
        <v>2070</v>
      </c>
      <c r="C372" s="315" t="s">
        <v>452</v>
      </c>
      <c r="D372" s="316" t="s">
        <v>2072</v>
      </c>
      <c r="E372" s="318">
        <v>2.08</v>
      </c>
      <c r="F372" s="318" t="s">
        <v>395</v>
      </c>
      <c r="G372" s="318" t="s">
        <v>395</v>
      </c>
      <c r="H372" s="318" t="s">
        <v>395</v>
      </c>
      <c r="I372" s="318" t="s">
        <v>1859</v>
      </c>
      <c r="J372" s="318">
        <v>54</v>
      </c>
      <c r="K372" s="317" t="s">
        <v>397</v>
      </c>
      <c r="L372" s="317">
        <v>47.253889000000001</v>
      </c>
      <c r="M372" s="317">
        <v>39.505833000000003</v>
      </c>
    </row>
    <row r="373" spans="1:13" ht="25.5" hidden="1" x14ac:dyDescent="0.25">
      <c r="A373" s="313">
        <f t="shared" si="5"/>
        <v>372</v>
      </c>
      <c r="B373" s="314" t="s">
        <v>2074</v>
      </c>
      <c r="C373" s="315" t="s">
        <v>2076</v>
      </c>
      <c r="D373" s="316" t="s">
        <v>2077</v>
      </c>
      <c r="E373" s="318">
        <v>2.3199999999999998</v>
      </c>
      <c r="F373" s="318" t="s">
        <v>395</v>
      </c>
      <c r="G373" s="318" t="s">
        <v>395</v>
      </c>
      <c r="H373" s="318" t="s">
        <v>395</v>
      </c>
      <c r="I373" s="318" t="s">
        <v>1859</v>
      </c>
      <c r="J373" s="318">
        <v>66</v>
      </c>
      <c r="K373" s="317" t="s">
        <v>397</v>
      </c>
      <c r="L373" s="317">
        <v>47.208039999999997</v>
      </c>
      <c r="M373" s="317">
        <v>39.603369999999998</v>
      </c>
    </row>
    <row r="374" spans="1:13" ht="30" hidden="1" x14ac:dyDescent="0.25">
      <c r="A374" s="313">
        <f t="shared" si="5"/>
        <v>373</v>
      </c>
      <c r="B374" s="314" t="s">
        <v>2079</v>
      </c>
      <c r="C374" s="315" t="s">
        <v>399</v>
      </c>
      <c r="D374" s="316" t="s">
        <v>2081</v>
      </c>
      <c r="E374" s="318">
        <v>2.2799999999999998</v>
      </c>
      <c r="F374" s="318" t="s">
        <v>395</v>
      </c>
      <c r="G374" s="318" t="s">
        <v>395</v>
      </c>
      <c r="H374" s="318" t="s">
        <v>395</v>
      </c>
      <c r="I374" s="318" t="s">
        <v>1859</v>
      </c>
      <c r="J374" s="318">
        <v>64</v>
      </c>
      <c r="K374" s="317" t="s">
        <v>397</v>
      </c>
      <c r="L374" s="317">
        <v>47.232759000000001</v>
      </c>
      <c r="M374" s="317">
        <v>39.620949000000003</v>
      </c>
    </row>
    <row r="375" spans="1:13" ht="60" hidden="1" x14ac:dyDescent="0.25">
      <c r="A375" s="313">
        <f t="shared" si="5"/>
        <v>374</v>
      </c>
      <c r="B375" s="314" t="s">
        <v>2083</v>
      </c>
      <c r="C375" s="315" t="s">
        <v>447</v>
      </c>
      <c r="D375" s="316" t="s">
        <v>2085</v>
      </c>
      <c r="E375" s="318">
        <v>2.2799999999999998</v>
      </c>
      <c r="F375" s="318" t="s">
        <v>395</v>
      </c>
      <c r="G375" s="318" t="s">
        <v>395</v>
      </c>
      <c r="H375" s="318" t="s">
        <v>395</v>
      </c>
      <c r="I375" s="318" t="s">
        <v>1859</v>
      </c>
      <c r="J375" s="318">
        <v>64</v>
      </c>
      <c r="K375" s="317" t="s">
        <v>397</v>
      </c>
      <c r="L375" s="317">
        <v>47.234110999999999</v>
      </c>
      <c r="M375" s="317">
        <v>39.601517000000001</v>
      </c>
    </row>
    <row r="376" spans="1:13" ht="45" hidden="1" x14ac:dyDescent="0.25">
      <c r="A376" s="313">
        <f t="shared" si="5"/>
        <v>375</v>
      </c>
      <c r="B376" s="314" t="s">
        <v>2088</v>
      </c>
      <c r="C376" s="315" t="s">
        <v>582</v>
      </c>
      <c r="D376" s="316" t="s">
        <v>2090</v>
      </c>
      <c r="E376" s="318">
        <v>2.6</v>
      </c>
      <c r="F376" s="318" t="s">
        <v>395</v>
      </c>
      <c r="G376" s="318" t="s">
        <v>395</v>
      </c>
      <c r="H376" s="318" t="s">
        <v>395</v>
      </c>
      <c r="I376" s="318" t="s">
        <v>1859</v>
      </c>
      <c r="J376" s="318">
        <v>80</v>
      </c>
      <c r="K376" s="317" t="s">
        <v>397</v>
      </c>
      <c r="L376" s="317">
        <v>47.469335999999998</v>
      </c>
      <c r="M376" s="317">
        <v>39.669815</v>
      </c>
    </row>
    <row r="377" spans="1:13" ht="30" hidden="1" x14ac:dyDescent="0.25">
      <c r="A377" s="313">
        <f t="shared" si="5"/>
        <v>376</v>
      </c>
      <c r="B377" s="314" t="s">
        <v>2092</v>
      </c>
      <c r="C377" s="315" t="s">
        <v>399</v>
      </c>
      <c r="D377" s="316" t="s">
        <v>2094</v>
      </c>
      <c r="E377" s="318">
        <v>2.3199999999999998</v>
      </c>
      <c r="F377" s="318" t="s">
        <v>395</v>
      </c>
      <c r="G377" s="318" t="s">
        <v>395</v>
      </c>
      <c r="H377" s="318" t="s">
        <v>395</v>
      </c>
      <c r="I377" s="318" t="s">
        <v>1859</v>
      </c>
      <c r="J377" s="318">
        <v>66</v>
      </c>
      <c r="K377" s="317" t="s">
        <v>397</v>
      </c>
      <c r="L377" s="317">
        <v>47.216259999999998</v>
      </c>
      <c r="M377" s="317">
        <v>39.619909</v>
      </c>
    </row>
    <row r="378" spans="1:13" ht="75" hidden="1" x14ac:dyDescent="0.25">
      <c r="A378" s="313">
        <f t="shared" si="5"/>
        <v>377</v>
      </c>
      <c r="B378" s="314" t="s">
        <v>2096</v>
      </c>
      <c r="C378" s="315" t="s">
        <v>428</v>
      </c>
      <c r="D378" s="316" t="s">
        <v>2098</v>
      </c>
      <c r="E378" s="318">
        <v>2.3199999999999998</v>
      </c>
      <c r="F378" s="318" t="s">
        <v>395</v>
      </c>
      <c r="G378" s="318" t="s">
        <v>395</v>
      </c>
      <c r="H378" s="318" t="s">
        <v>395</v>
      </c>
      <c r="I378" s="318" t="s">
        <v>1859</v>
      </c>
      <c r="J378" s="318">
        <v>66</v>
      </c>
      <c r="K378" s="317" t="s">
        <v>397</v>
      </c>
      <c r="L378" s="317">
        <v>47.296556000000002</v>
      </c>
      <c r="M378" s="317">
        <v>39.657471999999999</v>
      </c>
    </row>
    <row r="379" spans="1:13" ht="75" hidden="1" x14ac:dyDescent="0.25">
      <c r="A379" s="313">
        <f t="shared" si="5"/>
        <v>378</v>
      </c>
      <c r="B379" s="314" t="s">
        <v>2100</v>
      </c>
      <c r="C379" s="315" t="s">
        <v>428</v>
      </c>
      <c r="D379" s="316" t="s">
        <v>2102</v>
      </c>
      <c r="E379" s="318">
        <v>2.2999999999999998</v>
      </c>
      <c r="F379" s="318" t="s">
        <v>395</v>
      </c>
      <c r="G379" s="318" t="s">
        <v>395</v>
      </c>
      <c r="H379" s="318" t="s">
        <v>395</v>
      </c>
      <c r="I379" s="318" t="s">
        <v>1859</v>
      </c>
      <c r="J379" s="318">
        <v>65</v>
      </c>
      <c r="K379" s="317" t="s">
        <v>397</v>
      </c>
      <c r="L379" s="317">
        <v>47.227936</v>
      </c>
      <c r="M379" s="317">
        <v>39.646678999999999</v>
      </c>
    </row>
    <row r="380" spans="1:13" ht="45" hidden="1" x14ac:dyDescent="0.25">
      <c r="A380" s="313">
        <f t="shared" si="5"/>
        <v>379</v>
      </c>
      <c r="B380" s="314" t="s">
        <v>2104</v>
      </c>
      <c r="C380" s="315" t="s">
        <v>412</v>
      </c>
      <c r="D380" s="316" t="s">
        <v>2106</v>
      </c>
      <c r="E380" s="318">
        <v>2.84</v>
      </c>
      <c r="F380" s="318" t="s">
        <v>395</v>
      </c>
      <c r="G380" s="318" t="s">
        <v>395</v>
      </c>
      <c r="H380" s="318" t="s">
        <v>395</v>
      </c>
      <c r="I380" s="318" t="s">
        <v>1859</v>
      </c>
      <c r="J380" s="318">
        <v>92</v>
      </c>
      <c r="K380" s="317" t="s">
        <v>397</v>
      </c>
      <c r="L380" s="317">
        <v>47.585109000000003</v>
      </c>
      <c r="M380" s="317">
        <v>39.678170999999999</v>
      </c>
    </row>
    <row r="381" spans="1:13" ht="45" hidden="1" x14ac:dyDescent="0.25">
      <c r="A381" s="313">
        <f t="shared" si="5"/>
        <v>380</v>
      </c>
      <c r="B381" s="314" t="s">
        <v>2108</v>
      </c>
      <c r="C381" s="315" t="s">
        <v>412</v>
      </c>
      <c r="D381" s="316" t="s">
        <v>2110</v>
      </c>
      <c r="E381" s="318">
        <v>2.4</v>
      </c>
      <c r="F381" s="318" t="s">
        <v>395</v>
      </c>
      <c r="G381" s="318" t="s">
        <v>395</v>
      </c>
      <c r="H381" s="318" t="s">
        <v>395</v>
      </c>
      <c r="I381" s="318" t="s">
        <v>1859</v>
      </c>
      <c r="J381" s="318">
        <v>70</v>
      </c>
      <c r="K381" s="317" t="s">
        <v>397</v>
      </c>
      <c r="L381" s="317">
        <v>47.585833000000001</v>
      </c>
      <c r="M381" s="317">
        <v>39.390749999999997</v>
      </c>
    </row>
    <row r="382" spans="1:13" ht="45" hidden="1" x14ac:dyDescent="0.25">
      <c r="A382" s="313">
        <f t="shared" si="5"/>
        <v>381</v>
      </c>
      <c r="B382" s="314" t="s">
        <v>2112</v>
      </c>
      <c r="C382" s="315" t="s">
        <v>412</v>
      </c>
      <c r="D382" s="316" t="s">
        <v>2114</v>
      </c>
      <c r="E382" s="318">
        <v>2.46</v>
      </c>
      <c r="F382" s="318" t="s">
        <v>395</v>
      </c>
      <c r="G382" s="318" t="s">
        <v>395</v>
      </c>
      <c r="H382" s="318" t="s">
        <v>395</v>
      </c>
      <c r="I382" s="318" t="s">
        <v>1859</v>
      </c>
      <c r="J382" s="318">
        <v>73</v>
      </c>
      <c r="K382" s="317" t="s">
        <v>397</v>
      </c>
      <c r="L382" s="317">
        <v>47.428027999999998</v>
      </c>
      <c r="M382" s="317">
        <v>39.639833000000003</v>
      </c>
    </row>
    <row r="383" spans="1:13" ht="30" hidden="1" x14ac:dyDescent="0.25">
      <c r="A383" s="313">
        <f t="shared" si="5"/>
        <v>382</v>
      </c>
      <c r="B383" s="314" t="s">
        <v>2116</v>
      </c>
      <c r="C383" s="315" t="s">
        <v>399</v>
      </c>
      <c r="D383" s="316" t="s">
        <v>2118</v>
      </c>
      <c r="E383" s="318">
        <v>2.36</v>
      </c>
      <c r="F383" s="318" t="s">
        <v>395</v>
      </c>
      <c r="G383" s="318" t="s">
        <v>395</v>
      </c>
      <c r="H383" s="318" t="s">
        <v>395</v>
      </c>
      <c r="I383" s="318" t="s">
        <v>1859</v>
      </c>
      <c r="J383" s="318">
        <v>68</v>
      </c>
      <c r="K383" s="317" t="s">
        <v>397</v>
      </c>
      <c r="L383" s="317">
        <v>47.196026000000003</v>
      </c>
      <c r="M383" s="317">
        <v>39.633167</v>
      </c>
    </row>
    <row r="384" spans="1:13" ht="30" hidden="1" x14ac:dyDescent="0.25">
      <c r="A384" s="313">
        <f t="shared" si="5"/>
        <v>383</v>
      </c>
      <c r="B384" s="314" t="s">
        <v>2120</v>
      </c>
      <c r="C384" s="315" t="s">
        <v>399</v>
      </c>
      <c r="D384" s="316" t="s">
        <v>2122</v>
      </c>
      <c r="E384" s="318">
        <v>2.2799999999999998</v>
      </c>
      <c r="F384" s="318" t="s">
        <v>395</v>
      </c>
      <c r="G384" s="318" t="s">
        <v>395</v>
      </c>
      <c r="H384" s="318" t="s">
        <v>395</v>
      </c>
      <c r="I384" s="318" t="s">
        <v>1859</v>
      </c>
      <c r="J384" s="318">
        <v>64</v>
      </c>
      <c r="K384" s="317" t="s">
        <v>397</v>
      </c>
      <c r="L384" s="317">
        <v>47.229692</v>
      </c>
      <c r="M384" s="317">
        <v>39.615960999999999</v>
      </c>
    </row>
    <row r="385" spans="1:13" ht="60" hidden="1" x14ac:dyDescent="0.25">
      <c r="A385" s="313">
        <f t="shared" si="5"/>
        <v>384</v>
      </c>
      <c r="B385" s="314" t="s">
        <v>2124</v>
      </c>
      <c r="C385" s="315" t="s">
        <v>447</v>
      </c>
      <c r="D385" s="316" t="s">
        <v>2126</v>
      </c>
      <c r="E385" s="318">
        <v>2.34</v>
      </c>
      <c r="F385" s="318" t="s">
        <v>395</v>
      </c>
      <c r="G385" s="318" t="s">
        <v>395</v>
      </c>
      <c r="H385" s="318" t="s">
        <v>395</v>
      </c>
      <c r="I385" s="318" t="s">
        <v>1859</v>
      </c>
      <c r="J385" s="318">
        <v>67</v>
      </c>
      <c r="K385" s="317" t="s">
        <v>397</v>
      </c>
      <c r="L385" s="317">
        <v>47.220821999999998</v>
      </c>
      <c r="M385" s="317">
        <v>39.656742999999999</v>
      </c>
    </row>
    <row r="386" spans="1:13" ht="30" hidden="1" x14ac:dyDescent="0.25">
      <c r="A386" s="313">
        <f t="shared" si="5"/>
        <v>385</v>
      </c>
      <c r="B386" s="314" t="s">
        <v>2128</v>
      </c>
      <c r="C386" s="315" t="s">
        <v>399</v>
      </c>
      <c r="D386" s="316" t="s">
        <v>2130</v>
      </c>
      <c r="E386" s="318">
        <v>2.4</v>
      </c>
      <c r="F386" s="318" t="s">
        <v>395</v>
      </c>
      <c r="G386" s="318" t="s">
        <v>395</v>
      </c>
      <c r="H386" s="318" t="s">
        <v>395</v>
      </c>
      <c r="I386" s="318" t="s">
        <v>1859</v>
      </c>
      <c r="J386" s="318">
        <v>70</v>
      </c>
      <c r="K386" s="317" t="s">
        <v>397</v>
      </c>
      <c r="L386" s="317">
        <v>47.315038999999999</v>
      </c>
      <c r="M386" s="317">
        <v>39.678977000000003</v>
      </c>
    </row>
    <row r="387" spans="1:13" ht="30" hidden="1" x14ac:dyDescent="0.25">
      <c r="A387" s="313">
        <f t="shared" si="5"/>
        <v>386</v>
      </c>
      <c r="B387" s="314" t="s">
        <v>2133</v>
      </c>
      <c r="C387" s="315" t="s">
        <v>399</v>
      </c>
      <c r="D387" s="316" t="s">
        <v>2134</v>
      </c>
      <c r="E387" s="318">
        <v>1.22</v>
      </c>
      <c r="F387" s="318" t="s">
        <v>395</v>
      </c>
      <c r="G387" s="318" t="s">
        <v>395</v>
      </c>
      <c r="H387" s="318" t="s">
        <v>395</v>
      </c>
      <c r="I387" s="318" t="s">
        <v>1859</v>
      </c>
      <c r="J387" s="318">
        <v>11</v>
      </c>
      <c r="K387" s="317" t="s">
        <v>397</v>
      </c>
      <c r="L387" s="317">
        <v>47.328144999999999</v>
      </c>
      <c r="M387" s="317">
        <v>39.685772999999998</v>
      </c>
    </row>
    <row r="388" spans="1:13" ht="30" hidden="1" x14ac:dyDescent="0.25">
      <c r="A388" s="313">
        <f t="shared" ref="A388:A451" si="6">A387+1</f>
        <v>387</v>
      </c>
      <c r="B388" s="314" t="s">
        <v>2137</v>
      </c>
      <c r="C388" s="315" t="s">
        <v>399</v>
      </c>
      <c r="D388" s="316" t="s">
        <v>2138</v>
      </c>
      <c r="E388" s="318">
        <v>2.2799999999999998</v>
      </c>
      <c r="F388" s="318" t="s">
        <v>395</v>
      </c>
      <c r="G388" s="318" t="s">
        <v>395</v>
      </c>
      <c r="H388" s="318" t="s">
        <v>395</v>
      </c>
      <c r="I388" s="318" t="s">
        <v>1859</v>
      </c>
      <c r="J388" s="318">
        <v>64</v>
      </c>
      <c r="K388" s="317" t="s">
        <v>397</v>
      </c>
      <c r="L388" s="317">
        <v>47.226351999999999</v>
      </c>
      <c r="M388" s="317">
        <v>39.622051999999996</v>
      </c>
    </row>
    <row r="389" spans="1:13" ht="30" hidden="1" x14ac:dyDescent="0.25">
      <c r="A389" s="313">
        <f t="shared" si="6"/>
        <v>388</v>
      </c>
      <c r="B389" s="314" t="s">
        <v>2141</v>
      </c>
      <c r="C389" s="315" t="s">
        <v>399</v>
      </c>
      <c r="D389" s="316" t="s">
        <v>2142</v>
      </c>
      <c r="E389" s="318">
        <v>2.36</v>
      </c>
      <c r="F389" s="318" t="s">
        <v>395</v>
      </c>
      <c r="G389" s="318" t="s">
        <v>395</v>
      </c>
      <c r="H389" s="318" t="s">
        <v>395</v>
      </c>
      <c r="I389" s="318" t="s">
        <v>1859</v>
      </c>
      <c r="J389" s="318">
        <v>68</v>
      </c>
      <c r="K389" s="317" t="s">
        <v>397</v>
      </c>
      <c r="L389" s="317">
        <v>47.285226000000002</v>
      </c>
      <c r="M389" s="317">
        <v>39.668194</v>
      </c>
    </row>
    <row r="390" spans="1:13" ht="60" hidden="1" x14ac:dyDescent="0.25">
      <c r="A390" s="313">
        <f t="shared" si="6"/>
        <v>389</v>
      </c>
      <c r="B390" s="314" t="s">
        <v>2145</v>
      </c>
      <c r="C390" s="315" t="s">
        <v>447</v>
      </c>
      <c r="D390" s="316" t="s">
        <v>2146</v>
      </c>
      <c r="E390" s="318">
        <v>2.3199999999999998</v>
      </c>
      <c r="F390" s="318" t="s">
        <v>395</v>
      </c>
      <c r="G390" s="318" t="s">
        <v>395</v>
      </c>
      <c r="H390" s="318" t="s">
        <v>395</v>
      </c>
      <c r="I390" s="318" t="s">
        <v>1859</v>
      </c>
      <c r="J390" s="318">
        <v>66</v>
      </c>
      <c r="K390" s="317" t="s">
        <v>397</v>
      </c>
      <c r="L390" s="317">
        <v>47.207557999999999</v>
      </c>
      <c r="M390" s="317">
        <v>39.618138000000002</v>
      </c>
    </row>
    <row r="391" spans="1:13" ht="30" hidden="1" x14ac:dyDescent="0.25">
      <c r="A391" s="313">
        <f t="shared" si="6"/>
        <v>390</v>
      </c>
      <c r="B391" s="314" t="s">
        <v>2150</v>
      </c>
      <c r="C391" s="315" t="s">
        <v>399</v>
      </c>
      <c r="D391" s="316" t="s">
        <v>2151</v>
      </c>
      <c r="E391" s="318">
        <v>2.2400000000000002</v>
      </c>
      <c r="F391" s="318" t="s">
        <v>395</v>
      </c>
      <c r="G391" s="318" t="s">
        <v>395</v>
      </c>
      <c r="H391" s="318" t="s">
        <v>395</v>
      </c>
      <c r="I391" s="318" t="s">
        <v>1859</v>
      </c>
      <c r="J391" s="318">
        <v>62</v>
      </c>
      <c r="K391" s="317" t="s">
        <v>397</v>
      </c>
      <c r="L391" s="317">
        <v>47.263117000000001</v>
      </c>
      <c r="M391" s="317">
        <v>39.653046000000003</v>
      </c>
    </row>
    <row r="392" spans="1:13" ht="45" hidden="1" x14ac:dyDescent="0.25">
      <c r="A392" s="313">
        <f t="shared" si="6"/>
        <v>391</v>
      </c>
      <c r="B392" s="314" t="s">
        <v>2154</v>
      </c>
      <c r="C392" s="315" t="s">
        <v>412</v>
      </c>
      <c r="D392" s="316" t="s">
        <v>2155</v>
      </c>
      <c r="E392" s="318">
        <v>2.4</v>
      </c>
      <c r="F392" s="318" t="s">
        <v>395</v>
      </c>
      <c r="G392" s="318" t="s">
        <v>395</v>
      </c>
      <c r="H392" s="318" t="s">
        <v>395</v>
      </c>
      <c r="I392" s="318" t="s">
        <v>1859</v>
      </c>
      <c r="J392" s="318">
        <v>70</v>
      </c>
      <c r="K392" s="317" t="s">
        <v>397</v>
      </c>
      <c r="L392" s="317">
        <v>47.203612999999997</v>
      </c>
      <c r="M392" s="317">
        <v>39.675863</v>
      </c>
    </row>
    <row r="393" spans="1:13" ht="30" hidden="1" x14ac:dyDescent="0.25">
      <c r="A393" s="313">
        <f t="shared" si="6"/>
        <v>392</v>
      </c>
      <c r="B393" s="314" t="s">
        <v>2158</v>
      </c>
      <c r="C393" s="315" t="s">
        <v>503</v>
      </c>
      <c r="D393" s="316" t="s">
        <v>2159</v>
      </c>
      <c r="E393" s="318">
        <v>2.38</v>
      </c>
      <c r="F393" s="318" t="s">
        <v>395</v>
      </c>
      <c r="G393" s="318" t="s">
        <v>395</v>
      </c>
      <c r="H393" s="318" t="s">
        <v>395</v>
      </c>
      <c r="I393" s="318" t="s">
        <v>1859</v>
      </c>
      <c r="J393" s="318">
        <v>69</v>
      </c>
      <c r="K393" s="317" t="s">
        <v>397</v>
      </c>
      <c r="L393" s="317">
        <v>47.310460999999997</v>
      </c>
      <c r="M393" s="317">
        <v>39.652540000000002</v>
      </c>
    </row>
    <row r="394" spans="1:13" ht="60" hidden="1" x14ac:dyDescent="0.25">
      <c r="A394" s="313">
        <f t="shared" si="6"/>
        <v>393</v>
      </c>
      <c r="B394" s="314" t="s">
        <v>2162</v>
      </c>
      <c r="C394" s="315" t="s">
        <v>447</v>
      </c>
      <c r="D394" s="316" t="s">
        <v>2163</v>
      </c>
      <c r="E394" s="318">
        <v>2.38</v>
      </c>
      <c r="F394" s="318" t="s">
        <v>395</v>
      </c>
      <c r="G394" s="318" t="s">
        <v>395</v>
      </c>
      <c r="H394" s="318" t="s">
        <v>395</v>
      </c>
      <c r="I394" s="318" t="s">
        <v>1859</v>
      </c>
      <c r="J394" s="318">
        <v>69</v>
      </c>
      <c r="K394" s="317" t="s">
        <v>397</v>
      </c>
      <c r="L394" s="317">
        <v>47.199179000000001</v>
      </c>
      <c r="M394" s="317">
        <v>39.663038999999998</v>
      </c>
    </row>
    <row r="395" spans="1:13" ht="30" hidden="1" x14ac:dyDescent="0.25">
      <c r="A395" s="313">
        <f t="shared" si="6"/>
        <v>394</v>
      </c>
      <c r="B395" s="314" t="s">
        <v>2166</v>
      </c>
      <c r="C395" s="315" t="s">
        <v>399</v>
      </c>
      <c r="D395" s="316" t="s">
        <v>2167</v>
      </c>
      <c r="E395" s="318">
        <v>2.3199999999999998</v>
      </c>
      <c r="F395" s="318" t="s">
        <v>395</v>
      </c>
      <c r="G395" s="318" t="s">
        <v>395</v>
      </c>
      <c r="H395" s="318" t="s">
        <v>395</v>
      </c>
      <c r="I395" s="318" t="s">
        <v>1859</v>
      </c>
      <c r="J395" s="318">
        <v>66</v>
      </c>
      <c r="K395" s="317" t="s">
        <v>397</v>
      </c>
      <c r="L395" s="317">
        <v>47.233196</v>
      </c>
      <c r="M395" s="317">
        <v>39.566426999999997</v>
      </c>
    </row>
    <row r="396" spans="1:13" ht="45" hidden="1" x14ac:dyDescent="0.25">
      <c r="A396" s="313">
        <f t="shared" si="6"/>
        <v>395</v>
      </c>
      <c r="B396" s="314" t="s">
        <v>2170</v>
      </c>
      <c r="C396" s="315" t="s">
        <v>412</v>
      </c>
      <c r="D396" s="316" t="s">
        <v>2171</v>
      </c>
      <c r="E396" s="318">
        <v>2.3199999999999998</v>
      </c>
      <c r="F396" s="318" t="s">
        <v>395</v>
      </c>
      <c r="G396" s="318" t="s">
        <v>395</v>
      </c>
      <c r="H396" s="318" t="s">
        <v>395</v>
      </c>
      <c r="I396" s="318" t="s">
        <v>1859</v>
      </c>
      <c r="J396" s="318">
        <v>66</v>
      </c>
      <c r="K396" s="317" t="s">
        <v>397</v>
      </c>
      <c r="L396" s="317">
        <v>47.215147000000002</v>
      </c>
      <c r="M396" s="317">
        <v>39.645491999999997</v>
      </c>
    </row>
    <row r="397" spans="1:13" ht="75" hidden="1" x14ac:dyDescent="0.25">
      <c r="A397" s="313">
        <f t="shared" si="6"/>
        <v>396</v>
      </c>
      <c r="B397" s="314" t="s">
        <v>2174</v>
      </c>
      <c r="C397" s="315" t="s">
        <v>428</v>
      </c>
      <c r="D397" s="316" t="s">
        <v>2175</v>
      </c>
      <c r="E397" s="318">
        <v>2.3199999999999998</v>
      </c>
      <c r="F397" s="318" t="s">
        <v>395</v>
      </c>
      <c r="G397" s="318" t="s">
        <v>395</v>
      </c>
      <c r="H397" s="318" t="s">
        <v>395</v>
      </c>
      <c r="I397" s="318" t="s">
        <v>1859</v>
      </c>
      <c r="J397" s="318">
        <v>66</v>
      </c>
      <c r="K397" s="317" t="s">
        <v>397</v>
      </c>
      <c r="L397" s="317">
        <v>47.205832999999998</v>
      </c>
      <c r="M397" s="317">
        <v>39.598610999999998</v>
      </c>
    </row>
    <row r="398" spans="1:13" ht="30" hidden="1" x14ac:dyDescent="0.25">
      <c r="A398" s="313">
        <f t="shared" si="6"/>
        <v>397</v>
      </c>
      <c r="B398" s="314" t="s">
        <v>2178</v>
      </c>
      <c r="C398" s="315" t="s">
        <v>399</v>
      </c>
      <c r="D398" s="316" t="s">
        <v>2179</v>
      </c>
      <c r="E398" s="318">
        <v>2.34</v>
      </c>
      <c r="F398" s="318" t="s">
        <v>395</v>
      </c>
      <c r="G398" s="318" t="s">
        <v>395</v>
      </c>
      <c r="H398" s="318" t="s">
        <v>395</v>
      </c>
      <c r="I398" s="318" t="s">
        <v>1859</v>
      </c>
      <c r="J398" s="318">
        <v>67</v>
      </c>
      <c r="K398" s="317" t="s">
        <v>397</v>
      </c>
      <c r="L398" s="317">
        <v>47.203221999999997</v>
      </c>
      <c r="M398" s="317">
        <v>39.635662000000004</v>
      </c>
    </row>
    <row r="399" spans="1:13" ht="75" hidden="1" x14ac:dyDescent="0.25">
      <c r="A399" s="313">
        <f t="shared" si="6"/>
        <v>398</v>
      </c>
      <c r="B399" s="314" t="s">
        <v>2182</v>
      </c>
      <c r="C399" s="315" t="s">
        <v>428</v>
      </c>
      <c r="D399" s="316" t="s">
        <v>2183</v>
      </c>
      <c r="E399" s="318">
        <v>2.38</v>
      </c>
      <c r="F399" s="318" t="s">
        <v>395</v>
      </c>
      <c r="G399" s="318" t="s">
        <v>395</v>
      </c>
      <c r="H399" s="318" t="s">
        <v>395</v>
      </c>
      <c r="I399" s="318" t="s">
        <v>1859</v>
      </c>
      <c r="J399" s="318">
        <v>69</v>
      </c>
      <c r="K399" s="317" t="s">
        <v>397</v>
      </c>
      <c r="L399" s="317">
        <v>47.320487999999997</v>
      </c>
      <c r="M399" s="317">
        <v>39.673786999999997</v>
      </c>
    </row>
    <row r="400" spans="1:13" ht="60" hidden="1" x14ac:dyDescent="0.25">
      <c r="A400" s="313">
        <f t="shared" si="6"/>
        <v>399</v>
      </c>
      <c r="B400" s="314" t="s">
        <v>2186</v>
      </c>
      <c r="C400" s="315" t="s">
        <v>447</v>
      </c>
      <c r="D400" s="316" t="s">
        <v>2187</v>
      </c>
      <c r="E400" s="318">
        <v>2.2799999999999998</v>
      </c>
      <c r="F400" s="318" t="s">
        <v>395</v>
      </c>
      <c r="G400" s="318" t="s">
        <v>395</v>
      </c>
      <c r="H400" s="318" t="s">
        <v>395</v>
      </c>
      <c r="I400" s="318" t="s">
        <v>1859</v>
      </c>
      <c r="J400" s="318">
        <v>64</v>
      </c>
      <c r="K400" s="317" t="s">
        <v>397</v>
      </c>
      <c r="L400" s="317">
        <v>47.262729999999998</v>
      </c>
      <c r="M400" s="317">
        <v>39.683861</v>
      </c>
    </row>
    <row r="401" spans="1:13" ht="30" hidden="1" x14ac:dyDescent="0.25">
      <c r="A401" s="313">
        <f t="shared" si="6"/>
        <v>400</v>
      </c>
      <c r="B401" s="314" t="s">
        <v>2190</v>
      </c>
      <c r="C401" s="315" t="s">
        <v>503</v>
      </c>
      <c r="D401" s="316" t="s">
        <v>2191</v>
      </c>
      <c r="E401" s="318">
        <v>2.34</v>
      </c>
      <c r="F401" s="318" t="s">
        <v>395</v>
      </c>
      <c r="G401" s="318" t="s">
        <v>395</v>
      </c>
      <c r="H401" s="318" t="s">
        <v>395</v>
      </c>
      <c r="I401" s="318" t="s">
        <v>1859</v>
      </c>
      <c r="J401" s="318">
        <v>67</v>
      </c>
      <c r="K401" s="317" t="s">
        <v>397</v>
      </c>
      <c r="L401" s="317">
        <v>47.253821000000002</v>
      </c>
      <c r="M401" s="317">
        <v>39.663646999999997</v>
      </c>
    </row>
    <row r="402" spans="1:13" ht="30" hidden="1" x14ac:dyDescent="0.25">
      <c r="A402" s="313">
        <f t="shared" si="6"/>
        <v>401</v>
      </c>
      <c r="B402" s="314" t="s">
        <v>2194</v>
      </c>
      <c r="C402" s="315" t="s">
        <v>399</v>
      </c>
      <c r="D402" s="316" t="s">
        <v>2195</v>
      </c>
      <c r="E402" s="318">
        <v>2.2400000000000002</v>
      </c>
      <c r="F402" s="318" t="s">
        <v>395</v>
      </c>
      <c r="G402" s="318" t="s">
        <v>395</v>
      </c>
      <c r="H402" s="318" t="s">
        <v>395</v>
      </c>
      <c r="I402" s="318" t="s">
        <v>1859</v>
      </c>
      <c r="J402" s="318">
        <v>62</v>
      </c>
      <c r="K402" s="317" t="s">
        <v>397</v>
      </c>
      <c r="L402" s="317">
        <v>47.256180999999998</v>
      </c>
      <c r="M402" s="317">
        <v>39.650446000000002</v>
      </c>
    </row>
    <row r="403" spans="1:13" ht="60" hidden="1" x14ac:dyDescent="0.25">
      <c r="A403" s="313">
        <f t="shared" si="6"/>
        <v>402</v>
      </c>
      <c r="B403" s="314" t="s">
        <v>2198</v>
      </c>
      <c r="C403" s="315" t="s">
        <v>447</v>
      </c>
      <c r="D403" s="316" t="s">
        <v>2199</v>
      </c>
      <c r="E403" s="318">
        <v>2.2999999999999998</v>
      </c>
      <c r="F403" s="318" t="s">
        <v>395</v>
      </c>
      <c r="G403" s="318" t="s">
        <v>395</v>
      </c>
      <c r="H403" s="318" t="s">
        <v>395</v>
      </c>
      <c r="I403" s="318" t="s">
        <v>1859</v>
      </c>
      <c r="J403" s="318">
        <v>65</v>
      </c>
      <c r="K403" s="317" t="s">
        <v>397</v>
      </c>
      <c r="L403" s="317">
        <v>47.230794000000003</v>
      </c>
      <c r="M403" s="317">
        <v>39.636781999999997</v>
      </c>
    </row>
    <row r="404" spans="1:13" ht="45" hidden="1" x14ac:dyDescent="0.25">
      <c r="A404" s="313">
        <f t="shared" si="6"/>
        <v>403</v>
      </c>
      <c r="B404" s="314" t="s">
        <v>2202</v>
      </c>
      <c r="C404" s="315" t="s">
        <v>412</v>
      </c>
      <c r="D404" s="316" t="s">
        <v>2203</v>
      </c>
      <c r="E404" s="318">
        <v>2.38</v>
      </c>
      <c r="F404" s="318" t="s">
        <v>395</v>
      </c>
      <c r="G404" s="318" t="s">
        <v>395</v>
      </c>
      <c r="H404" s="318" t="s">
        <v>395</v>
      </c>
      <c r="I404" s="318" t="s">
        <v>1859</v>
      </c>
      <c r="J404" s="318">
        <v>69</v>
      </c>
      <c r="K404" s="317" t="s">
        <v>397</v>
      </c>
      <c r="L404" s="317">
        <v>47.195278000000002</v>
      </c>
      <c r="M404" s="317">
        <v>39.658056000000002</v>
      </c>
    </row>
    <row r="405" spans="1:13" ht="30" hidden="1" x14ac:dyDescent="0.25">
      <c r="A405" s="313">
        <f t="shared" si="6"/>
        <v>404</v>
      </c>
      <c r="B405" s="314" t="s">
        <v>2205</v>
      </c>
      <c r="C405" s="315" t="s">
        <v>399</v>
      </c>
      <c r="D405" s="316" t="s">
        <v>2207</v>
      </c>
      <c r="E405" s="318">
        <v>2.36</v>
      </c>
      <c r="F405" s="318" t="s">
        <v>395</v>
      </c>
      <c r="G405" s="318" t="s">
        <v>395</v>
      </c>
      <c r="H405" s="318" t="s">
        <v>395</v>
      </c>
      <c r="I405" s="318" t="s">
        <v>1859</v>
      </c>
      <c r="J405" s="318">
        <v>68</v>
      </c>
      <c r="K405" s="317" t="s">
        <v>397</v>
      </c>
      <c r="L405" s="317">
        <v>47.205609000000003</v>
      </c>
      <c r="M405" s="317">
        <v>39.657043999999999</v>
      </c>
    </row>
    <row r="406" spans="1:13" ht="60" hidden="1" x14ac:dyDescent="0.25">
      <c r="A406" s="313">
        <f t="shared" si="6"/>
        <v>405</v>
      </c>
      <c r="B406" s="314" t="s">
        <v>2209</v>
      </c>
      <c r="C406" s="315" t="s">
        <v>447</v>
      </c>
      <c r="D406" s="316" t="s">
        <v>2211</v>
      </c>
      <c r="E406" s="318">
        <v>2.4</v>
      </c>
      <c r="F406" s="318" t="s">
        <v>395</v>
      </c>
      <c r="G406" s="318" t="s">
        <v>395</v>
      </c>
      <c r="H406" s="318" t="s">
        <v>395</v>
      </c>
      <c r="I406" s="318" t="s">
        <v>1859</v>
      </c>
      <c r="J406" s="318">
        <v>70</v>
      </c>
      <c r="K406" s="317" t="s">
        <v>397</v>
      </c>
      <c r="L406" s="317">
        <v>47.202911</v>
      </c>
      <c r="M406" s="317">
        <v>39.686383999999997</v>
      </c>
    </row>
    <row r="407" spans="1:13" ht="45" hidden="1" x14ac:dyDescent="0.25">
      <c r="A407" s="313">
        <f t="shared" si="6"/>
        <v>406</v>
      </c>
      <c r="B407" s="314" t="s">
        <v>2213</v>
      </c>
      <c r="C407" s="315" t="s">
        <v>412</v>
      </c>
      <c r="D407" s="316" t="s">
        <v>2215</v>
      </c>
      <c r="E407" s="318">
        <v>2.42</v>
      </c>
      <c r="F407" s="318" t="s">
        <v>395</v>
      </c>
      <c r="G407" s="318" t="s">
        <v>395</v>
      </c>
      <c r="H407" s="318" t="s">
        <v>395</v>
      </c>
      <c r="I407" s="318" t="s">
        <v>1859</v>
      </c>
      <c r="J407" s="318">
        <v>71</v>
      </c>
      <c r="K407" s="317" t="s">
        <v>397</v>
      </c>
      <c r="L407" s="317">
        <v>47.225990000000003</v>
      </c>
      <c r="M407" s="317">
        <v>39.585859999999997</v>
      </c>
    </row>
    <row r="408" spans="1:13" ht="30" hidden="1" x14ac:dyDescent="0.25">
      <c r="A408" s="313">
        <f t="shared" si="6"/>
        <v>407</v>
      </c>
      <c r="B408" s="314" t="s">
        <v>2218</v>
      </c>
      <c r="C408" s="315" t="s">
        <v>399</v>
      </c>
      <c r="D408" s="316" t="s">
        <v>2219</v>
      </c>
      <c r="E408" s="318">
        <v>2.2999999999999998</v>
      </c>
      <c r="F408" s="318" t="s">
        <v>395</v>
      </c>
      <c r="G408" s="318" t="s">
        <v>395</v>
      </c>
      <c r="H408" s="318" t="s">
        <v>395</v>
      </c>
      <c r="I408" s="318" t="s">
        <v>1859</v>
      </c>
      <c r="J408" s="318">
        <v>65</v>
      </c>
      <c r="K408" s="317" t="s">
        <v>397</v>
      </c>
      <c r="L408" s="317">
        <v>47.230620999999999</v>
      </c>
      <c r="M408" s="317">
        <v>39.596564000000001</v>
      </c>
    </row>
    <row r="409" spans="1:13" ht="45" hidden="1" x14ac:dyDescent="0.25">
      <c r="A409" s="313">
        <f t="shared" si="6"/>
        <v>408</v>
      </c>
      <c r="B409" s="314" t="s">
        <v>2221</v>
      </c>
      <c r="C409" s="315" t="s">
        <v>412</v>
      </c>
      <c r="D409" s="316" t="s">
        <v>2223</v>
      </c>
      <c r="E409" s="318">
        <v>2.2000000000000002</v>
      </c>
      <c r="F409" s="318" t="s">
        <v>395</v>
      </c>
      <c r="G409" s="318" t="s">
        <v>395</v>
      </c>
      <c r="H409" s="318" t="s">
        <v>395</v>
      </c>
      <c r="I409" s="318" t="s">
        <v>1859</v>
      </c>
      <c r="J409" s="318">
        <v>60</v>
      </c>
      <c r="K409" s="317" t="s">
        <v>397</v>
      </c>
      <c r="L409" s="317">
        <v>47.265253000000001</v>
      </c>
      <c r="M409" s="317">
        <v>39.597147999999997</v>
      </c>
    </row>
    <row r="410" spans="1:13" ht="75" hidden="1" x14ac:dyDescent="0.25">
      <c r="A410" s="313">
        <f t="shared" si="6"/>
        <v>409</v>
      </c>
      <c r="B410" s="314" t="s">
        <v>2225</v>
      </c>
      <c r="C410" s="315" t="s">
        <v>428</v>
      </c>
      <c r="D410" s="316" t="s">
        <v>2227</v>
      </c>
      <c r="E410" s="318">
        <v>2.2799999999999998</v>
      </c>
      <c r="F410" s="318" t="s">
        <v>395</v>
      </c>
      <c r="G410" s="318" t="s">
        <v>395</v>
      </c>
      <c r="H410" s="318" t="s">
        <v>395</v>
      </c>
      <c r="I410" s="318" t="s">
        <v>1859</v>
      </c>
      <c r="J410" s="318">
        <v>64</v>
      </c>
      <c r="K410" s="317" t="s">
        <v>397</v>
      </c>
      <c r="L410" s="317">
        <v>47.236328999999998</v>
      </c>
      <c r="M410" s="317">
        <v>39.591948000000002</v>
      </c>
    </row>
    <row r="411" spans="1:13" ht="60" hidden="1" x14ac:dyDescent="0.25">
      <c r="A411" s="313">
        <f t="shared" si="6"/>
        <v>410</v>
      </c>
      <c r="B411" s="314" t="s">
        <v>2229</v>
      </c>
      <c r="C411" s="315" t="s">
        <v>447</v>
      </c>
      <c r="D411" s="316" t="s">
        <v>2231</v>
      </c>
      <c r="E411" s="318">
        <v>2.36</v>
      </c>
      <c r="F411" s="318" t="s">
        <v>395</v>
      </c>
      <c r="G411" s="318" t="s">
        <v>395</v>
      </c>
      <c r="H411" s="318" t="s">
        <v>395</v>
      </c>
      <c r="I411" s="318" t="s">
        <v>1859</v>
      </c>
      <c r="J411" s="318">
        <v>68</v>
      </c>
      <c r="K411" s="317" t="s">
        <v>397</v>
      </c>
      <c r="L411" s="317">
        <v>47.276710000000001</v>
      </c>
      <c r="M411" s="317">
        <v>39.680720000000001</v>
      </c>
    </row>
    <row r="412" spans="1:13" ht="30" hidden="1" x14ac:dyDescent="0.25">
      <c r="A412" s="313">
        <f t="shared" si="6"/>
        <v>411</v>
      </c>
      <c r="B412" s="314" t="s">
        <v>2233</v>
      </c>
      <c r="C412" s="315" t="s">
        <v>399</v>
      </c>
      <c r="D412" s="316" t="s">
        <v>2235</v>
      </c>
      <c r="E412" s="318">
        <v>2.3199999999999998</v>
      </c>
      <c r="F412" s="318" t="s">
        <v>395</v>
      </c>
      <c r="G412" s="318" t="s">
        <v>395</v>
      </c>
      <c r="H412" s="318" t="s">
        <v>395</v>
      </c>
      <c r="I412" s="318" t="s">
        <v>1859</v>
      </c>
      <c r="J412" s="318">
        <v>66</v>
      </c>
      <c r="K412" s="317" t="s">
        <v>397</v>
      </c>
      <c r="L412" s="317">
        <v>47.209387999999997</v>
      </c>
      <c r="M412" s="317">
        <v>39.628404000000003</v>
      </c>
    </row>
    <row r="413" spans="1:13" ht="60" hidden="1" x14ac:dyDescent="0.25">
      <c r="A413" s="313">
        <f t="shared" si="6"/>
        <v>412</v>
      </c>
      <c r="B413" s="314" t="s">
        <v>2237</v>
      </c>
      <c r="C413" s="315" t="s">
        <v>447</v>
      </c>
      <c r="D413" s="316" t="s">
        <v>2239</v>
      </c>
      <c r="E413" s="318">
        <v>2.2999999999999998</v>
      </c>
      <c r="F413" s="318" t="s">
        <v>395</v>
      </c>
      <c r="G413" s="318" t="s">
        <v>395</v>
      </c>
      <c r="H413" s="318" t="s">
        <v>395</v>
      </c>
      <c r="I413" s="318" t="s">
        <v>1859</v>
      </c>
      <c r="J413" s="318">
        <v>65</v>
      </c>
      <c r="K413" s="317" t="s">
        <v>397</v>
      </c>
      <c r="L413" s="317">
        <v>47.245337999999997</v>
      </c>
      <c r="M413" s="317">
        <v>39.636046</v>
      </c>
    </row>
    <row r="414" spans="1:13" ht="30" hidden="1" x14ac:dyDescent="0.25">
      <c r="A414" s="313">
        <f t="shared" si="6"/>
        <v>413</v>
      </c>
      <c r="B414" s="314" t="s">
        <v>2241</v>
      </c>
      <c r="C414" s="315" t="s">
        <v>399</v>
      </c>
      <c r="D414" s="316" t="s">
        <v>2243</v>
      </c>
      <c r="E414" s="318">
        <v>2.2999999999999998</v>
      </c>
      <c r="F414" s="318" t="s">
        <v>395</v>
      </c>
      <c r="G414" s="318" t="s">
        <v>395</v>
      </c>
      <c r="H414" s="318" t="s">
        <v>395</v>
      </c>
      <c r="I414" s="318" t="s">
        <v>1859</v>
      </c>
      <c r="J414" s="318">
        <v>65</v>
      </c>
      <c r="K414" s="317" t="s">
        <v>397</v>
      </c>
      <c r="L414" s="317">
        <v>47.265546999999998</v>
      </c>
      <c r="M414" s="317">
        <v>39.678910000000002</v>
      </c>
    </row>
    <row r="415" spans="1:13" ht="60" hidden="1" x14ac:dyDescent="0.25">
      <c r="A415" s="313">
        <f t="shared" si="6"/>
        <v>414</v>
      </c>
      <c r="B415" s="314" t="s">
        <v>2245</v>
      </c>
      <c r="C415" s="315" t="s">
        <v>447</v>
      </c>
      <c r="D415" s="316" t="s">
        <v>2247</v>
      </c>
      <c r="E415" s="318">
        <v>2.34</v>
      </c>
      <c r="F415" s="318" t="s">
        <v>395</v>
      </c>
      <c r="G415" s="318" t="s">
        <v>395</v>
      </c>
      <c r="H415" s="318" t="s">
        <v>395</v>
      </c>
      <c r="I415" s="318" t="s">
        <v>1859</v>
      </c>
      <c r="J415" s="318">
        <v>67</v>
      </c>
      <c r="K415" s="317" t="s">
        <v>397</v>
      </c>
      <c r="L415" s="317">
        <v>47.203316999999998</v>
      </c>
      <c r="M415" s="317">
        <v>39.619236000000001</v>
      </c>
    </row>
    <row r="416" spans="1:13" ht="60" hidden="1" x14ac:dyDescent="0.25">
      <c r="A416" s="313">
        <f t="shared" si="6"/>
        <v>415</v>
      </c>
      <c r="B416" s="314" t="s">
        <v>2249</v>
      </c>
      <c r="C416" s="315" t="s">
        <v>447</v>
      </c>
      <c r="D416" s="316" t="s">
        <v>2251</v>
      </c>
      <c r="E416" s="318">
        <v>2.36</v>
      </c>
      <c r="F416" s="318" t="s">
        <v>395</v>
      </c>
      <c r="G416" s="318" t="s">
        <v>395</v>
      </c>
      <c r="H416" s="318" t="s">
        <v>395</v>
      </c>
      <c r="I416" s="318" t="s">
        <v>1859</v>
      </c>
      <c r="J416" s="318">
        <v>68</v>
      </c>
      <c r="K416" s="317" t="s">
        <v>397</v>
      </c>
      <c r="L416" s="317">
        <v>47.214599999999997</v>
      </c>
      <c r="M416" s="317">
        <v>39.687522999999999</v>
      </c>
    </row>
    <row r="417" spans="1:13" ht="60" hidden="1" x14ac:dyDescent="0.25">
      <c r="A417" s="313">
        <f t="shared" si="6"/>
        <v>416</v>
      </c>
      <c r="B417" s="314" t="s">
        <v>2254</v>
      </c>
      <c r="C417" s="315" t="s">
        <v>447</v>
      </c>
      <c r="D417" s="316" t="s">
        <v>2255</v>
      </c>
      <c r="E417" s="318">
        <v>2.4</v>
      </c>
      <c r="F417" s="318" t="s">
        <v>395</v>
      </c>
      <c r="G417" s="318" t="s">
        <v>395</v>
      </c>
      <c r="H417" s="318" t="s">
        <v>395</v>
      </c>
      <c r="I417" s="318" t="s">
        <v>1859</v>
      </c>
      <c r="J417" s="318">
        <v>70</v>
      </c>
      <c r="K417" s="317" t="s">
        <v>397</v>
      </c>
      <c r="L417" s="317">
        <v>47.207545000000003</v>
      </c>
      <c r="M417" s="317">
        <v>39.680135999999997</v>
      </c>
    </row>
    <row r="418" spans="1:13" ht="60" hidden="1" x14ac:dyDescent="0.25">
      <c r="A418" s="313">
        <f t="shared" si="6"/>
        <v>417</v>
      </c>
      <c r="B418" s="314" t="s">
        <v>2258</v>
      </c>
      <c r="C418" s="315" t="s">
        <v>447</v>
      </c>
      <c r="D418" s="316" t="s">
        <v>2259</v>
      </c>
      <c r="E418" s="318">
        <v>2.3199999999999998</v>
      </c>
      <c r="F418" s="318" t="s">
        <v>395</v>
      </c>
      <c r="G418" s="318" t="s">
        <v>395</v>
      </c>
      <c r="H418" s="318" t="s">
        <v>395</v>
      </c>
      <c r="I418" s="318" t="s">
        <v>1859</v>
      </c>
      <c r="J418" s="318">
        <v>66</v>
      </c>
      <c r="K418" s="317" t="s">
        <v>397</v>
      </c>
      <c r="L418" s="317">
        <v>47.288200000000003</v>
      </c>
      <c r="M418" s="317">
        <v>39.645899999999997</v>
      </c>
    </row>
    <row r="419" spans="1:13" ht="30" hidden="1" x14ac:dyDescent="0.25">
      <c r="A419" s="313">
        <f t="shared" si="6"/>
        <v>418</v>
      </c>
      <c r="B419" s="314" t="s">
        <v>2262</v>
      </c>
      <c r="C419" s="315" t="s">
        <v>399</v>
      </c>
      <c r="D419" s="316" t="s">
        <v>2263</v>
      </c>
      <c r="E419" s="318">
        <v>2.42</v>
      </c>
      <c r="F419" s="318" t="s">
        <v>395</v>
      </c>
      <c r="G419" s="318" t="s">
        <v>395</v>
      </c>
      <c r="H419" s="318" t="s">
        <v>395</v>
      </c>
      <c r="I419" s="318" t="s">
        <v>1859</v>
      </c>
      <c r="J419" s="318">
        <v>71</v>
      </c>
      <c r="K419" s="317" t="s">
        <v>397</v>
      </c>
      <c r="L419" s="317">
        <v>47.321010999999999</v>
      </c>
      <c r="M419" s="317">
        <v>39.688735000000001</v>
      </c>
    </row>
    <row r="420" spans="1:13" ht="30" hidden="1" x14ac:dyDescent="0.25">
      <c r="A420" s="313">
        <f t="shared" si="6"/>
        <v>419</v>
      </c>
      <c r="B420" s="314" t="s">
        <v>2266</v>
      </c>
      <c r="C420" s="315" t="s">
        <v>399</v>
      </c>
      <c r="D420" s="316" t="s">
        <v>2267</v>
      </c>
      <c r="E420" s="318">
        <v>2.2999999999999998</v>
      </c>
      <c r="F420" s="318" t="s">
        <v>395</v>
      </c>
      <c r="G420" s="318" t="s">
        <v>395</v>
      </c>
      <c r="H420" s="318" t="s">
        <v>395</v>
      </c>
      <c r="I420" s="318" t="s">
        <v>1859</v>
      </c>
      <c r="J420" s="318">
        <v>65</v>
      </c>
      <c r="K420" s="317" t="s">
        <v>397</v>
      </c>
      <c r="L420" s="317">
        <v>47.226123000000001</v>
      </c>
      <c r="M420" s="317">
        <v>39.630220000000001</v>
      </c>
    </row>
    <row r="421" spans="1:13" ht="45" hidden="1" x14ac:dyDescent="0.25">
      <c r="A421" s="313">
        <f t="shared" si="6"/>
        <v>420</v>
      </c>
      <c r="B421" s="314" t="s">
        <v>2270</v>
      </c>
      <c r="C421" s="315" t="s">
        <v>412</v>
      </c>
      <c r="D421" s="316" t="s">
        <v>2271</v>
      </c>
      <c r="E421" s="318">
        <v>2.86</v>
      </c>
      <c r="F421" s="318" t="s">
        <v>395</v>
      </c>
      <c r="G421" s="318" t="s">
        <v>395</v>
      </c>
      <c r="H421" s="318" t="s">
        <v>395</v>
      </c>
      <c r="I421" s="318" t="s">
        <v>1859</v>
      </c>
      <c r="J421" s="318">
        <v>93</v>
      </c>
      <c r="K421" s="317" t="s">
        <v>397</v>
      </c>
      <c r="L421" s="317">
        <v>47.750833</v>
      </c>
      <c r="M421" s="317">
        <v>39.540556000000002</v>
      </c>
    </row>
    <row r="422" spans="1:13" ht="45" hidden="1" x14ac:dyDescent="0.25">
      <c r="A422" s="313">
        <f t="shared" si="6"/>
        <v>421</v>
      </c>
      <c r="B422" s="314" t="s">
        <v>2274</v>
      </c>
      <c r="C422" s="315" t="s">
        <v>412</v>
      </c>
      <c r="D422" s="316" t="s">
        <v>2275</v>
      </c>
      <c r="E422" s="318">
        <v>2.36</v>
      </c>
      <c r="F422" s="318" t="s">
        <v>395</v>
      </c>
      <c r="G422" s="318" t="s">
        <v>395</v>
      </c>
      <c r="H422" s="318" t="s">
        <v>395</v>
      </c>
      <c r="I422" s="318" t="s">
        <v>1859</v>
      </c>
      <c r="J422" s="318">
        <v>68</v>
      </c>
      <c r="K422" s="317" t="s">
        <v>397</v>
      </c>
      <c r="L422" s="317">
        <v>47.594239000000002</v>
      </c>
      <c r="M422" s="317">
        <v>39.377473000000002</v>
      </c>
    </row>
    <row r="423" spans="1:13" ht="51" hidden="1" x14ac:dyDescent="0.25">
      <c r="A423" s="313">
        <f t="shared" si="6"/>
        <v>422</v>
      </c>
      <c r="B423" s="314" t="s">
        <v>2278</v>
      </c>
      <c r="C423" s="315" t="s">
        <v>582</v>
      </c>
      <c r="D423" s="316" t="s">
        <v>2279</v>
      </c>
      <c r="E423" s="318">
        <v>3.24</v>
      </c>
      <c r="F423" s="318" t="s">
        <v>395</v>
      </c>
      <c r="G423" s="318" t="s">
        <v>395</v>
      </c>
      <c r="H423" s="318" t="s">
        <v>395</v>
      </c>
      <c r="I423" s="318" t="s">
        <v>1859</v>
      </c>
      <c r="J423" s="318">
        <v>120</v>
      </c>
      <c r="K423" s="317" t="s">
        <v>397</v>
      </c>
      <c r="L423" s="317">
        <v>47.777613000000002</v>
      </c>
      <c r="M423" s="317">
        <v>39.593693000000002</v>
      </c>
    </row>
    <row r="424" spans="1:13" ht="75" hidden="1" x14ac:dyDescent="0.25">
      <c r="A424" s="313">
        <f t="shared" si="6"/>
        <v>423</v>
      </c>
      <c r="B424" s="314" t="s">
        <v>2282</v>
      </c>
      <c r="C424" s="315" t="s">
        <v>428</v>
      </c>
      <c r="D424" s="316" t="s">
        <v>2283</v>
      </c>
      <c r="E424" s="318">
        <v>2.34</v>
      </c>
      <c r="F424" s="318" t="s">
        <v>395</v>
      </c>
      <c r="G424" s="318" t="s">
        <v>395</v>
      </c>
      <c r="H424" s="318" t="s">
        <v>395</v>
      </c>
      <c r="I424" s="318" t="s">
        <v>1859</v>
      </c>
      <c r="J424" s="318">
        <v>67</v>
      </c>
      <c r="K424" s="317" t="s">
        <v>397</v>
      </c>
      <c r="L424" s="317">
        <v>47.193747000000002</v>
      </c>
      <c r="M424" s="317">
        <v>39.619106000000002</v>
      </c>
    </row>
    <row r="425" spans="1:13" ht="38.25" hidden="1" x14ac:dyDescent="0.25">
      <c r="A425" s="313">
        <f t="shared" si="6"/>
        <v>424</v>
      </c>
      <c r="B425" s="314" t="s">
        <v>2286</v>
      </c>
      <c r="C425" s="315" t="s">
        <v>637</v>
      </c>
      <c r="D425" s="316" t="s">
        <v>2287</v>
      </c>
      <c r="E425" s="318">
        <v>3.14</v>
      </c>
      <c r="F425" s="318" t="s">
        <v>395</v>
      </c>
      <c r="G425" s="318" t="s">
        <v>395</v>
      </c>
      <c r="H425" s="318" t="s">
        <v>395</v>
      </c>
      <c r="I425" s="318" t="s">
        <v>1859</v>
      </c>
      <c r="J425" s="318">
        <v>112</v>
      </c>
      <c r="K425" s="317" t="s">
        <v>397</v>
      </c>
      <c r="L425" s="317">
        <v>47.596356999999998</v>
      </c>
      <c r="M425" s="317">
        <v>39.854219999999998</v>
      </c>
    </row>
    <row r="426" spans="1:13" ht="51" hidden="1" x14ac:dyDescent="0.25">
      <c r="A426" s="313">
        <f t="shared" si="6"/>
        <v>425</v>
      </c>
      <c r="B426" s="314" t="s">
        <v>2290</v>
      </c>
      <c r="C426" s="315" t="s">
        <v>2291</v>
      </c>
      <c r="D426" s="316" t="s">
        <v>2292</v>
      </c>
      <c r="E426" s="318">
        <v>3.27</v>
      </c>
      <c r="F426" s="318" t="s">
        <v>395</v>
      </c>
      <c r="G426" s="318" t="s">
        <v>395</v>
      </c>
      <c r="H426" s="318" t="s">
        <v>395</v>
      </c>
      <c r="I426" s="318" t="s">
        <v>1859</v>
      </c>
      <c r="J426" s="318">
        <v>123</v>
      </c>
      <c r="K426" s="317" t="s">
        <v>397</v>
      </c>
      <c r="L426" s="317">
        <v>47.819132000000003</v>
      </c>
      <c r="M426" s="317">
        <v>39.621020999999999</v>
      </c>
    </row>
    <row r="427" spans="1:13" ht="45" hidden="1" x14ac:dyDescent="0.25">
      <c r="A427" s="313">
        <f t="shared" si="6"/>
        <v>426</v>
      </c>
      <c r="B427" s="314" t="s">
        <v>2295</v>
      </c>
      <c r="C427" s="315" t="s">
        <v>582</v>
      </c>
      <c r="D427" s="316" t="s">
        <v>2296</v>
      </c>
      <c r="E427" s="318">
        <v>3.06</v>
      </c>
      <c r="F427" s="318" t="s">
        <v>395</v>
      </c>
      <c r="G427" s="318" t="s">
        <v>395</v>
      </c>
      <c r="H427" s="318" t="s">
        <v>395</v>
      </c>
      <c r="I427" s="318" t="s">
        <v>1859</v>
      </c>
      <c r="J427" s="318">
        <v>103</v>
      </c>
      <c r="K427" s="317" t="s">
        <v>397</v>
      </c>
      <c r="L427" s="317">
        <v>47.525261</v>
      </c>
      <c r="M427" s="317">
        <v>39.821913000000002</v>
      </c>
    </row>
    <row r="428" spans="1:13" ht="45" hidden="1" x14ac:dyDescent="0.25">
      <c r="A428" s="313">
        <f t="shared" si="6"/>
        <v>427</v>
      </c>
      <c r="B428" s="314" t="s">
        <v>2299</v>
      </c>
      <c r="C428" s="315" t="s">
        <v>412</v>
      </c>
      <c r="D428" s="316" t="s">
        <v>2300</v>
      </c>
      <c r="E428" s="318">
        <v>2.2999999999999998</v>
      </c>
      <c r="F428" s="318" t="s">
        <v>395</v>
      </c>
      <c r="G428" s="318" t="s">
        <v>395</v>
      </c>
      <c r="H428" s="318" t="s">
        <v>395</v>
      </c>
      <c r="I428" s="318" t="s">
        <v>1859</v>
      </c>
      <c r="J428" s="318">
        <v>65</v>
      </c>
      <c r="K428" s="317" t="s">
        <v>397</v>
      </c>
      <c r="L428" s="317">
        <v>47.225979000000002</v>
      </c>
      <c r="M428" s="317">
        <v>39.594369999999998</v>
      </c>
    </row>
    <row r="429" spans="1:13" ht="30" hidden="1" x14ac:dyDescent="0.25">
      <c r="A429" s="313">
        <f t="shared" si="6"/>
        <v>428</v>
      </c>
      <c r="B429" s="314" t="s">
        <v>2303</v>
      </c>
      <c r="C429" s="315" t="s">
        <v>503</v>
      </c>
      <c r="D429" s="316" t="s">
        <v>2304</v>
      </c>
      <c r="E429" s="318">
        <v>2.3199999999999998</v>
      </c>
      <c r="F429" s="318" t="s">
        <v>395</v>
      </c>
      <c r="G429" s="318" t="s">
        <v>395</v>
      </c>
      <c r="H429" s="318" t="s">
        <v>395</v>
      </c>
      <c r="I429" s="318" t="s">
        <v>1859</v>
      </c>
      <c r="J429" s="318">
        <v>66</v>
      </c>
      <c r="K429" s="317" t="s">
        <v>397</v>
      </c>
      <c r="L429" s="317">
        <v>47.274737999999999</v>
      </c>
      <c r="M429" s="317">
        <v>39.696480000000001</v>
      </c>
    </row>
    <row r="430" spans="1:13" ht="25.5" hidden="1" x14ac:dyDescent="0.25">
      <c r="A430" s="313">
        <f t="shared" si="6"/>
        <v>429</v>
      </c>
      <c r="B430" s="314" t="s">
        <v>2307</v>
      </c>
      <c r="C430" s="315" t="s">
        <v>848</v>
      </c>
      <c r="D430" s="316" t="s">
        <v>2308</v>
      </c>
      <c r="E430" s="318">
        <v>2.2400000000000002</v>
      </c>
      <c r="F430" s="318" t="s">
        <v>395</v>
      </c>
      <c r="G430" s="318" t="s">
        <v>395</v>
      </c>
      <c r="H430" s="318" t="s">
        <v>395</v>
      </c>
      <c r="I430" s="318" t="s">
        <v>1859</v>
      </c>
      <c r="J430" s="318">
        <v>62</v>
      </c>
      <c r="K430" s="317" t="s">
        <v>397</v>
      </c>
      <c r="L430" s="317">
        <v>47.260199</v>
      </c>
      <c r="M430" s="317">
        <v>39.652827000000002</v>
      </c>
    </row>
    <row r="431" spans="1:13" ht="60" hidden="1" x14ac:dyDescent="0.25">
      <c r="A431" s="313">
        <f t="shared" si="6"/>
        <v>430</v>
      </c>
      <c r="B431" s="314" t="s">
        <v>2311</v>
      </c>
      <c r="C431" s="315" t="s">
        <v>447</v>
      </c>
      <c r="D431" s="316" t="s">
        <v>2312</v>
      </c>
      <c r="E431" s="318">
        <v>2.4</v>
      </c>
      <c r="F431" s="318" t="s">
        <v>395</v>
      </c>
      <c r="G431" s="318" t="s">
        <v>395</v>
      </c>
      <c r="H431" s="318" t="s">
        <v>395</v>
      </c>
      <c r="I431" s="318" t="s">
        <v>1859</v>
      </c>
      <c r="J431" s="318">
        <v>70</v>
      </c>
      <c r="K431" s="317" t="s">
        <v>397</v>
      </c>
      <c r="L431" s="317">
        <v>47.210619000000001</v>
      </c>
      <c r="M431" s="317">
        <v>39.692937999999998</v>
      </c>
    </row>
    <row r="432" spans="1:13" ht="60" hidden="1" x14ac:dyDescent="0.25">
      <c r="A432" s="313">
        <f t="shared" si="6"/>
        <v>431</v>
      </c>
      <c r="B432" s="314" t="s">
        <v>2315</v>
      </c>
      <c r="C432" s="315" t="s">
        <v>447</v>
      </c>
      <c r="D432" s="316" t="s">
        <v>2316</v>
      </c>
      <c r="E432" s="318">
        <v>2.9</v>
      </c>
      <c r="F432" s="318" t="s">
        <v>395</v>
      </c>
      <c r="G432" s="318" t="s">
        <v>395</v>
      </c>
      <c r="H432" s="318" t="s">
        <v>395</v>
      </c>
      <c r="I432" s="318" t="s">
        <v>1859</v>
      </c>
      <c r="J432" s="318">
        <v>95</v>
      </c>
      <c r="K432" s="317" t="s">
        <v>397</v>
      </c>
      <c r="L432" s="317">
        <v>47.761513999999998</v>
      </c>
      <c r="M432" s="317">
        <v>39.538871999999998</v>
      </c>
    </row>
    <row r="433" spans="1:13" ht="75" hidden="1" x14ac:dyDescent="0.25">
      <c r="A433" s="313">
        <f t="shared" si="6"/>
        <v>432</v>
      </c>
      <c r="B433" s="314" t="s">
        <v>2319</v>
      </c>
      <c r="C433" s="315" t="s">
        <v>428</v>
      </c>
      <c r="D433" s="316" t="s">
        <v>2320</v>
      </c>
      <c r="E433" s="318">
        <v>2.92</v>
      </c>
      <c r="F433" s="318" t="s">
        <v>395</v>
      </c>
      <c r="G433" s="318" t="s">
        <v>395</v>
      </c>
      <c r="H433" s="318" t="s">
        <v>395</v>
      </c>
      <c r="I433" s="318" t="s">
        <v>1859</v>
      </c>
      <c r="J433" s="318">
        <v>96</v>
      </c>
      <c r="K433" s="317" t="s">
        <v>397</v>
      </c>
      <c r="L433" s="317">
        <v>47.615802000000002</v>
      </c>
      <c r="M433" s="317">
        <v>39.708620000000003</v>
      </c>
    </row>
    <row r="434" spans="1:13" ht="30" hidden="1" x14ac:dyDescent="0.25">
      <c r="A434" s="313">
        <f t="shared" si="6"/>
        <v>433</v>
      </c>
      <c r="B434" s="314" t="s">
        <v>2323</v>
      </c>
      <c r="C434" s="315" t="s">
        <v>399</v>
      </c>
      <c r="D434" s="316" t="s">
        <v>2324</v>
      </c>
      <c r="E434" s="318">
        <v>2.34</v>
      </c>
      <c r="F434" s="318" t="s">
        <v>395</v>
      </c>
      <c r="G434" s="318" t="s">
        <v>395</v>
      </c>
      <c r="H434" s="318" t="s">
        <v>395</v>
      </c>
      <c r="I434" s="318" t="s">
        <v>1859</v>
      </c>
      <c r="J434" s="318">
        <v>67</v>
      </c>
      <c r="K434" s="317" t="s">
        <v>397</v>
      </c>
      <c r="L434" s="317">
        <v>47.203406000000001</v>
      </c>
      <c r="M434" s="317">
        <v>39.632165999999998</v>
      </c>
    </row>
    <row r="435" spans="1:13" ht="45" hidden="1" x14ac:dyDescent="0.25">
      <c r="A435" s="313">
        <f t="shared" si="6"/>
        <v>434</v>
      </c>
      <c r="B435" s="314" t="s">
        <v>2327</v>
      </c>
      <c r="C435" s="315" t="s">
        <v>412</v>
      </c>
      <c r="D435" s="316" t="s">
        <v>2328</v>
      </c>
      <c r="E435" s="318">
        <v>2.38</v>
      </c>
      <c r="F435" s="318" t="s">
        <v>395</v>
      </c>
      <c r="G435" s="318" t="s">
        <v>395</v>
      </c>
      <c r="H435" s="318" t="s">
        <v>395</v>
      </c>
      <c r="I435" s="318" t="s">
        <v>1859</v>
      </c>
      <c r="J435" s="318">
        <v>69</v>
      </c>
      <c r="K435" s="317" t="s">
        <v>397</v>
      </c>
      <c r="L435" s="317">
        <v>47.216833999999999</v>
      </c>
      <c r="M435" s="317">
        <v>39.681178000000003</v>
      </c>
    </row>
    <row r="436" spans="1:13" ht="60" hidden="1" x14ac:dyDescent="0.25">
      <c r="A436" s="313">
        <f t="shared" si="6"/>
        <v>435</v>
      </c>
      <c r="B436" s="314" t="s">
        <v>2331</v>
      </c>
      <c r="C436" s="315" t="s">
        <v>447</v>
      </c>
      <c r="D436" s="316" t="s">
        <v>2332</v>
      </c>
      <c r="E436" s="318">
        <v>2.3199999999999998</v>
      </c>
      <c r="F436" s="318" t="s">
        <v>395</v>
      </c>
      <c r="G436" s="318" t="s">
        <v>395</v>
      </c>
      <c r="H436" s="318" t="s">
        <v>395</v>
      </c>
      <c r="I436" s="318" t="s">
        <v>1859</v>
      </c>
      <c r="J436" s="318">
        <v>66</v>
      </c>
      <c r="K436" s="317" t="s">
        <v>397</v>
      </c>
      <c r="L436" s="317">
        <v>47.219841000000002</v>
      </c>
      <c r="M436" s="317">
        <v>39.649996000000002</v>
      </c>
    </row>
    <row r="437" spans="1:13" ht="60" hidden="1" x14ac:dyDescent="0.25">
      <c r="A437" s="313">
        <f t="shared" si="6"/>
        <v>436</v>
      </c>
      <c r="B437" s="314" t="s">
        <v>2335</v>
      </c>
      <c r="C437" s="315" t="s">
        <v>447</v>
      </c>
      <c r="D437" s="316" t="s">
        <v>2336</v>
      </c>
      <c r="E437" s="318">
        <v>2.78</v>
      </c>
      <c r="F437" s="318" t="s">
        <v>395</v>
      </c>
      <c r="G437" s="318" t="s">
        <v>395</v>
      </c>
      <c r="H437" s="318" t="s">
        <v>395</v>
      </c>
      <c r="I437" s="318" t="s">
        <v>1859</v>
      </c>
      <c r="J437" s="318">
        <v>89</v>
      </c>
      <c r="K437" s="317" t="s">
        <v>397</v>
      </c>
      <c r="L437" s="317">
        <v>47.434417000000003</v>
      </c>
      <c r="M437" s="317">
        <v>39.856471999999997</v>
      </c>
    </row>
    <row r="438" spans="1:13" ht="60" hidden="1" x14ac:dyDescent="0.25">
      <c r="A438" s="313">
        <f t="shared" si="6"/>
        <v>437</v>
      </c>
      <c r="B438" s="314" t="s">
        <v>2339</v>
      </c>
      <c r="C438" s="315" t="s">
        <v>447</v>
      </c>
      <c r="D438" s="316" t="s">
        <v>2340</v>
      </c>
      <c r="E438" s="318">
        <v>2.34</v>
      </c>
      <c r="F438" s="318" t="s">
        <v>395</v>
      </c>
      <c r="G438" s="318" t="s">
        <v>395</v>
      </c>
      <c r="H438" s="318" t="s">
        <v>395</v>
      </c>
      <c r="I438" s="318" t="s">
        <v>1859</v>
      </c>
      <c r="J438" s="318">
        <v>67</v>
      </c>
      <c r="K438" s="317" t="s">
        <v>397</v>
      </c>
      <c r="L438" s="317">
        <v>47.212397000000003</v>
      </c>
      <c r="M438" s="317">
        <v>39.640709000000001</v>
      </c>
    </row>
    <row r="439" spans="1:13" ht="30" hidden="1" x14ac:dyDescent="0.25">
      <c r="A439" s="313">
        <f t="shared" si="6"/>
        <v>438</v>
      </c>
      <c r="B439" s="314" t="s">
        <v>2343</v>
      </c>
      <c r="C439" s="315" t="s">
        <v>399</v>
      </c>
      <c r="D439" s="316" t="s">
        <v>2344</v>
      </c>
      <c r="E439" s="318">
        <v>2.38</v>
      </c>
      <c r="F439" s="318" t="s">
        <v>395</v>
      </c>
      <c r="G439" s="318" t="s">
        <v>395</v>
      </c>
      <c r="H439" s="318" t="s">
        <v>395</v>
      </c>
      <c r="I439" s="318" t="s">
        <v>1859</v>
      </c>
      <c r="J439" s="318">
        <v>69</v>
      </c>
      <c r="K439" s="317" t="s">
        <v>397</v>
      </c>
      <c r="L439" s="317">
        <v>47.199554999999997</v>
      </c>
      <c r="M439" s="317">
        <v>39.651162999999997</v>
      </c>
    </row>
    <row r="440" spans="1:13" ht="60" hidden="1" x14ac:dyDescent="0.25">
      <c r="A440" s="313">
        <f t="shared" si="6"/>
        <v>439</v>
      </c>
      <c r="B440" s="314" t="s">
        <v>2347</v>
      </c>
      <c r="C440" s="315" t="s">
        <v>447</v>
      </c>
      <c r="D440" s="316" t="s">
        <v>2348</v>
      </c>
      <c r="E440" s="318">
        <v>2.2599999999999998</v>
      </c>
      <c r="F440" s="318" t="s">
        <v>395</v>
      </c>
      <c r="G440" s="318" t="s">
        <v>395</v>
      </c>
      <c r="H440" s="318" t="s">
        <v>395</v>
      </c>
      <c r="I440" s="318" t="s">
        <v>1859</v>
      </c>
      <c r="J440" s="318">
        <v>63</v>
      </c>
      <c r="K440" s="317" t="s">
        <v>397</v>
      </c>
      <c r="L440" s="317">
        <v>47.261952999999998</v>
      </c>
      <c r="M440" s="317">
        <v>39.671681999999997</v>
      </c>
    </row>
    <row r="441" spans="1:13" ht="45" hidden="1" x14ac:dyDescent="0.25">
      <c r="A441" s="313">
        <f t="shared" si="6"/>
        <v>440</v>
      </c>
      <c r="B441" s="314" t="s">
        <v>2351</v>
      </c>
      <c r="C441" s="315" t="s">
        <v>412</v>
      </c>
      <c r="D441" s="316" t="s">
        <v>2352</v>
      </c>
      <c r="E441" s="318">
        <v>2.36</v>
      </c>
      <c r="F441" s="318" t="s">
        <v>395</v>
      </c>
      <c r="G441" s="318" t="s">
        <v>395</v>
      </c>
      <c r="H441" s="318" t="s">
        <v>395</v>
      </c>
      <c r="I441" s="318" t="s">
        <v>1859</v>
      </c>
      <c r="J441" s="318">
        <v>68</v>
      </c>
      <c r="K441" s="317" t="s">
        <v>397</v>
      </c>
      <c r="L441" s="317">
        <v>47.295622000000002</v>
      </c>
      <c r="M441" s="317">
        <v>39.678142000000001</v>
      </c>
    </row>
    <row r="442" spans="1:13" ht="75" hidden="1" x14ac:dyDescent="0.25">
      <c r="A442" s="313">
        <f t="shared" si="6"/>
        <v>441</v>
      </c>
      <c r="B442" s="314" t="s">
        <v>2355</v>
      </c>
      <c r="C442" s="315" t="s">
        <v>428</v>
      </c>
      <c r="D442" s="316" t="s">
        <v>2356</v>
      </c>
      <c r="E442" s="318">
        <v>2.2000000000000002</v>
      </c>
      <c r="F442" s="318" t="s">
        <v>395</v>
      </c>
      <c r="G442" s="318" t="s">
        <v>395</v>
      </c>
      <c r="H442" s="318" t="s">
        <v>395</v>
      </c>
      <c r="I442" s="318" t="s">
        <v>1859</v>
      </c>
      <c r="J442" s="318">
        <v>60</v>
      </c>
      <c r="K442" s="317" t="s">
        <v>397</v>
      </c>
      <c r="L442" s="317">
        <v>47.258555999999999</v>
      </c>
      <c r="M442" s="317">
        <v>39.622655000000002</v>
      </c>
    </row>
    <row r="443" spans="1:13" ht="75" hidden="1" x14ac:dyDescent="0.25">
      <c r="A443" s="313">
        <f t="shared" si="6"/>
        <v>442</v>
      </c>
      <c r="B443" s="314" t="s">
        <v>2359</v>
      </c>
      <c r="C443" s="315" t="s">
        <v>428</v>
      </c>
      <c r="D443" s="316" t="s">
        <v>2360</v>
      </c>
      <c r="E443" s="318">
        <v>2.42</v>
      </c>
      <c r="F443" s="318" t="s">
        <v>395</v>
      </c>
      <c r="G443" s="318" t="s">
        <v>395</v>
      </c>
      <c r="H443" s="318" t="s">
        <v>395</v>
      </c>
      <c r="I443" s="318" t="s">
        <v>1859</v>
      </c>
      <c r="J443" s="318">
        <v>71</v>
      </c>
      <c r="K443" s="317" t="s">
        <v>397</v>
      </c>
      <c r="L443" s="317">
        <v>47.320774999999998</v>
      </c>
      <c r="M443" s="317">
        <v>39.683128000000004</v>
      </c>
    </row>
    <row r="444" spans="1:13" ht="75" hidden="1" x14ac:dyDescent="0.25">
      <c r="A444" s="313">
        <f t="shared" si="6"/>
        <v>443</v>
      </c>
      <c r="B444" s="314" t="s">
        <v>2363</v>
      </c>
      <c r="C444" s="315" t="s">
        <v>428</v>
      </c>
      <c r="D444" s="316" t="s">
        <v>2364</v>
      </c>
      <c r="E444" s="318">
        <v>2.2000000000000002</v>
      </c>
      <c r="F444" s="318" t="s">
        <v>395</v>
      </c>
      <c r="G444" s="318" t="s">
        <v>395</v>
      </c>
      <c r="H444" s="318" t="s">
        <v>395</v>
      </c>
      <c r="I444" s="318" t="s">
        <v>1859</v>
      </c>
      <c r="J444" s="318">
        <v>60</v>
      </c>
      <c r="K444" s="317" t="s">
        <v>397</v>
      </c>
      <c r="L444" s="317">
        <v>47.232090999999997</v>
      </c>
      <c r="M444" s="317">
        <v>39.556314999999998</v>
      </c>
    </row>
    <row r="445" spans="1:13" ht="63.75" hidden="1" x14ac:dyDescent="0.25">
      <c r="A445" s="313">
        <f t="shared" si="6"/>
        <v>444</v>
      </c>
      <c r="B445" s="314" t="s">
        <v>2367</v>
      </c>
      <c r="C445" s="315" t="s">
        <v>582</v>
      </c>
      <c r="D445" s="316" t="s">
        <v>2368</v>
      </c>
      <c r="E445" s="318">
        <v>2.72</v>
      </c>
      <c r="F445" s="318" t="s">
        <v>395</v>
      </c>
      <c r="G445" s="318" t="s">
        <v>395</v>
      </c>
      <c r="H445" s="318" t="s">
        <v>395</v>
      </c>
      <c r="I445" s="318" t="s">
        <v>1859</v>
      </c>
      <c r="J445" s="318">
        <v>86</v>
      </c>
      <c r="K445" s="317" t="s">
        <v>397</v>
      </c>
      <c r="L445" s="317">
        <v>47.534444000000001</v>
      </c>
      <c r="M445" s="317">
        <v>39.612848</v>
      </c>
    </row>
    <row r="446" spans="1:13" ht="63.75" hidden="1" x14ac:dyDescent="0.25">
      <c r="A446" s="313">
        <f t="shared" si="6"/>
        <v>445</v>
      </c>
      <c r="B446" s="314" t="s">
        <v>2371</v>
      </c>
      <c r="C446" s="315" t="s">
        <v>2291</v>
      </c>
      <c r="D446" s="316" t="s">
        <v>2372</v>
      </c>
      <c r="E446" s="318">
        <v>3.27</v>
      </c>
      <c r="F446" s="318" t="s">
        <v>395</v>
      </c>
      <c r="G446" s="318" t="s">
        <v>395</v>
      </c>
      <c r="H446" s="318" t="s">
        <v>395</v>
      </c>
      <c r="I446" s="318" t="s">
        <v>1859</v>
      </c>
      <c r="J446" s="318">
        <v>123</v>
      </c>
      <c r="K446" s="317" t="s">
        <v>397</v>
      </c>
      <c r="L446" s="317">
        <v>47.801842000000001</v>
      </c>
      <c r="M446" s="317">
        <v>39.614030999999997</v>
      </c>
    </row>
    <row r="447" spans="1:13" ht="63.75" hidden="1" x14ac:dyDescent="0.25">
      <c r="A447" s="313">
        <f t="shared" si="6"/>
        <v>446</v>
      </c>
      <c r="B447" s="314" t="s">
        <v>2375</v>
      </c>
      <c r="C447" s="315" t="s">
        <v>582</v>
      </c>
      <c r="D447" s="316" t="s">
        <v>2376</v>
      </c>
      <c r="E447" s="318">
        <v>3.27</v>
      </c>
      <c r="F447" s="318" t="s">
        <v>395</v>
      </c>
      <c r="G447" s="318" t="s">
        <v>395</v>
      </c>
      <c r="H447" s="318" t="s">
        <v>395</v>
      </c>
      <c r="I447" s="318" t="s">
        <v>1859</v>
      </c>
      <c r="J447" s="318">
        <v>123</v>
      </c>
      <c r="K447" s="317" t="s">
        <v>397</v>
      </c>
      <c r="L447" s="317">
        <v>47.825315000000003</v>
      </c>
      <c r="M447" s="317">
        <v>39.533302999999997</v>
      </c>
    </row>
    <row r="448" spans="1:13" ht="75" hidden="1" x14ac:dyDescent="0.25">
      <c r="A448" s="313">
        <f t="shared" si="6"/>
        <v>447</v>
      </c>
      <c r="B448" s="314" t="s">
        <v>2379</v>
      </c>
      <c r="C448" s="315" t="s">
        <v>428</v>
      </c>
      <c r="D448" s="316" t="s">
        <v>2380</v>
      </c>
      <c r="E448" s="318">
        <v>3.09</v>
      </c>
      <c r="F448" s="318" t="s">
        <v>395</v>
      </c>
      <c r="G448" s="318" t="s">
        <v>395</v>
      </c>
      <c r="H448" s="318" t="s">
        <v>395</v>
      </c>
      <c r="I448" s="318" t="s">
        <v>1859</v>
      </c>
      <c r="J448" s="318">
        <v>108</v>
      </c>
      <c r="K448" s="317" t="s">
        <v>397</v>
      </c>
      <c r="L448" s="317">
        <v>47.553277000000001</v>
      </c>
      <c r="M448" s="317">
        <v>39.770699</v>
      </c>
    </row>
    <row r="449" spans="1:13" ht="38.25" hidden="1" x14ac:dyDescent="0.25">
      <c r="A449" s="313">
        <f t="shared" si="6"/>
        <v>448</v>
      </c>
      <c r="B449" s="314" t="s">
        <v>2383</v>
      </c>
      <c r="C449" s="315" t="s">
        <v>503</v>
      </c>
      <c r="D449" s="316" t="s">
        <v>2384</v>
      </c>
      <c r="E449" s="318">
        <v>2.74</v>
      </c>
      <c r="F449" s="318" t="s">
        <v>395</v>
      </c>
      <c r="G449" s="318" t="s">
        <v>395</v>
      </c>
      <c r="H449" s="318" t="s">
        <v>395</v>
      </c>
      <c r="I449" s="318" t="s">
        <v>1859</v>
      </c>
      <c r="J449" s="318">
        <v>87</v>
      </c>
      <c r="K449" s="317" t="s">
        <v>397</v>
      </c>
      <c r="L449" s="317">
        <v>47.473688000000003</v>
      </c>
      <c r="M449" s="317">
        <v>39.581563000000003</v>
      </c>
    </row>
    <row r="450" spans="1:13" ht="45" hidden="1" x14ac:dyDescent="0.25">
      <c r="A450" s="313">
        <f t="shared" si="6"/>
        <v>449</v>
      </c>
      <c r="B450" s="314" t="s">
        <v>2387</v>
      </c>
      <c r="C450" s="315" t="s">
        <v>412</v>
      </c>
      <c r="D450" s="316" t="s">
        <v>2388</v>
      </c>
      <c r="E450" s="318">
        <v>3.27</v>
      </c>
      <c r="F450" s="318" t="s">
        <v>395</v>
      </c>
      <c r="G450" s="318" t="s">
        <v>395</v>
      </c>
      <c r="H450" s="318" t="s">
        <v>395</v>
      </c>
      <c r="I450" s="318" t="s">
        <v>1859</v>
      </c>
      <c r="J450" s="318">
        <v>123</v>
      </c>
      <c r="K450" s="317" t="s">
        <v>397</v>
      </c>
      <c r="L450" s="317">
        <v>47.837221999999997</v>
      </c>
      <c r="M450" s="317">
        <v>39.441943999999999</v>
      </c>
    </row>
    <row r="451" spans="1:13" ht="60" hidden="1" x14ac:dyDescent="0.25">
      <c r="A451" s="313">
        <f t="shared" si="6"/>
        <v>450</v>
      </c>
      <c r="B451" s="314" t="s">
        <v>2391</v>
      </c>
      <c r="C451" s="315" t="s">
        <v>447</v>
      </c>
      <c r="D451" s="316" t="s">
        <v>2392</v>
      </c>
      <c r="E451" s="318">
        <v>2.34</v>
      </c>
      <c r="F451" s="318" t="s">
        <v>395</v>
      </c>
      <c r="G451" s="318" t="s">
        <v>395</v>
      </c>
      <c r="H451" s="318" t="s">
        <v>395</v>
      </c>
      <c r="I451" s="318" t="s">
        <v>1859</v>
      </c>
      <c r="J451" s="318">
        <v>67</v>
      </c>
      <c r="K451" s="317" t="s">
        <v>397</v>
      </c>
      <c r="L451" s="317">
        <v>47.220875999999997</v>
      </c>
      <c r="M451" s="317">
        <v>39.667825000000001</v>
      </c>
    </row>
    <row r="452" spans="1:13" ht="45" hidden="1" x14ac:dyDescent="0.25">
      <c r="A452" s="313">
        <f t="shared" ref="A452:A515" si="7">A451+1</f>
        <v>451</v>
      </c>
      <c r="B452" s="314" t="s">
        <v>2395</v>
      </c>
      <c r="C452" s="315" t="s">
        <v>412</v>
      </c>
      <c r="D452" s="316" t="s">
        <v>2396</v>
      </c>
      <c r="E452" s="318">
        <v>2.2999999999999998</v>
      </c>
      <c r="F452" s="318" t="s">
        <v>395</v>
      </c>
      <c r="G452" s="318" t="s">
        <v>395</v>
      </c>
      <c r="H452" s="318" t="s">
        <v>395</v>
      </c>
      <c r="I452" s="318" t="s">
        <v>1859</v>
      </c>
      <c r="J452" s="318">
        <v>65</v>
      </c>
      <c r="K452" s="317" t="s">
        <v>397</v>
      </c>
      <c r="L452" s="317">
        <v>47.239809999999999</v>
      </c>
      <c r="M452" s="317">
        <v>39.571364000000003</v>
      </c>
    </row>
    <row r="453" spans="1:13" ht="60" hidden="1" x14ac:dyDescent="0.25">
      <c r="A453" s="313">
        <f t="shared" si="7"/>
        <v>452</v>
      </c>
      <c r="B453" s="314" t="s">
        <v>2399</v>
      </c>
      <c r="C453" s="315" t="s">
        <v>447</v>
      </c>
      <c r="D453" s="316" t="s">
        <v>2400</v>
      </c>
      <c r="E453" s="318">
        <v>2.2799999999999998</v>
      </c>
      <c r="F453" s="318" t="s">
        <v>395</v>
      </c>
      <c r="G453" s="318" t="s">
        <v>395</v>
      </c>
      <c r="H453" s="318" t="s">
        <v>395</v>
      </c>
      <c r="I453" s="318" t="s">
        <v>1859</v>
      </c>
      <c r="J453" s="318">
        <v>64</v>
      </c>
      <c r="K453" s="317" t="s">
        <v>397</v>
      </c>
      <c r="L453" s="317">
        <v>47.222774000000001</v>
      </c>
      <c r="M453" s="317">
        <v>39.621876</v>
      </c>
    </row>
    <row r="454" spans="1:13" ht="60" hidden="1" x14ac:dyDescent="0.25">
      <c r="A454" s="313">
        <f t="shared" si="7"/>
        <v>453</v>
      </c>
      <c r="B454" s="314" t="s">
        <v>2403</v>
      </c>
      <c r="C454" s="315" t="s">
        <v>447</v>
      </c>
      <c r="D454" s="316" t="s">
        <v>2404</v>
      </c>
      <c r="E454" s="318">
        <v>2.34</v>
      </c>
      <c r="F454" s="318" t="s">
        <v>395</v>
      </c>
      <c r="G454" s="318" t="s">
        <v>395</v>
      </c>
      <c r="H454" s="318" t="s">
        <v>395</v>
      </c>
      <c r="I454" s="318" t="s">
        <v>1859</v>
      </c>
      <c r="J454" s="318">
        <v>67</v>
      </c>
      <c r="K454" s="317" t="s">
        <v>397</v>
      </c>
      <c r="L454" s="317">
        <v>47.216687999999998</v>
      </c>
      <c r="M454" s="317">
        <v>39.658515999999999</v>
      </c>
    </row>
    <row r="455" spans="1:13" ht="75" hidden="1" x14ac:dyDescent="0.25">
      <c r="A455" s="313">
        <f t="shared" si="7"/>
        <v>454</v>
      </c>
      <c r="B455" s="314" t="s">
        <v>2407</v>
      </c>
      <c r="C455" s="315" t="s">
        <v>428</v>
      </c>
      <c r="D455" s="316" t="s">
        <v>2408</v>
      </c>
      <c r="E455" s="318">
        <v>2.42</v>
      </c>
      <c r="F455" s="318" t="s">
        <v>395</v>
      </c>
      <c r="G455" s="318" t="s">
        <v>395</v>
      </c>
      <c r="H455" s="318" t="s">
        <v>395</v>
      </c>
      <c r="I455" s="318" t="s">
        <v>1859</v>
      </c>
      <c r="J455" s="318">
        <v>71</v>
      </c>
      <c r="K455" s="317" t="s">
        <v>397</v>
      </c>
      <c r="L455" s="317">
        <v>47.324236999999997</v>
      </c>
      <c r="M455" s="317">
        <v>39.682828000000001</v>
      </c>
    </row>
    <row r="456" spans="1:13" ht="45" hidden="1" x14ac:dyDescent="0.25">
      <c r="A456" s="313">
        <f t="shared" si="7"/>
        <v>455</v>
      </c>
      <c r="B456" s="314" t="s">
        <v>2411</v>
      </c>
      <c r="C456" s="315" t="s">
        <v>412</v>
      </c>
      <c r="D456" s="316" t="s">
        <v>2412</v>
      </c>
      <c r="E456" s="318">
        <v>2.34</v>
      </c>
      <c r="F456" s="318" t="s">
        <v>395</v>
      </c>
      <c r="G456" s="318" t="s">
        <v>395</v>
      </c>
      <c r="H456" s="318" t="s">
        <v>395</v>
      </c>
      <c r="I456" s="318" t="s">
        <v>1859</v>
      </c>
      <c r="J456" s="318">
        <v>67</v>
      </c>
      <c r="K456" s="317" t="s">
        <v>397</v>
      </c>
      <c r="L456" s="317">
        <v>47.295406</v>
      </c>
      <c r="M456" s="317">
        <v>39.665323999999998</v>
      </c>
    </row>
    <row r="457" spans="1:13" ht="60" hidden="1" x14ac:dyDescent="0.25">
      <c r="A457" s="313">
        <f t="shared" si="7"/>
        <v>456</v>
      </c>
      <c r="B457" s="314" t="s">
        <v>2415</v>
      </c>
      <c r="C457" s="315" t="s">
        <v>447</v>
      </c>
      <c r="D457" s="316" t="s">
        <v>2416</v>
      </c>
      <c r="E457" s="318">
        <v>2.2200000000000002</v>
      </c>
      <c r="F457" s="318" t="s">
        <v>395</v>
      </c>
      <c r="G457" s="318" t="s">
        <v>395</v>
      </c>
      <c r="H457" s="318" t="s">
        <v>395</v>
      </c>
      <c r="I457" s="318" t="s">
        <v>1859</v>
      </c>
      <c r="J457" s="318">
        <v>61</v>
      </c>
      <c r="K457" s="317" t="s">
        <v>397</v>
      </c>
      <c r="L457" s="317">
        <v>47.259861999999998</v>
      </c>
      <c r="M457" s="317">
        <v>39.643332000000001</v>
      </c>
    </row>
    <row r="458" spans="1:13" ht="30" hidden="1" x14ac:dyDescent="0.25">
      <c r="A458" s="313">
        <f t="shared" si="7"/>
        <v>457</v>
      </c>
      <c r="B458" s="314" t="s">
        <v>2419</v>
      </c>
      <c r="C458" s="315" t="s">
        <v>399</v>
      </c>
      <c r="D458" s="316" t="s">
        <v>2420</v>
      </c>
      <c r="E458" s="318">
        <v>2.2200000000000002</v>
      </c>
      <c r="F458" s="318" t="s">
        <v>395</v>
      </c>
      <c r="G458" s="318" t="s">
        <v>395</v>
      </c>
      <c r="H458" s="318" t="s">
        <v>395</v>
      </c>
      <c r="I458" s="318" t="s">
        <v>1859</v>
      </c>
      <c r="J458" s="318">
        <v>61</v>
      </c>
      <c r="K458" s="317" t="s">
        <v>397</v>
      </c>
      <c r="L458" s="317">
        <v>47.256376000000003</v>
      </c>
      <c r="M458" s="317">
        <v>39.645038</v>
      </c>
    </row>
    <row r="459" spans="1:13" ht="45" hidden="1" x14ac:dyDescent="0.25">
      <c r="A459" s="313">
        <f t="shared" si="7"/>
        <v>458</v>
      </c>
      <c r="B459" s="314" t="s">
        <v>2423</v>
      </c>
      <c r="C459" s="315" t="s">
        <v>393</v>
      </c>
      <c r="D459" s="316" t="s">
        <v>2424</v>
      </c>
      <c r="E459" s="318">
        <v>1.06</v>
      </c>
      <c r="F459" s="318" t="s">
        <v>395</v>
      </c>
      <c r="G459" s="318" t="s">
        <v>395</v>
      </c>
      <c r="H459" s="318" t="s">
        <v>395</v>
      </c>
      <c r="I459" s="318" t="s">
        <v>406</v>
      </c>
      <c r="J459" s="318">
        <v>3</v>
      </c>
      <c r="K459" s="317" t="s">
        <v>410</v>
      </c>
      <c r="L459" s="317">
        <v>47.229190000000003</v>
      </c>
      <c r="M459" s="317">
        <v>39.715310000000002</v>
      </c>
    </row>
    <row r="460" spans="1:13" ht="60" hidden="1" x14ac:dyDescent="0.25">
      <c r="A460" s="313">
        <f t="shared" si="7"/>
        <v>459</v>
      </c>
      <c r="B460" s="314" t="s">
        <v>2427</v>
      </c>
      <c r="C460" s="315" t="s">
        <v>447</v>
      </c>
      <c r="D460" s="316" t="s">
        <v>2428</v>
      </c>
      <c r="E460" s="318">
        <v>1.06</v>
      </c>
      <c r="F460" s="318" t="s">
        <v>395</v>
      </c>
      <c r="G460" s="318" t="s">
        <v>395</v>
      </c>
      <c r="H460" s="318" t="s">
        <v>395</v>
      </c>
      <c r="I460" s="318" t="s">
        <v>406</v>
      </c>
      <c r="J460" s="318">
        <v>3</v>
      </c>
      <c r="K460" s="317" t="s">
        <v>410</v>
      </c>
      <c r="L460" s="317">
        <v>47.237679999999997</v>
      </c>
      <c r="M460" s="317">
        <v>39.713749999999997</v>
      </c>
    </row>
    <row r="461" spans="1:13" ht="30" hidden="1" x14ac:dyDescent="0.25">
      <c r="A461" s="313">
        <f t="shared" si="7"/>
        <v>460</v>
      </c>
      <c r="B461" s="314" t="s">
        <v>2431</v>
      </c>
      <c r="C461" s="315" t="s">
        <v>399</v>
      </c>
      <c r="D461" s="316" t="s">
        <v>2432</v>
      </c>
      <c r="E461" s="318">
        <v>1.08</v>
      </c>
      <c r="F461" s="318" t="s">
        <v>395</v>
      </c>
      <c r="G461" s="318" t="s">
        <v>395</v>
      </c>
      <c r="H461" s="318" t="s">
        <v>395</v>
      </c>
      <c r="I461" s="318" t="s">
        <v>406</v>
      </c>
      <c r="J461" s="318">
        <v>4</v>
      </c>
      <c r="K461" s="317" t="s">
        <v>410</v>
      </c>
      <c r="L461" s="317">
        <v>47.222059999999999</v>
      </c>
      <c r="M461" s="317">
        <v>39.71472</v>
      </c>
    </row>
    <row r="462" spans="1:13" ht="30" hidden="1" x14ac:dyDescent="0.25">
      <c r="A462" s="313">
        <f t="shared" si="7"/>
        <v>461</v>
      </c>
      <c r="B462" s="314" t="s">
        <v>2435</v>
      </c>
      <c r="C462" s="315" t="s">
        <v>399</v>
      </c>
      <c r="D462" s="316" t="s">
        <v>2436</v>
      </c>
      <c r="E462" s="318">
        <v>1.1000000000000001</v>
      </c>
      <c r="F462" s="318" t="s">
        <v>395</v>
      </c>
      <c r="G462" s="318" t="s">
        <v>395</v>
      </c>
      <c r="H462" s="318" t="s">
        <v>395</v>
      </c>
      <c r="I462" s="318" t="s">
        <v>406</v>
      </c>
      <c r="J462" s="318">
        <v>5</v>
      </c>
      <c r="K462" s="317" t="s">
        <v>410</v>
      </c>
      <c r="L462" s="317">
        <v>47.248640000000002</v>
      </c>
      <c r="M462" s="317">
        <v>39.711779999999997</v>
      </c>
    </row>
    <row r="463" spans="1:13" ht="45" hidden="1" x14ac:dyDescent="0.25">
      <c r="A463" s="313">
        <f t="shared" si="7"/>
        <v>462</v>
      </c>
      <c r="B463" s="314" t="s">
        <v>2439</v>
      </c>
      <c r="C463" s="315" t="s">
        <v>393</v>
      </c>
      <c r="D463" s="316" t="s">
        <v>2440</v>
      </c>
      <c r="E463" s="318">
        <v>1.1000000000000001</v>
      </c>
      <c r="F463" s="318" t="s">
        <v>395</v>
      </c>
      <c r="G463" s="318" t="s">
        <v>395</v>
      </c>
      <c r="H463" s="318" t="s">
        <v>395</v>
      </c>
      <c r="I463" s="318" t="s">
        <v>406</v>
      </c>
      <c r="J463" s="318">
        <v>5</v>
      </c>
      <c r="K463" s="317" t="s">
        <v>410</v>
      </c>
      <c r="L463" s="317">
        <v>47.240139999999997</v>
      </c>
      <c r="M463" s="317">
        <v>39.735999999999997</v>
      </c>
    </row>
    <row r="464" spans="1:13" ht="30" hidden="1" x14ac:dyDescent="0.25">
      <c r="A464" s="313">
        <f t="shared" si="7"/>
        <v>463</v>
      </c>
      <c r="B464" s="314" t="s">
        <v>2443</v>
      </c>
      <c r="C464" s="315" t="s">
        <v>399</v>
      </c>
      <c r="D464" s="316" t="s">
        <v>2444</v>
      </c>
      <c r="E464" s="318">
        <v>1.06</v>
      </c>
      <c r="F464" s="318" t="s">
        <v>395</v>
      </c>
      <c r="G464" s="318" t="s">
        <v>395</v>
      </c>
      <c r="H464" s="318" t="s">
        <v>395</v>
      </c>
      <c r="I464" s="318" t="s">
        <v>406</v>
      </c>
      <c r="J464" s="318">
        <v>3</v>
      </c>
      <c r="K464" s="317" t="s">
        <v>410</v>
      </c>
      <c r="L464" s="317">
        <v>47.222450000000002</v>
      </c>
      <c r="M464" s="317">
        <v>39.734969999999997</v>
      </c>
    </row>
    <row r="465" spans="1:13" ht="30" hidden="1" x14ac:dyDescent="0.25">
      <c r="A465" s="313">
        <f t="shared" si="7"/>
        <v>464</v>
      </c>
      <c r="B465" s="314" t="s">
        <v>2447</v>
      </c>
      <c r="C465" s="315" t="s">
        <v>399</v>
      </c>
      <c r="D465" s="316" t="s">
        <v>2448</v>
      </c>
      <c r="E465" s="318">
        <v>1.08</v>
      </c>
      <c r="F465" s="318" t="s">
        <v>395</v>
      </c>
      <c r="G465" s="318" t="s">
        <v>395</v>
      </c>
      <c r="H465" s="318" t="s">
        <v>395</v>
      </c>
      <c r="I465" s="318" t="s">
        <v>406</v>
      </c>
      <c r="J465" s="318">
        <v>4</v>
      </c>
      <c r="K465" s="317" t="s">
        <v>410</v>
      </c>
      <c r="L465" s="317">
        <v>47.21875</v>
      </c>
      <c r="M465" s="317">
        <v>39.719560000000001</v>
      </c>
    </row>
    <row r="466" spans="1:13" ht="30" hidden="1" x14ac:dyDescent="0.25">
      <c r="A466" s="313">
        <f t="shared" si="7"/>
        <v>465</v>
      </c>
      <c r="B466" s="314" t="s">
        <v>2451</v>
      </c>
      <c r="C466" s="315" t="s">
        <v>399</v>
      </c>
      <c r="D466" s="316" t="s">
        <v>2452</v>
      </c>
      <c r="E466" s="318">
        <v>1.1000000000000001</v>
      </c>
      <c r="F466" s="318" t="s">
        <v>395</v>
      </c>
      <c r="G466" s="318" t="s">
        <v>395</v>
      </c>
      <c r="H466" s="318" t="s">
        <v>395</v>
      </c>
      <c r="I466" s="318" t="s">
        <v>406</v>
      </c>
      <c r="J466" s="318">
        <v>5</v>
      </c>
      <c r="K466" s="317" t="s">
        <v>410</v>
      </c>
      <c r="L466" s="317">
        <v>47.217359999999999</v>
      </c>
      <c r="M466" s="317">
        <v>39.707889999999999</v>
      </c>
    </row>
    <row r="467" spans="1:13" ht="30" hidden="1" x14ac:dyDescent="0.25">
      <c r="A467" s="313">
        <f t="shared" si="7"/>
        <v>466</v>
      </c>
      <c r="B467" s="314" t="s">
        <v>2455</v>
      </c>
      <c r="C467" s="315" t="s">
        <v>399</v>
      </c>
      <c r="D467" s="316" t="s">
        <v>2456</v>
      </c>
      <c r="E467" s="318">
        <v>1.1200000000000001</v>
      </c>
      <c r="F467" s="318" t="s">
        <v>395</v>
      </c>
      <c r="G467" s="318" t="s">
        <v>395</v>
      </c>
      <c r="H467" s="318" t="s">
        <v>395</v>
      </c>
      <c r="I467" s="318" t="s">
        <v>406</v>
      </c>
      <c r="J467" s="318">
        <v>6</v>
      </c>
      <c r="K467" s="317" t="s">
        <v>410</v>
      </c>
      <c r="L467" s="317">
        <v>47.220390000000002</v>
      </c>
      <c r="M467" s="317">
        <v>39.689830000000001</v>
      </c>
    </row>
    <row r="468" spans="1:13" ht="30" hidden="1" x14ac:dyDescent="0.25">
      <c r="A468" s="313">
        <f t="shared" si="7"/>
        <v>467</v>
      </c>
      <c r="B468" s="314" t="s">
        <v>2459</v>
      </c>
      <c r="C468" s="315" t="s">
        <v>399</v>
      </c>
      <c r="D468" s="316" t="s">
        <v>2460</v>
      </c>
      <c r="E468" s="318">
        <v>1.08</v>
      </c>
      <c r="F468" s="318" t="s">
        <v>395</v>
      </c>
      <c r="G468" s="318" t="s">
        <v>395</v>
      </c>
      <c r="H468" s="318" t="s">
        <v>395</v>
      </c>
      <c r="I468" s="318" t="s">
        <v>406</v>
      </c>
      <c r="J468" s="318">
        <v>4</v>
      </c>
      <c r="K468" s="317" t="s">
        <v>410</v>
      </c>
      <c r="L468" s="317">
        <v>47.250140000000002</v>
      </c>
      <c r="M468" s="317">
        <v>39.698169999999998</v>
      </c>
    </row>
    <row r="469" spans="1:13" ht="30" hidden="1" x14ac:dyDescent="0.25">
      <c r="A469" s="313">
        <f t="shared" si="7"/>
        <v>468</v>
      </c>
      <c r="B469" s="314" t="s">
        <v>2463</v>
      </c>
      <c r="C469" s="315" t="s">
        <v>399</v>
      </c>
      <c r="D469" s="316" t="s">
        <v>2464</v>
      </c>
      <c r="E469" s="318">
        <v>1.08</v>
      </c>
      <c r="F469" s="318" t="s">
        <v>395</v>
      </c>
      <c r="G469" s="318" t="s">
        <v>395</v>
      </c>
      <c r="H469" s="318" t="s">
        <v>395</v>
      </c>
      <c r="I469" s="318" t="s">
        <v>406</v>
      </c>
      <c r="J469" s="318">
        <v>4</v>
      </c>
      <c r="K469" s="317" t="s">
        <v>410</v>
      </c>
      <c r="L469" s="317">
        <v>47.256059999999998</v>
      </c>
      <c r="M469" s="317">
        <v>39.717280000000002</v>
      </c>
    </row>
    <row r="470" spans="1:13" ht="45" hidden="1" x14ac:dyDescent="0.25">
      <c r="A470" s="313">
        <f t="shared" si="7"/>
        <v>469</v>
      </c>
      <c r="B470" s="314" t="s">
        <v>2467</v>
      </c>
      <c r="C470" s="315" t="s">
        <v>393</v>
      </c>
      <c r="D470" s="316" t="s">
        <v>2468</v>
      </c>
      <c r="E470" s="318">
        <v>1.08</v>
      </c>
      <c r="F470" s="318" t="s">
        <v>395</v>
      </c>
      <c r="G470" s="318" t="s">
        <v>395</v>
      </c>
      <c r="H470" s="318" t="s">
        <v>395</v>
      </c>
      <c r="I470" s="318" t="s">
        <v>406</v>
      </c>
      <c r="J470" s="318">
        <v>4</v>
      </c>
      <c r="K470" s="317" t="s">
        <v>410</v>
      </c>
      <c r="L470" s="317">
        <v>47.25506</v>
      </c>
      <c r="M470" s="317">
        <v>39.769970000000001</v>
      </c>
    </row>
    <row r="471" spans="1:13" ht="45" hidden="1" x14ac:dyDescent="0.25">
      <c r="A471" s="313">
        <f t="shared" si="7"/>
        <v>470</v>
      </c>
      <c r="B471" s="314" t="s">
        <v>2471</v>
      </c>
      <c r="C471" s="315" t="s">
        <v>412</v>
      </c>
      <c r="D471" s="316" t="s">
        <v>2472</v>
      </c>
      <c r="E471" s="318">
        <v>1.1399999999999999</v>
      </c>
      <c r="F471" s="318" t="s">
        <v>395</v>
      </c>
      <c r="G471" s="318" t="s">
        <v>395</v>
      </c>
      <c r="H471" s="318" t="s">
        <v>395</v>
      </c>
      <c r="I471" s="318" t="s">
        <v>406</v>
      </c>
      <c r="J471" s="318">
        <v>7</v>
      </c>
      <c r="K471" s="317" t="s">
        <v>410</v>
      </c>
      <c r="L471" s="317">
        <v>47.231529999999999</v>
      </c>
      <c r="M471" s="317">
        <v>39.769559999999998</v>
      </c>
    </row>
    <row r="472" spans="1:13" ht="30" hidden="1" x14ac:dyDescent="0.25">
      <c r="A472" s="313">
        <f t="shared" si="7"/>
        <v>471</v>
      </c>
      <c r="B472" s="314" t="s">
        <v>2475</v>
      </c>
      <c r="C472" s="315" t="s">
        <v>399</v>
      </c>
      <c r="D472" s="316" t="s">
        <v>2476</v>
      </c>
      <c r="E472" s="318">
        <v>1.18</v>
      </c>
      <c r="F472" s="318" t="s">
        <v>395</v>
      </c>
      <c r="G472" s="318" t="s">
        <v>395</v>
      </c>
      <c r="H472" s="318" t="s">
        <v>395</v>
      </c>
      <c r="I472" s="318" t="s">
        <v>406</v>
      </c>
      <c r="J472" s="318">
        <v>9</v>
      </c>
      <c r="K472" s="317" t="s">
        <v>410</v>
      </c>
      <c r="L472" s="317">
        <v>47.206220000000002</v>
      </c>
      <c r="M472" s="317">
        <v>39.712609999999998</v>
      </c>
    </row>
    <row r="473" spans="1:13" ht="60" hidden="1" x14ac:dyDescent="0.25">
      <c r="A473" s="313">
        <f t="shared" si="7"/>
        <v>472</v>
      </c>
      <c r="B473" s="314" t="s">
        <v>2479</v>
      </c>
      <c r="C473" s="315" t="s">
        <v>447</v>
      </c>
      <c r="D473" s="316" t="s">
        <v>2480</v>
      </c>
      <c r="E473" s="318">
        <v>1.06</v>
      </c>
      <c r="F473" s="318" t="s">
        <v>395</v>
      </c>
      <c r="G473" s="318" t="s">
        <v>395</v>
      </c>
      <c r="H473" s="318" t="s">
        <v>395</v>
      </c>
      <c r="I473" s="318" t="s">
        <v>406</v>
      </c>
      <c r="J473" s="318">
        <v>3</v>
      </c>
      <c r="K473" s="317" t="s">
        <v>410</v>
      </c>
      <c r="L473" s="317">
        <v>47.241700000000002</v>
      </c>
      <c r="M473" s="317">
        <v>39.761510000000001</v>
      </c>
    </row>
    <row r="474" spans="1:13" ht="30" hidden="1" x14ac:dyDescent="0.25">
      <c r="A474" s="313">
        <f t="shared" si="7"/>
        <v>473</v>
      </c>
      <c r="B474" s="314" t="s">
        <v>2483</v>
      </c>
      <c r="C474" s="315" t="s">
        <v>399</v>
      </c>
      <c r="D474" s="316" t="s">
        <v>2484</v>
      </c>
      <c r="E474" s="318">
        <v>1.08</v>
      </c>
      <c r="F474" s="318" t="s">
        <v>395</v>
      </c>
      <c r="G474" s="318" t="s">
        <v>395</v>
      </c>
      <c r="H474" s="318" t="s">
        <v>395</v>
      </c>
      <c r="I474" s="318" t="s">
        <v>406</v>
      </c>
      <c r="J474" s="318">
        <v>4</v>
      </c>
      <c r="K474" s="317" t="s">
        <v>410</v>
      </c>
      <c r="L474" s="317">
        <v>47.23075</v>
      </c>
      <c r="M474" s="317">
        <v>39.689309999999999</v>
      </c>
    </row>
    <row r="475" spans="1:13" ht="45" hidden="1" x14ac:dyDescent="0.25">
      <c r="A475" s="313">
        <f t="shared" si="7"/>
        <v>474</v>
      </c>
      <c r="B475" s="314" t="s">
        <v>2487</v>
      </c>
      <c r="C475" s="315" t="s">
        <v>393</v>
      </c>
      <c r="D475" s="316" t="s">
        <v>2488</v>
      </c>
      <c r="E475" s="318">
        <v>1.1399999999999999</v>
      </c>
      <c r="F475" s="318" t="s">
        <v>395</v>
      </c>
      <c r="G475" s="318" t="s">
        <v>395</v>
      </c>
      <c r="H475" s="318" t="s">
        <v>395</v>
      </c>
      <c r="I475" s="318" t="s">
        <v>406</v>
      </c>
      <c r="J475" s="318">
        <v>7</v>
      </c>
      <c r="K475" s="317" t="s">
        <v>410</v>
      </c>
      <c r="L475" s="317">
        <v>47.279029999999999</v>
      </c>
      <c r="M475" s="317">
        <v>39.717889999999997</v>
      </c>
    </row>
    <row r="476" spans="1:13" ht="45" hidden="1" x14ac:dyDescent="0.25">
      <c r="A476" s="313">
        <f t="shared" si="7"/>
        <v>475</v>
      </c>
      <c r="B476" s="314" t="s">
        <v>2491</v>
      </c>
      <c r="C476" s="315" t="s">
        <v>393</v>
      </c>
      <c r="D476" s="316" t="s">
        <v>2492</v>
      </c>
      <c r="E476" s="318">
        <v>1.2</v>
      </c>
      <c r="F476" s="318" t="s">
        <v>395</v>
      </c>
      <c r="G476" s="318" t="s">
        <v>395</v>
      </c>
      <c r="H476" s="318" t="s">
        <v>395</v>
      </c>
      <c r="I476" s="318" t="s">
        <v>406</v>
      </c>
      <c r="J476" s="318">
        <v>10</v>
      </c>
      <c r="K476" s="317" t="s">
        <v>410</v>
      </c>
      <c r="L476" s="317">
        <v>47.285939999999997</v>
      </c>
      <c r="M476" s="317">
        <v>39.747280000000003</v>
      </c>
    </row>
    <row r="477" spans="1:13" ht="45" hidden="1" x14ac:dyDescent="0.25">
      <c r="A477" s="313">
        <f t="shared" si="7"/>
        <v>476</v>
      </c>
      <c r="B477" s="314" t="s">
        <v>2495</v>
      </c>
      <c r="C477" s="315" t="s">
        <v>412</v>
      </c>
      <c r="D477" s="316" t="s">
        <v>2496</v>
      </c>
      <c r="E477" s="318">
        <v>1.26</v>
      </c>
      <c r="F477" s="318" t="s">
        <v>395</v>
      </c>
      <c r="G477" s="318" t="s">
        <v>395</v>
      </c>
      <c r="H477" s="318" t="s">
        <v>395</v>
      </c>
      <c r="I477" s="318" t="s">
        <v>406</v>
      </c>
      <c r="J477" s="318">
        <v>13</v>
      </c>
      <c r="K477" s="317" t="s">
        <v>410</v>
      </c>
      <c r="L477" s="317">
        <v>47.280250000000002</v>
      </c>
      <c r="M477" s="317">
        <v>39.770330000000001</v>
      </c>
    </row>
    <row r="478" spans="1:13" ht="45" hidden="1" x14ac:dyDescent="0.25">
      <c r="A478" s="313">
        <f t="shared" si="7"/>
        <v>477</v>
      </c>
      <c r="B478" s="314" t="s">
        <v>2499</v>
      </c>
      <c r="C478" s="315" t="s">
        <v>393</v>
      </c>
      <c r="D478" s="316" t="s">
        <v>2500</v>
      </c>
      <c r="E478" s="318">
        <v>1.1399999999999999</v>
      </c>
      <c r="F478" s="318" t="s">
        <v>395</v>
      </c>
      <c r="G478" s="318" t="s">
        <v>395</v>
      </c>
      <c r="H478" s="318" t="s">
        <v>395</v>
      </c>
      <c r="I478" s="318" t="s">
        <v>406</v>
      </c>
      <c r="J478" s="318">
        <v>7</v>
      </c>
      <c r="K478" s="317" t="s">
        <v>410</v>
      </c>
      <c r="L478" s="317">
        <v>47.261330000000001</v>
      </c>
      <c r="M478" s="317">
        <v>39.811</v>
      </c>
    </row>
    <row r="479" spans="1:13" ht="30" hidden="1" x14ac:dyDescent="0.25">
      <c r="A479" s="313">
        <f t="shared" si="7"/>
        <v>478</v>
      </c>
      <c r="B479" s="314" t="s">
        <v>2503</v>
      </c>
      <c r="C479" s="315" t="s">
        <v>399</v>
      </c>
      <c r="D479" s="316" t="s">
        <v>2504</v>
      </c>
      <c r="E479" s="318">
        <v>1.08</v>
      </c>
      <c r="F479" s="318" t="s">
        <v>395</v>
      </c>
      <c r="G479" s="318" t="s">
        <v>395</v>
      </c>
      <c r="H479" s="318" t="s">
        <v>395</v>
      </c>
      <c r="I479" s="318" t="s">
        <v>406</v>
      </c>
      <c r="J479" s="318">
        <v>4</v>
      </c>
      <c r="K479" s="317" t="s">
        <v>410</v>
      </c>
      <c r="L479" s="317">
        <v>47.226080000000003</v>
      </c>
      <c r="M479" s="317">
        <v>39.758220000000001</v>
      </c>
    </row>
    <row r="480" spans="1:13" ht="30" hidden="1" x14ac:dyDescent="0.25">
      <c r="A480" s="313">
        <f t="shared" si="7"/>
        <v>479</v>
      </c>
      <c r="B480" s="314" t="s">
        <v>2507</v>
      </c>
      <c r="C480" s="315" t="s">
        <v>399</v>
      </c>
      <c r="D480" s="316" t="s">
        <v>2508</v>
      </c>
      <c r="E480" s="318">
        <v>1.08</v>
      </c>
      <c r="F480" s="318" t="s">
        <v>395</v>
      </c>
      <c r="G480" s="318" t="s">
        <v>395</v>
      </c>
      <c r="H480" s="318" t="s">
        <v>395</v>
      </c>
      <c r="I480" s="318" t="s">
        <v>406</v>
      </c>
      <c r="J480" s="318">
        <v>4</v>
      </c>
      <c r="K480" s="317" t="s">
        <v>410</v>
      </c>
      <c r="L480" s="317">
        <v>47.23847</v>
      </c>
      <c r="M480" s="317">
        <v>39.689830000000001</v>
      </c>
    </row>
    <row r="481" spans="1:13" ht="75" hidden="1" x14ac:dyDescent="0.25">
      <c r="A481" s="313">
        <f t="shared" si="7"/>
        <v>480</v>
      </c>
      <c r="B481" s="314" t="s">
        <v>2511</v>
      </c>
      <c r="C481" s="315" t="s">
        <v>428</v>
      </c>
      <c r="D481" s="316" t="s">
        <v>2512</v>
      </c>
      <c r="E481" s="318">
        <v>1.22</v>
      </c>
      <c r="F481" s="318" t="s">
        <v>395</v>
      </c>
      <c r="G481" s="318" t="s">
        <v>395</v>
      </c>
      <c r="H481" s="318" t="s">
        <v>395</v>
      </c>
      <c r="I481" s="318" t="s">
        <v>406</v>
      </c>
      <c r="J481" s="318">
        <v>11</v>
      </c>
      <c r="K481" s="317" t="s">
        <v>410</v>
      </c>
      <c r="L481" s="317">
        <v>47.296419999999998</v>
      </c>
      <c r="M481" s="317">
        <v>39.692189999999997</v>
      </c>
    </row>
    <row r="482" spans="1:13" ht="75" hidden="1" x14ac:dyDescent="0.25">
      <c r="A482" s="313">
        <f t="shared" si="7"/>
        <v>481</v>
      </c>
      <c r="B482" s="314" t="s">
        <v>2515</v>
      </c>
      <c r="C482" s="315" t="s">
        <v>428</v>
      </c>
      <c r="D482" s="316" t="s">
        <v>2516</v>
      </c>
      <c r="E482" s="318">
        <v>1.2</v>
      </c>
      <c r="F482" s="318" t="s">
        <v>395</v>
      </c>
      <c r="G482" s="318" t="s">
        <v>395</v>
      </c>
      <c r="H482" s="318" t="s">
        <v>395</v>
      </c>
      <c r="I482" s="318" t="s">
        <v>406</v>
      </c>
      <c r="J482" s="318">
        <v>10</v>
      </c>
      <c r="K482" s="317" t="s">
        <v>410</v>
      </c>
      <c r="L482" s="317">
        <v>47.298940000000002</v>
      </c>
      <c r="M482" s="317">
        <v>39.734009999999998</v>
      </c>
    </row>
    <row r="483" spans="1:13" ht="45" hidden="1" x14ac:dyDescent="0.25">
      <c r="A483" s="313">
        <f t="shared" si="7"/>
        <v>482</v>
      </c>
      <c r="B483" s="314" t="s">
        <v>2519</v>
      </c>
      <c r="C483" s="315" t="s">
        <v>393</v>
      </c>
      <c r="D483" s="316" t="s">
        <v>2520</v>
      </c>
      <c r="E483" s="318">
        <v>1.2</v>
      </c>
      <c r="F483" s="318" t="s">
        <v>395</v>
      </c>
      <c r="G483" s="318" t="s">
        <v>395</v>
      </c>
      <c r="H483" s="318" t="s">
        <v>395</v>
      </c>
      <c r="I483" s="318" t="s">
        <v>406</v>
      </c>
      <c r="J483" s="318">
        <v>10</v>
      </c>
      <c r="K483" s="317" t="s">
        <v>410</v>
      </c>
      <c r="L483" s="317">
        <v>47.28331</v>
      </c>
      <c r="M483" s="317">
        <v>39.810139999999997</v>
      </c>
    </row>
    <row r="484" spans="1:13" ht="45" hidden="1" x14ac:dyDescent="0.25">
      <c r="A484" s="313">
        <f t="shared" si="7"/>
        <v>483</v>
      </c>
      <c r="B484" s="314" t="s">
        <v>2523</v>
      </c>
      <c r="C484" s="315" t="s">
        <v>393</v>
      </c>
      <c r="D484" s="316" t="s">
        <v>2524</v>
      </c>
      <c r="E484" s="318">
        <v>1.26</v>
      </c>
      <c r="F484" s="318" t="s">
        <v>395</v>
      </c>
      <c r="G484" s="318" t="s">
        <v>395</v>
      </c>
      <c r="H484" s="318" t="s">
        <v>395</v>
      </c>
      <c r="I484" s="318" t="s">
        <v>406</v>
      </c>
      <c r="J484" s="318">
        <v>13</v>
      </c>
      <c r="K484" s="317" t="s">
        <v>410</v>
      </c>
      <c r="L484" s="317">
        <v>47.241250000000001</v>
      </c>
      <c r="M484" s="317">
        <v>39.83372</v>
      </c>
    </row>
    <row r="485" spans="1:13" ht="60" hidden="1" x14ac:dyDescent="0.25">
      <c r="A485" s="313">
        <f t="shared" si="7"/>
        <v>484</v>
      </c>
      <c r="B485" s="314" t="s">
        <v>2527</v>
      </c>
      <c r="C485" s="315" t="s">
        <v>447</v>
      </c>
      <c r="D485" s="316" t="s">
        <v>2528</v>
      </c>
      <c r="E485" s="318">
        <v>1.26</v>
      </c>
      <c r="F485" s="318" t="s">
        <v>395</v>
      </c>
      <c r="G485" s="318" t="s">
        <v>395</v>
      </c>
      <c r="H485" s="318" t="s">
        <v>395</v>
      </c>
      <c r="I485" s="318" t="s">
        <v>406</v>
      </c>
      <c r="J485" s="318">
        <v>13</v>
      </c>
      <c r="K485" s="317" t="s">
        <v>410</v>
      </c>
      <c r="L485" s="317">
        <v>47.225749999999998</v>
      </c>
      <c r="M485" s="317">
        <v>39.614609999999999</v>
      </c>
    </row>
    <row r="486" spans="1:13" ht="30" hidden="1" x14ac:dyDescent="0.25">
      <c r="A486" s="313">
        <f t="shared" si="7"/>
        <v>485</v>
      </c>
      <c r="B486" s="314" t="s">
        <v>2531</v>
      </c>
      <c r="C486" s="315" t="s">
        <v>399</v>
      </c>
      <c r="D486" s="316" t="s">
        <v>2532</v>
      </c>
      <c r="E486" s="318">
        <v>1.28</v>
      </c>
      <c r="F486" s="318" t="s">
        <v>395</v>
      </c>
      <c r="G486" s="318" t="s">
        <v>395</v>
      </c>
      <c r="H486" s="318" t="s">
        <v>395</v>
      </c>
      <c r="I486" s="318" t="s">
        <v>406</v>
      </c>
      <c r="J486" s="318">
        <v>14</v>
      </c>
      <c r="K486" s="317" t="s">
        <v>410</v>
      </c>
      <c r="L486" s="317">
        <v>47.268889999999999</v>
      </c>
      <c r="M486" s="317">
        <v>39.862360000000002</v>
      </c>
    </row>
    <row r="487" spans="1:13" ht="45" hidden="1" x14ac:dyDescent="0.25">
      <c r="A487" s="313">
        <f t="shared" si="7"/>
        <v>486</v>
      </c>
      <c r="B487" s="314" t="s">
        <v>2534</v>
      </c>
      <c r="C487" s="315" t="s">
        <v>393</v>
      </c>
      <c r="D487" s="316" t="s">
        <v>2536</v>
      </c>
      <c r="E487" s="318">
        <v>1.1599999999999999</v>
      </c>
      <c r="F487" s="318" t="s">
        <v>395</v>
      </c>
      <c r="G487" s="318" t="s">
        <v>395</v>
      </c>
      <c r="H487" s="318" t="s">
        <v>395</v>
      </c>
      <c r="I487" s="318" t="s">
        <v>406</v>
      </c>
      <c r="J487" s="318">
        <v>8</v>
      </c>
      <c r="K487" s="317" t="s">
        <v>410</v>
      </c>
      <c r="L487" s="317">
        <v>47.289250000000003</v>
      </c>
      <c r="M487" s="317">
        <v>39.708559999999999</v>
      </c>
    </row>
    <row r="488" spans="1:13" ht="30" hidden="1" x14ac:dyDescent="0.25">
      <c r="A488" s="313">
        <f t="shared" si="7"/>
        <v>487</v>
      </c>
      <c r="B488" s="314" t="s">
        <v>2539</v>
      </c>
      <c r="C488" s="315" t="s">
        <v>399</v>
      </c>
      <c r="D488" s="316" t="s">
        <v>2541</v>
      </c>
      <c r="E488" s="318">
        <v>1.2</v>
      </c>
      <c r="F488" s="318" t="s">
        <v>395</v>
      </c>
      <c r="G488" s="318" t="s">
        <v>395</v>
      </c>
      <c r="H488" s="318" t="s">
        <v>395</v>
      </c>
      <c r="I488" s="318" t="s">
        <v>406</v>
      </c>
      <c r="J488" s="318">
        <v>10</v>
      </c>
      <c r="K488" s="317" t="s">
        <v>410</v>
      </c>
      <c r="L488" s="317">
        <v>47.300420000000003</v>
      </c>
      <c r="M488" s="317">
        <v>39.718440000000001</v>
      </c>
    </row>
    <row r="489" spans="1:13" ht="45" hidden="1" x14ac:dyDescent="0.25">
      <c r="A489" s="313">
        <f t="shared" si="7"/>
        <v>488</v>
      </c>
      <c r="B489" s="314" t="s">
        <v>2543</v>
      </c>
      <c r="C489" s="315" t="s">
        <v>393</v>
      </c>
      <c r="D489" s="316" t="s">
        <v>2545</v>
      </c>
      <c r="E489" s="318">
        <v>1.1200000000000001</v>
      </c>
      <c r="F489" s="318" t="s">
        <v>395</v>
      </c>
      <c r="G489" s="318" t="s">
        <v>395</v>
      </c>
      <c r="H489" s="318" t="s">
        <v>395</v>
      </c>
      <c r="I489" s="318" t="s">
        <v>406</v>
      </c>
      <c r="J489" s="318">
        <v>6</v>
      </c>
      <c r="K489" s="317" t="s">
        <v>410</v>
      </c>
      <c r="L489" s="317">
        <v>47.266579999999998</v>
      </c>
      <c r="M489" s="317">
        <v>39.787030000000001</v>
      </c>
    </row>
    <row r="490" spans="1:13" ht="45" hidden="1" x14ac:dyDescent="0.25">
      <c r="A490" s="313">
        <f t="shared" si="7"/>
        <v>489</v>
      </c>
      <c r="B490" s="314" t="s">
        <v>2548</v>
      </c>
      <c r="C490" s="315" t="s">
        <v>393</v>
      </c>
      <c r="D490" s="316" t="s">
        <v>2549</v>
      </c>
      <c r="E490" s="318">
        <v>1.1599999999999999</v>
      </c>
      <c r="F490" s="318" t="s">
        <v>395</v>
      </c>
      <c r="G490" s="318" t="s">
        <v>395</v>
      </c>
      <c r="H490" s="318" t="s">
        <v>395</v>
      </c>
      <c r="I490" s="318" t="s">
        <v>406</v>
      </c>
      <c r="J490" s="318">
        <v>8</v>
      </c>
      <c r="K490" s="317" t="s">
        <v>410</v>
      </c>
      <c r="L490" s="317">
        <v>47.23733</v>
      </c>
      <c r="M490" s="317">
        <v>39.81194</v>
      </c>
    </row>
    <row r="491" spans="1:13" ht="30" hidden="1" x14ac:dyDescent="0.25">
      <c r="A491" s="313">
        <f t="shared" si="7"/>
        <v>490</v>
      </c>
      <c r="B491" s="314" t="s">
        <v>2552</v>
      </c>
      <c r="C491" s="315" t="s">
        <v>399</v>
      </c>
      <c r="D491" s="316" t="s">
        <v>2553</v>
      </c>
      <c r="E491" s="318">
        <v>1.06</v>
      </c>
      <c r="F491" s="318" t="s">
        <v>395</v>
      </c>
      <c r="G491" s="318" t="s">
        <v>395</v>
      </c>
      <c r="H491" s="318" t="s">
        <v>395</v>
      </c>
      <c r="I491" s="318" t="s">
        <v>406</v>
      </c>
      <c r="J491" s="318">
        <v>3</v>
      </c>
      <c r="K491" s="317" t="s">
        <v>410</v>
      </c>
      <c r="L491" s="317">
        <v>47.250610000000002</v>
      </c>
      <c r="M491" s="317">
        <v>39.765529999999998</v>
      </c>
    </row>
    <row r="492" spans="1:13" ht="60" hidden="1" x14ac:dyDescent="0.25">
      <c r="A492" s="313">
        <f t="shared" si="7"/>
        <v>491</v>
      </c>
      <c r="B492" s="314" t="s">
        <v>2556</v>
      </c>
      <c r="C492" s="315" t="s">
        <v>408</v>
      </c>
      <c r="D492" s="316" t="s">
        <v>2557</v>
      </c>
      <c r="E492" s="318">
        <v>1.32</v>
      </c>
      <c r="F492" s="318" t="s">
        <v>395</v>
      </c>
      <c r="G492" s="318" t="s">
        <v>395</v>
      </c>
      <c r="H492" s="318" t="s">
        <v>395</v>
      </c>
      <c r="I492" s="318" t="s">
        <v>406</v>
      </c>
      <c r="J492" s="318">
        <v>16</v>
      </c>
      <c r="K492" s="317" t="s">
        <v>410</v>
      </c>
      <c r="L492" s="317">
        <v>47.267440000000001</v>
      </c>
      <c r="M492" s="317">
        <v>39.885309999999997</v>
      </c>
    </row>
    <row r="493" spans="1:13" ht="30" hidden="1" x14ac:dyDescent="0.25">
      <c r="A493" s="313">
        <f t="shared" si="7"/>
        <v>492</v>
      </c>
      <c r="B493" s="314" t="s">
        <v>2560</v>
      </c>
      <c r="C493" s="315" t="s">
        <v>399</v>
      </c>
      <c r="D493" s="316" t="s">
        <v>2561</v>
      </c>
      <c r="E493" s="318">
        <v>1.06</v>
      </c>
      <c r="F493" s="318" t="s">
        <v>395</v>
      </c>
      <c r="G493" s="318" t="s">
        <v>395</v>
      </c>
      <c r="H493" s="318" t="s">
        <v>395</v>
      </c>
      <c r="I493" s="318" t="s">
        <v>406</v>
      </c>
      <c r="J493" s="318">
        <v>3</v>
      </c>
      <c r="K493" s="317" t="s">
        <v>410</v>
      </c>
      <c r="L493" s="317">
        <v>47.232579999999999</v>
      </c>
      <c r="M493" s="317">
        <v>39.702280000000002</v>
      </c>
    </row>
    <row r="494" spans="1:13" ht="30" hidden="1" x14ac:dyDescent="0.25">
      <c r="A494" s="313">
        <f t="shared" si="7"/>
        <v>493</v>
      </c>
      <c r="B494" s="314" t="s">
        <v>2564</v>
      </c>
      <c r="C494" s="315" t="s">
        <v>399</v>
      </c>
      <c r="D494" s="316" t="s">
        <v>2565</v>
      </c>
      <c r="E494" s="318">
        <v>1.08</v>
      </c>
      <c r="F494" s="318" t="s">
        <v>395</v>
      </c>
      <c r="G494" s="318" t="s">
        <v>395</v>
      </c>
      <c r="H494" s="318" t="s">
        <v>395</v>
      </c>
      <c r="I494" s="318" t="s">
        <v>406</v>
      </c>
      <c r="J494" s="318">
        <v>4</v>
      </c>
      <c r="K494" s="317" t="s">
        <v>410</v>
      </c>
      <c r="L494" s="317">
        <v>47.23847</v>
      </c>
      <c r="M494" s="317">
        <v>39.697330000000001</v>
      </c>
    </row>
    <row r="495" spans="1:13" ht="30" hidden="1" x14ac:dyDescent="0.25">
      <c r="A495" s="313">
        <f t="shared" si="7"/>
        <v>494</v>
      </c>
      <c r="B495" s="314" t="s">
        <v>2568</v>
      </c>
      <c r="C495" s="315" t="s">
        <v>399</v>
      </c>
      <c r="D495" s="316" t="s">
        <v>2569</v>
      </c>
      <c r="E495" s="318">
        <v>1.08</v>
      </c>
      <c r="F495" s="318" t="s">
        <v>395</v>
      </c>
      <c r="G495" s="318" t="s">
        <v>395</v>
      </c>
      <c r="H495" s="318" t="s">
        <v>395</v>
      </c>
      <c r="I495" s="318" t="s">
        <v>406</v>
      </c>
      <c r="J495" s="318">
        <v>4</v>
      </c>
      <c r="K495" s="317" t="s">
        <v>410</v>
      </c>
      <c r="L495" s="317">
        <v>47.226080000000003</v>
      </c>
      <c r="M495" s="317">
        <v>39.721359999999997</v>
      </c>
    </row>
    <row r="496" spans="1:13" ht="30" hidden="1" x14ac:dyDescent="0.25">
      <c r="A496" s="313">
        <f t="shared" si="7"/>
        <v>495</v>
      </c>
      <c r="B496" s="314" t="s">
        <v>2572</v>
      </c>
      <c r="C496" s="315" t="s">
        <v>399</v>
      </c>
      <c r="D496" s="316" t="s">
        <v>2573</v>
      </c>
      <c r="E496" s="318">
        <v>1.2</v>
      </c>
      <c r="F496" s="318" t="s">
        <v>395</v>
      </c>
      <c r="G496" s="318" t="s">
        <v>395</v>
      </c>
      <c r="H496" s="318" t="s">
        <v>395</v>
      </c>
      <c r="I496" s="318" t="s">
        <v>406</v>
      </c>
      <c r="J496" s="318">
        <v>10</v>
      </c>
      <c r="K496" s="317" t="s">
        <v>410</v>
      </c>
      <c r="L496" s="317">
        <v>47.298470000000002</v>
      </c>
      <c r="M496" s="317">
        <v>39.70317</v>
      </c>
    </row>
    <row r="497" spans="1:13" ht="45" hidden="1" x14ac:dyDescent="0.25">
      <c r="A497" s="313">
        <f t="shared" si="7"/>
        <v>496</v>
      </c>
      <c r="B497" s="314" t="s">
        <v>2576</v>
      </c>
      <c r="C497" s="315" t="s">
        <v>393</v>
      </c>
      <c r="D497" s="316" t="s">
        <v>2577</v>
      </c>
      <c r="E497" s="318">
        <v>1.1399999999999999</v>
      </c>
      <c r="F497" s="318" t="s">
        <v>395</v>
      </c>
      <c r="G497" s="318" t="s">
        <v>395</v>
      </c>
      <c r="H497" s="318" t="s">
        <v>395</v>
      </c>
      <c r="I497" s="318" t="s">
        <v>406</v>
      </c>
      <c r="J497" s="318">
        <v>7</v>
      </c>
      <c r="K497" s="317" t="s">
        <v>410</v>
      </c>
      <c r="L497" s="317">
        <v>47.285310000000003</v>
      </c>
      <c r="M497" s="317">
        <v>39.717030000000001</v>
      </c>
    </row>
    <row r="498" spans="1:13" ht="30" hidden="1" x14ac:dyDescent="0.25">
      <c r="A498" s="313">
        <f t="shared" si="7"/>
        <v>497</v>
      </c>
      <c r="B498" s="314" t="s">
        <v>2580</v>
      </c>
      <c r="C498" s="315" t="s">
        <v>399</v>
      </c>
      <c r="D498" s="316" t="s">
        <v>2581</v>
      </c>
      <c r="E498" s="318">
        <v>1.1200000000000001</v>
      </c>
      <c r="F498" s="318" t="s">
        <v>395</v>
      </c>
      <c r="G498" s="318" t="s">
        <v>395</v>
      </c>
      <c r="H498" s="318" t="s">
        <v>395</v>
      </c>
      <c r="I498" s="318" t="s">
        <v>406</v>
      </c>
      <c r="J498" s="318">
        <v>6</v>
      </c>
      <c r="K498" s="317" t="s">
        <v>410</v>
      </c>
      <c r="L498" s="317">
        <v>47.246569999999998</v>
      </c>
      <c r="M498" s="317">
        <v>39.669890000000002</v>
      </c>
    </row>
    <row r="499" spans="1:13" ht="30" hidden="1" x14ac:dyDescent="0.25">
      <c r="A499" s="313">
        <f t="shared" si="7"/>
        <v>498</v>
      </c>
      <c r="B499" s="314" t="s">
        <v>2584</v>
      </c>
      <c r="C499" s="315" t="s">
        <v>399</v>
      </c>
      <c r="D499" s="316" t="s">
        <v>2585</v>
      </c>
      <c r="E499" s="318">
        <v>1.1200000000000001</v>
      </c>
      <c r="F499" s="318" t="s">
        <v>395</v>
      </c>
      <c r="G499" s="318" t="s">
        <v>395</v>
      </c>
      <c r="H499" s="318" t="s">
        <v>395</v>
      </c>
      <c r="I499" s="318" t="s">
        <v>406</v>
      </c>
      <c r="J499" s="318">
        <v>6</v>
      </c>
      <c r="K499" s="317" t="s">
        <v>410</v>
      </c>
      <c r="L499" s="317">
        <v>47.265030000000003</v>
      </c>
      <c r="M499" s="317">
        <v>39.759219999999999</v>
      </c>
    </row>
    <row r="500" spans="1:13" ht="45" hidden="1" x14ac:dyDescent="0.25">
      <c r="A500" s="313">
        <f t="shared" si="7"/>
        <v>499</v>
      </c>
      <c r="B500" s="314" t="s">
        <v>2588</v>
      </c>
      <c r="C500" s="315" t="s">
        <v>393</v>
      </c>
      <c r="D500" s="316" t="s">
        <v>2589</v>
      </c>
      <c r="E500" s="318">
        <v>1.08</v>
      </c>
      <c r="F500" s="318" t="s">
        <v>395</v>
      </c>
      <c r="G500" s="318" t="s">
        <v>395</v>
      </c>
      <c r="H500" s="318" t="s">
        <v>395</v>
      </c>
      <c r="I500" s="318" t="s">
        <v>406</v>
      </c>
      <c r="J500" s="318">
        <v>4</v>
      </c>
      <c r="K500" s="317" t="s">
        <v>410</v>
      </c>
      <c r="L500" s="317">
        <v>47.249830000000003</v>
      </c>
      <c r="M500" s="317">
        <v>39.733609999999999</v>
      </c>
    </row>
    <row r="501" spans="1:13" ht="75" hidden="1" x14ac:dyDescent="0.25">
      <c r="A501" s="313">
        <f t="shared" si="7"/>
        <v>500</v>
      </c>
      <c r="B501" s="314" t="s">
        <v>2592</v>
      </c>
      <c r="C501" s="315" t="s">
        <v>428</v>
      </c>
      <c r="D501" s="316" t="s">
        <v>2593</v>
      </c>
      <c r="E501" s="318">
        <v>1.24</v>
      </c>
      <c r="F501" s="318" t="s">
        <v>395</v>
      </c>
      <c r="G501" s="318" t="s">
        <v>395</v>
      </c>
      <c r="H501" s="318" t="s">
        <v>395</v>
      </c>
      <c r="I501" s="318" t="s">
        <v>406</v>
      </c>
      <c r="J501" s="318">
        <v>12</v>
      </c>
      <c r="K501" s="317" t="s">
        <v>410</v>
      </c>
      <c r="L501" s="317">
        <v>47.29081</v>
      </c>
      <c r="M501" s="317">
        <v>39.777500000000003</v>
      </c>
    </row>
    <row r="502" spans="1:13" ht="60" hidden="1" x14ac:dyDescent="0.25">
      <c r="A502" s="313">
        <f t="shared" si="7"/>
        <v>501</v>
      </c>
      <c r="B502" s="314" t="s">
        <v>2596</v>
      </c>
      <c r="C502" s="315" t="s">
        <v>447</v>
      </c>
      <c r="D502" s="316" t="s">
        <v>2597</v>
      </c>
      <c r="E502" s="318">
        <v>1.04</v>
      </c>
      <c r="F502" s="318" t="s">
        <v>395</v>
      </c>
      <c r="G502" s="318" t="s">
        <v>395</v>
      </c>
      <c r="H502" s="318" t="s">
        <v>395</v>
      </c>
      <c r="I502" s="318" t="s">
        <v>406</v>
      </c>
      <c r="J502" s="318">
        <v>2</v>
      </c>
      <c r="K502" s="317" t="s">
        <v>410</v>
      </c>
      <c r="L502" s="317">
        <v>47.226860000000002</v>
      </c>
      <c r="M502" s="317">
        <v>39.747</v>
      </c>
    </row>
    <row r="503" spans="1:13" ht="60" hidden="1" x14ac:dyDescent="0.25">
      <c r="A503" s="313">
        <f t="shared" si="7"/>
        <v>502</v>
      </c>
      <c r="B503" s="314" t="s">
        <v>2600</v>
      </c>
      <c r="C503" s="315" t="s">
        <v>447</v>
      </c>
      <c r="D503" s="316" t="s">
        <v>2601</v>
      </c>
      <c r="E503" s="318">
        <v>1.06</v>
      </c>
      <c r="F503" s="318" t="s">
        <v>395</v>
      </c>
      <c r="G503" s="318" t="s">
        <v>395</v>
      </c>
      <c r="H503" s="318" t="s">
        <v>395</v>
      </c>
      <c r="I503" s="318" t="s">
        <v>406</v>
      </c>
      <c r="J503" s="318">
        <v>3</v>
      </c>
      <c r="K503" s="317" t="s">
        <v>410</v>
      </c>
      <c r="L503" s="317">
        <v>47.22157</v>
      </c>
      <c r="M503" s="317">
        <v>39.70682</v>
      </c>
    </row>
    <row r="504" spans="1:13" ht="45" hidden="1" x14ac:dyDescent="0.25">
      <c r="A504" s="313">
        <f t="shared" si="7"/>
        <v>503</v>
      </c>
      <c r="B504" s="314" t="s">
        <v>2604</v>
      </c>
      <c r="C504" s="315" t="s">
        <v>412</v>
      </c>
      <c r="D504" s="316" t="s">
        <v>2605</v>
      </c>
      <c r="E504" s="318">
        <v>1.1200000000000001</v>
      </c>
      <c r="F504" s="318" t="s">
        <v>395</v>
      </c>
      <c r="G504" s="318" t="s">
        <v>395</v>
      </c>
      <c r="H504" s="318" t="s">
        <v>395</v>
      </c>
      <c r="I504" s="318" t="s">
        <v>406</v>
      </c>
      <c r="J504" s="318">
        <v>6</v>
      </c>
      <c r="K504" s="317" t="s">
        <v>410</v>
      </c>
      <c r="L504" s="317">
        <v>47.253309999999999</v>
      </c>
      <c r="M504" s="317">
        <v>39.78389</v>
      </c>
    </row>
    <row r="505" spans="1:13" ht="60" hidden="1" x14ac:dyDescent="0.25">
      <c r="A505" s="313">
        <f t="shared" si="7"/>
        <v>504</v>
      </c>
      <c r="B505" s="314" t="s">
        <v>2608</v>
      </c>
      <c r="C505" s="315" t="s">
        <v>408</v>
      </c>
      <c r="D505" s="316" t="s">
        <v>2609</v>
      </c>
      <c r="E505" s="318">
        <v>1.06</v>
      </c>
      <c r="F505" s="318" t="s">
        <v>395</v>
      </c>
      <c r="G505" s="318" t="s">
        <v>395</v>
      </c>
      <c r="H505" s="318" t="s">
        <v>395</v>
      </c>
      <c r="I505" s="318" t="s">
        <v>406</v>
      </c>
      <c r="J505" s="318">
        <v>3</v>
      </c>
      <c r="K505" s="317" t="s">
        <v>410</v>
      </c>
      <c r="L505" s="317">
        <v>47.234360000000002</v>
      </c>
      <c r="M505" s="317">
        <v>39.755279999999999</v>
      </c>
    </row>
    <row r="506" spans="1:13" ht="75" hidden="1" x14ac:dyDescent="0.25">
      <c r="A506" s="313">
        <f t="shared" si="7"/>
        <v>505</v>
      </c>
      <c r="B506" s="314" t="s">
        <v>2612</v>
      </c>
      <c r="C506" s="315" t="s">
        <v>428</v>
      </c>
      <c r="D506" s="316" t="s">
        <v>2613</v>
      </c>
      <c r="E506" s="318">
        <v>1.1200000000000001</v>
      </c>
      <c r="F506" s="318" t="s">
        <v>395</v>
      </c>
      <c r="G506" s="318" t="s">
        <v>395</v>
      </c>
      <c r="H506" s="318" t="s">
        <v>395</v>
      </c>
      <c r="I506" s="318" t="s">
        <v>406</v>
      </c>
      <c r="J506" s="318">
        <v>6</v>
      </c>
      <c r="K506" s="317" t="s">
        <v>410</v>
      </c>
      <c r="L506" s="317">
        <v>47.238970000000002</v>
      </c>
      <c r="M506" s="317">
        <v>39.777250000000002</v>
      </c>
    </row>
    <row r="507" spans="1:13" ht="60" hidden="1" x14ac:dyDescent="0.25">
      <c r="A507" s="313">
        <f t="shared" si="7"/>
        <v>506</v>
      </c>
      <c r="B507" s="314" t="s">
        <v>2614</v>
      </c>
      <c r="C507" s="315" t="s">
        <v>408</v>
      </c>
      <c r="D507" s="316" t="s">
        <v>2616</v>
      </c>
      <c r="E507" s="318">
        <v>1.18</v>
      </c>
      <c r="F507" s="318" t="s">
        <v>395</v>
      </c>
      <c r="G507" s="318" t="s">
        <v>395</v>
      </c>
      <c r="H507" s="318" t="s">
        <v>395</v>
      </c>
      <c r="I507" s="318" t="s">
        <v>406</v>
      </c>
      <c r="J507" s="318">
        <v>9</v>
      </c>
      <c r="K507" s="317" t="s">
        <v>410</v>
      </c>
      <c r="L507" s="317">
        <v>47.27769</v>
      </c>
      <c r="M507" s="317">
        <v>39.739170000000001</v>
      </c>
    </row>
    <row r="508" spans="1:13" ht="30" hidden="1" x14ac:dyDescent="0.25">
      <c r="A508" s="313">
        <f t="shared" si="7"/>
        <v>507</v>
      </c>
      <c r="B508" s="314" t="s">
        <v>2618</v>
      </c>
      <c r="C508" s="315" t="s">
        <v>399</v>
      </c>
      <c r="D508" s="316" t="s">
        <v>2620</v>
      </c>
      <c r="E508" s="318">
        <v>1.1599999999999999</v>
      </c>
      <c r="F508" s="318" t="s">
        <v>395</v>
      </c>
      <c r="G508" s="318" t="s">
        <v>395</v>
      </c>
      <c r="H508" s="318" t="s">
        <v>395</v>
      </c>
      <c r="I508" s="318" t="s">
        <v>406</v>
      </c>
      <c r="J508" s="318">
        <v>8</v>
      </c>
      <c r="K508" s="317" t="s">
        <v>410</v>
      </c>
      <c r="L508" s="317">
        <v>47.259880000000003</v>
      </c>
      <c r="M508" s="317">
        <v>39.690559999999998</v>
      </c>
    </row>
    <row r="509" spans="1:13" ht="45" hidden="1" x14ac:dyDescent="0.25">
      <c r="A509" s="313">
        <f t="shared" si="7"/>
        <v>508</v>
      </c>
      <c r="B509" s="314" t="s">
        <v>2623</v>
      </c>
      <c r="C509" s="315" t="s">
        <v>412</v>
      </c>
      <c r="D509" s="316" t="s">
        <v>2625</v>
      </c>
      <c r="E509" s="318">
        <v>1.1599999999999999</v>
      </c>
      <c r="F509" s="318" t="s">
        <v>395</v>
      </c>
      <c r="G509" s="318" t="s">
        <v>395</v>
      </c>
      <c r="H509" s="318" t="s">
        <v>395</v>
      </c>
      <c r="I509" s="318" t="s">
        <v>406</v>
      </c>
      <c r="J509" s="318">
        <v>8</v>
      </c>
      <c r="K509" s="317" t="s">
        <v>410</v>
      </c>
      <c r="L509" s="317">
        <v>47.266179999999999</v>
      </c>
      <c r="M509" s="317">
        <v>39.723559999999999</v>
      </c>
    </row>
    <row r="510" spans="1:13" ht="60" hidden="1" x14ac:dyDescent="0.25">
      <c r="A510" s="313">
        <f t="shared" si="7"/>
        <v>509</v>
      </c>
      <c r="B510" s="314" t="s">
        <v>2627</v>
      </c>
      <c r="C510" s="315" t="s">
        <v>408</v>
      </c>
      <c r="D510" s="316" t="s">
        <v>2629</v>
      </c>
      <c r="E510" s="318">
        <v>1.1599999999999999</v>
      </c>
      <c r="F510" s="318" t="s">
        <v>395</v>
      </c>
      <c r="G510" s="318" t="s">
        <v>395</v>
      </c>
      <c r="H510" s="318" t="s">
        <v>395</v>
      </c>
      <c r="I510" s="318" t="s">
        <v>406</v>
      </c>
      <c r="J510" s="318">
        <v>8</v>
      </c>
      <c r="K510" s="317" t="s">
        <v>410</v>
      </c>
      <c r="L510" s="317">
        <v>47.28078</v>
      </c>
      <c r="M510" s="317">
        <v>39.759279999999997</v>
      </c>
    </row>
    <row r="511" spans="1:13" ht="75" hidden="1" x14ac:dyDescent="0.25">
      <c r="A511" s="313">
        <f t="shared" si="7"/>
        <v>510</v>
      </c>
      <c r="B511" s="314" t="s">
        <v>2631</v>
      </c>
      <c r="C511" s="315" t="s">
        <v>428</v>
      </c>
      <c r="D511" s="316" t="s">
        <v>2633</v>
      </c>
      <c r="E511" s="318">
        <v>1.1000000000000001</v>
      </c>
      <c r="F511" s="318" t="s">
        <v>395</v>
      </c>
      <c r="G511" s="318" t="s">
        <v>395</v>
      </c>
      <c r="H511" s="318" t="s">
        <v>395</v>
      </c>
      <c r="I511" s="318" t="s">
        <v>406</v>
      </c>
      <c r="J511" s="318">
        <v>5</v>
      </c>
      <c r="K511" s="317" t="s">
        <v>410</v>
      </c>
      <c r="L511" s="317">
        <v>47.251249999999999</v>
      </c>
      <c r="M511" s="317">
        <v>39.743859999999998</v>
      </c>
    </row>
    <row r="512" spans="1:13" ht="60" hidden="1" x14ac:dyDescent="0.25">
      <c r="A512" s="313">
        <f t="shared" si="7"/>
        <v>511</v>
      </c>
      <c r="B512" s="314" t="s">
        <v>2635</v>
      </c>
      <c r="C512" s="315" t="s">
        <v>408</v>
      </c>
      <c r="D512" s="316" t="s">
        <v>2636</v>
      </c>
      <c r="E512" s="318">
        <v>1.18</v>
      </c>
      <c r="F512" s="318" t="s">
        <v>395</v>
      </c>
      <c r="G512" s="318" t="s">
        <v>395</v>
      </c>
      <c r="H512" s="318" t="s">
        <v>395</v>
      </c>
      <c r="I512" s="318" t="s">
        <v>406</v>
      </c>
      <c r="J512" s="318">
        <v>9</v>
      </c>
      <c r="K512" s="317" t="s">
        <v>410</v>
      </c>
      <c r="L512" s="317">
        <v>47.273000000000003</v>
      </c>
      <c r="M512" s="317">
        <v>39.820309999999999</v>
      </c>
    </row>
    <row r="513" spans="1:13" ht="30" hidden="1" x14ac:dyDescent="0.25">
      <c r="A513" s="313">
        <f t="shared" si="7"/>
        <v>512</v>
      </c>
      <c r="B513" s="314" t="s">
        <v>2639</v>
      </c>
      <c r="C513" s="315" t="s">
        <v>399</v>
      </c>
      <c r="D513" s="316" t="s">
        <v>2640</v>
      </c>
      <c r="E513" s="318">
        <v>1.1000000000000001</v>
      </c>
      <c r="F513" s="318" t="s">
        <v>395</v>
      </c>
      <c r="G513" s="318" t="s">
        <v>395</v>
      </c>
      <c r="H513" s="318" t="s">
        <v>395</v>
      </c>
      <c r="I513" s="318" t="s">
        <v>406</v>
      </c>
      <c r="J513" s="318">
        <v>5</v>
      </c>
      <c r="K513" s="317" t="s">
        <v>410</v>
      </c>
      <c r="L513" s="317">
        <v>47.224249999999998</v>
      </c>
      <c r="M513" s="317">
        <v>39.694029999999998</v>
      </c>
    </row>
    <row r="514" spans="1:13" ht="75" hidden="1" x14ac:dyDescent="0.25">
      <c r="A514" s="313">
        <f t="shared" si="7"/>
        <v>513</v>
      </c>
      <c r="B514" s="314" t="s">
        <v>2643</v>
      </c>
      <c r="C514" s="315" t="s">
        <v>428</v>
      </c>
      <c r="D514" s="316" t="s">
        <v>2644</v>
      </c>
      <c r="E514" s="318">
        <v>1.1399999999999999</v>
      </c>
      <c r="F514" s="318" t="s">
        <v>395</v>
      </c>
      <c r="G514" s="318" t="s">
        <v>395</v>
      </c>
      <c r="H514" s="318" t="s">
        <v>395</v>
      </c>
      <c r="I514" s="318" t="s">
        <v>406</v>
      </c>
      <c r="J514" s="318">
        <v>7</v>
      </c>
      <c r="K514" s="317" t="s">
        <v>410</v>
      </c>
      <c r="L514" s="317">
        <v>47.262030000000003</v>
      </c>
      <c r="M514" s="317">
        <v>39.705669999999998</v>
      </c>
    </row>
    <row r="515" spans="1:13" ht="60" hidden="1" x14ac:dyDescent="0.25">
      <c r="A515" s="313">
        <f t="shared" si="7"/>
        <v>514</v>
      </c>
      <c r="B515" s="314" t="s">
        <v>2647</v>
      </c>
      <c r="C515" s="315" t="s">
        <v>447</v>
      </c>
      <c r="D515" s="316" t="s">
        <v>2648</v>
      </c>
      <c r="E515" s="318">
        <v>1.3</v>
      </c>
      <c r="F515" s="318" t="s">
        <v>395</v>
      </c>
      <c r="G515" s="318" t="s">
        <v>395</v>
      </c>
      <c r="H515" s="318" t="s">
        <v>395</v>
      </c>
      <c r="I515" s="318" t="s">
        <v>406</v>
      </c>
      <c r="J515" s="318">
        <v>15</v>
      </c>
      <c r="K515" s="317" t="s">
        <v>410</v>
      </c>
      <c r="L515" s="317">
        <v>47.26652</v>
      </c>
      <c r="M515" s="317">
        <v>39.869529999999997</v>
      </c>
    </row>
    <row r="516" spans="1:13" ht="60" hidden="1" x14ac:dyDescent="0.25">
      <c r="A516" s="313">
        <f t="shared" ref="A516:A579" si="8">A515+1</f>
        <v>515</v>
      </c>
      <c r="B516" s="314" t="s">
        <v>2651</v>
      </c>
      <c r="C516" s="315" t="s">
        <v>447</v>
      </c>
      <c r="D516" s="316" t="s">
        <v>2653</v>
      </c>
      <c r="E516" s="318">
        <v>1.1399999999999999</v>
      </c>
      <c r="F516" s="318" t="s">
        <v>395</v>
      </c>
      <c r="G516" s="318" t="s">
        <v>395</v>
      </c>
      <c r="H516" s="318" t="s">
        <v>395</v>
      </c>
      <c r="I516" s="318" t="s">
        <v>406</v>
      </c>
      <c r="J516" s="318">
        <v>7</v>
      </c>
      <c r="K516" s="317" t="s">
        <v>410</v>
      </c>
      <c r="L516" s="317">
        <v>47.2288</v>
      </c>
      <c r="M516" s="317">
        <v>39.675530000000002</v>
      </c>
    </row>
    <row r="517" spans="1:13" ht="60" hidden="1" x14ac:dyDescent="0.25">
      <c r="A517" s="313">
        <f t="shared" si="8"/>
        <v>516</v>
      </c>
      <c r="B517" s="314" t="s">
        <v>2655</v>
      </c>
      <c r="C517" s="315" t="s">
        <v>408</v>
      </c>
      <c r="D517" s="316" t="s">
        <v>2657</v>
      </c>
      <c r="E517" s="318">
        <v>1.22</v>
      </c>
      <c r="F517" s="318" t="s">
        <v>395</v>
      </c>
      <c r="G517" s="318" t="s">
        <v>395</v>
      </c>
      <c r="H517" s="318" t="s">
        <v>395</v>
      </c>
      <c r="I517" s="318" t="s">
        <v>406</v>
      </c>
      <c r="J517" s="318">
        <v>11</v>
      </c>
      <c r="K517" s="317" t="s">
        <v>410</v>
      </c>
      <c r="L517" s="317">
        <v>47.301029999999997</v>
      </c>
      <c r="M517" s="317">
        <v>39.752279999999999</v>
      </c>
    </row>
    <row r="518" spans="1:13" ht="75" hidden="1" x14ac:dyDescent="0.25">
      <c r="A518" s="313">
        <f t="shared" si="8"/>
        <v>517</v>
      </c>
      <c r="B518" s="314" t="s">
        <v>2659</v>
      </c>
      <c r="C518" s="315" t="s">
        <v>428</v>
      </c>
      <c r="D518" s="316" t="s">
        <v>2661</v>
      </c>
      <c r="E518" s="318">
        <v>1.18</v>
      </c>
      <c r="F518" s="318" t="s">
        <v>395</v>
      </c>
      <c r="G518" s="318" t="s">
        <v>395</v>
      </c>
      <c r="H518" s="318" t="s">
        <v>395</v>
      </c>
      <c r="I518" s="318" t="s">
        <v>406</v>
      </c>
      <c r="J518" s="318">
        <v>9</v>
      </c>
      <c r="K518" s="317" t="s">
        <v>410</v>
      </c>
      <c r="L518" s="317">
        <v>47.302309999999999</v>
      </c>
      <c r="M518" s="317">
        <v>39.712919999999997</v>
      </c>
    </row>
    <row r="519" spans="1:13" ht="75" hidden="1" x14ac:dyDescent="0.25">
      <c r="A519" s="313">
        <f t="shared" si="8"/>
        <v>518</v>
      </c>
      <c r="B519" s="314" t="s">
        <v>2663</v>
      </c>
      <c r="C519" s="315" t="s">
        <v>428</v>
      </c>
      <c r="D519" s="316" t="s">
        <v>2665</v>
      </c>
      <c r="E519" s="318">
        <v>1.26</v>
      </c>
      <c r="F519" s="318" t="s">
        <v>395</v>
      </c>
      <c r="G519" s="318" t="s">
        <v>395</v>
      </c>
      <c r="H519" s="318" t="s">
        <v>395</v>
      </c>
      <c r="I519" s="318" t="s">
        <v>406</v>
      </c>
      <c r="J519" s="318">
        <v>13</v>
      </c>
      <c r="K519" s="317" t="s">
        <v>410</v>
      </c>
      <c r="L519" s="317">
        <v>47.313360000000003</v>
      </c>
      <c r="M519" s="317">
        <v>39.734029999999997</v>
      </c>
    </row>
    <row r="520" spans="1:13" ht="45" hidden="1" x14ac:dyDescent="0.25">
      <c r="A520" s="313">
        <f t="shared" si="8"/>
        <v>519</v>
      </c>
      <c r="B520" s="314" t="s">
        <v>2667</v>
      </c>
      <c r="C520" s="315" t="s">
        <v>412</v>
      </c>
      <c r="D520" s="316" t="s">
        <v>2669</v>
      </c>
      <c r="E520" s="318">
        <v>1.06</v>
      </c>
      <c r="F520" s="318" t="s">
        <v>395</v>
      </c>
      <c r="G520" s="318" t="s">
        <v>395</v>
      </c>
      <c r="H520" s="318" t="s">
        <v>395</v>
      </c>
      <c r="I520" s="318" t="s">
        <v>406</v>
      </c>
      <c r="J520" s="318">
        <v>3</v>
      </c>
      <c r="K520" s="317" t="s">
        <v>410</v>
      </c>
      <c r="L520" s="317">
        <v>47.23319</v>
      </c>
      <c r="M520" s="317">
        <v>39.717779999999998</v>
      </c>
    </row>
    <row r="521" spans="1:13" ht="75" hidden="1" x14ac:dyDescent="0.25">
      <c r="A521" s="313">
        <f t="shared" si="8"/>
        <v>520</v>
      </c>
      <c r="B521" s="314" t="s">
        <v>2671</v>
      </c>
      <c r="C521" s="315" t="s">
        <v>428</v>
      </c>
      <c r="D521" s="316" t="s">
        <v>2673</v>
      </c>
      <c r="E521" s="318">
        <v>1.1599999999999999</v>
      </c>
      <c r="F521" s="318" t="s">
        <v>395</v>
      </c>
      <c r="G521" s="318" t="s">
        <v>395</v>
      </c>
      <c r="H521" s="318" t="s">
        <v>395</v>
      </c>
      <c r="I521" s="318" t="s">
        <v>406</v>
      </c>
      <c r="J521" s="318">
        <v>8</v>
      </c>
      <c r="K521" s="317" t="s">
        <v>410</v>
      </c>
      <c r="L521" s="317">
        <v>47.229280000000003</v>
      </c>
      <c r="M521" s="317">
        <v>39.811329999999998</v>
      </c>
    </row>
    <row r="522" spans="1:13" ht="30" hidden="1" x14ac:dyDescent="0.25">
      <c r="A522" s="313">
        <f t="shared" si="8"/>
        <v>521</v>
      </c>
      <c r="B522" s="314" t="s">
        <v>2675</v>
      </c>
      <c r="C522" s="315" t="s">
        <v>399</v>
      </c>
      <c r="D522" s="316" t="s">
        <v>2677</v>
      </c>
      <c r="E522" s="318">
        <v>1.2</v>
      </c>
      <c r="F522" s="318" t="s">
        <v>395</v>
      </c>
      <c r="G522" s="318" t="s">
        <v>395</v>
      </c>
      <c r="H522" s="318" t="s">
        <v>395</v>
      </c>
      <c r="I522" s="318" t="s">
        <v>406</v>
      </c>
      <c r="J522" s="318">
        <v>10</v>
      </c>
      <c r="K522" s="317" t="s">
        <v>410</v>
      </c>
      <c r="L522" s="317">
        <v>47.290329999999997</v>
      </c>
      <c r="M522" s="317">
        <v>39.694110000000002</v>
      </c>
    </row>
    <row r="523" spans="1:13" ht="45" hidden="1" x14ac:dyDescent="0.25">
      <c r="A523" s="313">
        <f t="shared" si="8"/>
        <v>522</v>
      </c>
      <c r="B523" s="314" t="s">
        <v>2679</v>
      </c>
      <c r="C523" s="315" t="s">
        <v>393</v>
      </c>
      <c r="D523" s="316" t="s">
        <v>2681</v>
      </c>
      <c r="E523" s="318">
        <v>1.1000000000000001</v>
      </c>
      <c r="F523" s="318" t="s">
        <v>395</v>
      </c>
      <c r="G523" s="318" t="s">
        <v>395</v>
      </c>
      <c r="H523" s="318" t="s">
        <v>395</v>
      </c>
      <c r="I523" s="318" t="s">
        <v>406</v>
      </c>
      <c r="J523" s="318">
        <v>5</v>
      </c>
      <c r="K523" s="317" t="s">
        <v>410</v>
      </c>
      <c r="L523" s="317">
        <v>47.217440000000003</v>
      </c>
      <c r="M523" s="317">
        <v>39.714640000000003</v>
      </c>
    </row>
    <row r="524" spans="1:13" ht="75" hidden="1" x14ac:dyDescent="0.25">
      <c r="A524" s="313">
        <f t="shared" si="8"/>
        <v>523</v>
      </c>
      <c r="B524" s="314" t="s">
        <v>2683</v>
      </c>
      <c r="C524" s="315" t="s">
        <v>428</v>
      </c>
      <c r="D524" s="316" t="s">
        <v>2685</v>
      </c>
      <c r="E524" s="318">
        <v>1.1599999999999999</v>
      </c>
      <c r="F524" s="318" t="s">
        <v>395</v>
      </c>
      <c r="G524" s="318" t="s">
        <v>395</v>
      </c>
      <c r="H524" s="318" t="s">
        <v>395</v>
      </c>
      <c r="I524" s="318" t="s">
        <v>406</v>
      </c>
      <c r="J524" s="318">
        <v>8</v>
      </c>
      <c r="K524" s="317" t="s">
        <v>410</v>
      </c>
      <c r="L524" s="317">
        <v>47.270189999999999</v>
      </c>
      <c r="M524" s="317">
        <v>39.796109999999999</v>
      </c>
    </row>
    <row r="525" spans="1:13" ht="30" hidden="1" x14ac:dyDescent="0.25">
      <c r="A525" s="313">
        <f t="shared" si="8"/>
        <v>524</v>
      </c>
      <c r="B525" s="314" t="s">
        <v>2687</v>
      </c>
      <c r="C525" s="315" t="s">
        <v>399</v>
      </c>
      <c r="D525" s="316" t="s">
        <v>2690</v>
      </c>
      <c r="E525" s="318">
        <v>1.06</v>
      </c>
      <c r="F525" s="318" t="s">
        <v>395</v>
      </c>
      <c r="G525" s="318" t="s">
        <v>395</v>
      </c>
      <c r="H525" s="318" t="s">
        <v>395</v>
      </c>
      <c r="I525" s="318" t="s">
        <v>406</v>
      </c>
      <c r="J525" s="318">
        <v>3</v>
      </c>
      <c r="K525" s="317" t="s">
        <v>410</v>
      </c>
      <c r="L525" s="317">
        <v>47.22289</v>
      </c>
      <c r="M525" s="317">
        <v>39.727670000000003</v>
      </c>
    </row>
    <row r="526" spans="1:13" ht="75" hidden="1" x14ac:dyDescent="0.25">
      <c r="A526" s="313">
        <f t="shared" si="8"/>
        <v>525</v>
      </c>
      <c r="B526" s="314" t="s">
        <v>2692</v>
      </c>
      <c r="C526" s="315" t="s">
        <v>428</v>
      </c>
      <c r="D526" s="316" t="s">
        <v>2694</v>
      </c>
      <c r="E526" s="318">
        <v>1.3</v>
      </c>
      <c r="F526" s="318" t="s">
        <v>395</v>
      </c>
      <c r="G526" s="318" t="s">
        <v>395</v>
      </c>
      <c r="H526" s="318" t="s">
        <v>395</v>
      </c>
      <c r="I526" s="318" t="s">
        <v>406</v>
      </c>
      <c r="J526" s="318">
        <v>15</v>
      </c>
      <c r="K526" s="317" t="s">
        <v>410</v>
      </c>
      <c r="L526" s="317">
        <v>47.261360000000003</v>
      </c>
      <c r="M526" s="317">
        <v>39.854640000000003</v>
      </c>
    </row>
    <row r="527" spans="1:13" ht="75" hidden="1" x14ac:dyDescent="0.25">
      <c r="A527" s="313">
        <f t="shared" si="8"/>
        <v>526</v>
      </c>
      <c r="B527" s="314" t="s">
        <v>2696</v>
      </c>
      <c r="C527" s="315" t="s">
        <v>428</v>
      </c>
      <c r="D527" s="316" t="s">
        <v>2698</v>
      </c>
      <c r="E527" s="318">
        <v>1.38</v>
      </c>
      <c r="F527" s="318" t="s">
        <v>395</v>
      </c>
      <c r="G527" s="318" t="s">
        <v>395</v>
      </c>
      <c r="H527" s="318" t="s">
        <v>395</v>
      </c>
      <c r="I527" s="318" t="s">
        <v>406</v>
      </c>
      <c r="J527" s="318">
        <v>19</v>
      </c>
      <c r="K527" s="317" t="s">
        <v>410</v>
      </c>
      <c r="L527" s="317">
        <v>47.13917</v>
      </c>
      <c r="M527" s="317">
        <v>39.70861</v>
      </c>
    </row>
    <row r="528" spans="1:13" ht="45" hidden="1" x14ac:dyDescent="0.25">
      <c r="A528" s="313">
        <f t="shared" si="8"/>
        <v>527</v>
      </c>
      <c r="B528" s="314" t="s">
        <v>2699</v>
      </c>
      <c r="C528" s="315" t="s">
        <v>393</v>
      </c>
      <c r="D528" s="316" t="s">
        <v>2701</v>
      </c>
      <c r="E528" s="318">
        <v>1.36</v>
      </c>
      <c r="F528" s="318" t="s">
        <v>395</v>
      </c>
      <c r="G528" s="318" t="s">
        <v>395</v>
      </c>
      <c r="H528" s="318" t="s">
        <v>395</v>
      </c>
      <c r="I528" s="318" t="s">
        <v>406</v>
      </c>
      <c r="J528" s="318">
        <v>18</v>
      </c>
      <c r="K528" s="317" t="s">
        <v>410</v>
      </c>
      <c r="L528" s="317">
        <v>47.139420000000001</v>
      </c>
      <c r="M528" s="317">
        <v>39.76061</v>
      </c>
    </row>
    <row r="529" spans="1:13" ht="45" hidden="1" x14ac:dyDescent="0.25">
      <c r="A529" s="313">
        <f t="shared" si="8"/>
        <v>528</v>
      </c>
      <c r="B529" s="314" t="s">
        <v>2703</v>
      </c>
      <c r="C529" s="315" t="s">
        <v>393</v>
      </c>
      <c r="D529" s="316" t="s">
        <v>2704</v>
      </c>
      <c r="E529" s="318">
        <v>1.4</v>
      </c>
      <c r="F529" s="318" t="s">
        <v>395</v>
      </c>
      <c r="G529" s="318" t="s">
        <v>395</v>
      </c>
      <c r="H529" s="318" t="s">
        <v>395</v>
      </c>
      <c r="I529" s="318" t="s">
        <v>406</v>
      </c>
      <c r="J529" s="318">
        <v>20</v>
      </c>
      <c r="K529" s="317" t="s">
        <v>410</v>
      </c>
      <c r="L529" s="317">
        <v>47.115609999999997</v>
      </c>
      <c r="M529" s="317">
        <v>39.753059999999998</v>
      </c>
    </row>
    <row r="530" spans="1:13" ht="45" hidden="1" x14ac:dyDescent="0.25">
      <c r="A530" s="313">
        <f t="shared" si="8"/>
        <v>529</v>
      </c>
      <c r="B530" s="314" t="s">
        <v>2707</v>
      </c>
      <c r="C530" s="315" t="s">
        <v>412</v>
      </c>
      <c r="D530" s="316" t="s">
        <v>2708</v>
      </c>
      <c r="E530" s="318">
        <v>1.26</v>
      </c>
      <c r="F530" s="318" t="s">
        <v>395</v>
      </c>
      <c r="G530" s="318" t="s">
        <v>395</v>
      </c>
      <c r="H530" s="318" t="s">
        <v>395</v>
      </c>
      <c r="I530" s="318" t="s">
        <v>406</v>
      </c>
      <c r="J530" s="318">
        <v>13</v>
      </c>
      <c r="K530" s="317" t="s">
        <v>410</v>
      </c>
      <c r="L530" s="317">
        <v>47.13458</v>
      </c>
      <c r="M530" s="317">
        <v>39.735579999999999</v>
      </c>
    </row>
    <row r="531" spans="1:13" ht="45" hidden="1" x14ac:dyDescent="0.25">
      <c r="A531" s="313">
        <f t="shared" si="8"/>
        <v>530</v>
      </c>
      <c r="B531" s="314" t="s">
        <v>2711</v>
      </c>
      <c r="C531" s="315" t="s">
        <v>412</v>
      </c>
      <c r="D531" s="316" t="s">
        <v>2712</v>
      </c>
      <c r="E531" s="318">
        <v>1.42</v>
      </c>
      <c r="F531" s="318" t="s">
        <v>395</v>
      </c>
      <c r="G531" s="318" t="s">
        <v>395</v>
      </c>
      <c r="H531" s="318" t="s">
        <v>395</v>
      </c>
      <c r="I531" s="318" t="s">
        <v>406</v>
      </c>
      <c r="J531" s="318">
        <v>21</v>
      </c>
      <c r="K531" s="317" t="s">
        <v>410</v>
      </c>
      <c r="L531" s="317">
        <v>47.112360000000002</v>
      </c>
      <c r="M531" s="317">
        <v>39.674309999999998</v>
      </c>
    </row>
    <row r="532" spans="1:13" ht="75" hidden="1" x14ac:dyDescent="0.25">
      <c r="A532" s="313">
        <f t="shared" si="8"/>
        <v>531</v>
      </c>
      <c r="B532" s="314" t="s">
        <v>2715</v>
      </c>
      <c r="C532" s="315" t="s">
        <v>428</v>
      </c>
      <c r="D532" s="316" t="s">
        <v>2716</v>
      </c>
      <c r="E532" s="318">
        <v>1.3</v>
      </c>
      <c r="F532" s="318" t="s">
        <v>395</v>
      </c>
      <c r="G532" s="318" t="s">
        <v>395</v>
      </c>
      <c r="H532" s="318" t="s">
        <v>395</v>
      </c>
      <c r="I532" s="318" t="s">
        <v>406</v>
      </c>
      <c r="J532" s="318">
        <v>15</v>
      </c>
      <c r="K532" s="317" t="s">
        <v>410</v>
      </c>
      <c r="L532" s="317">
        <v>47.14837</v>
      </c>
      <c r="M532" s="317">
        <v>39.739449999999998</v>
      </c>
    </row>
    <row r="533" spans="1:13" ht="60" hidden="1" x14ac:dyDescent="0.25">
      <c r="A533" s="313">
        <f t="shared" si="8"/>
        <v>532</v>
      </c>
      <c r="B533" s="314" t="s">
        <v>2719</v>
      </c>
      <c r="C533" s="315" t="s">
        <v>408</v>
      </c>
      <c r="D533" s="316" t="s">
        <v>2720</v>
      </c>
      <c r="E533" s="318">
        <v>1.4</v>
      </c>
      <c r="F533" s="318" t="s">
        <v>395</v>
      </c>
      <c r="G533" s="318" t="s">
        <v>395</v>
      </c>
      <c r="H533" s="318" t="s">
        <v>395</v>
      </c>
      <c r="I533" s="318" t="s">
        <v>406</v>
      </c>
      <c r="J533" s="318">
        <v>20</v>
      </c>
      <c r="K533" s="317" t="s">
        <v>410</v>
      </c>
      <c r="L533" s="317">
        <v>47.129190000000001</v>
      </c>
      <c r="M533" s="317">
        <v>39.783499999999997</v>
      </c>
    </row>
    <row r="534" spans="1:13" ht="75" hidden="1" x14ac:dyDescent="0.25">
      <c r="A534" s="313">
        <f t="shared" si="8"/>
        <v>533</v>
      </c>
      <c r="B534" s="314" t="s">
        <v>2723</v>
      </c>
      <c r="C534" s="315" t="s">
        <v>428</v>
      </c>
      <c r="D534" s="316" t="s">
        <v>2725</v>
      </c>
      <c r="E534" s="318">
        <v>1.34</v>
      </c>
      <c r="F534" s="318" t="s">
        <v>395</v>
      </c>
      <c r="G534" s="318" t="s">
        <v>395</v>
      </c>
      <c r="H534" s="318" t="s">
        <v>395</v>
      </c>
      <c r="I534" s="318" t="s">
        <v>406</v>
      </c>
      <c r="J534" s="318">
        <v>17</v>
      </c>
      <c r="K534" s="317" t="s">
        <v>410</v>
      </c>
      <c r="L534" s="317">
        <v>47.131279999999997</v>
      </c>
      <c r="M534" s="317">
        <v>39.74342</v>
      </c>
    </row>
    <row r="535" spans="1:13" ht="75" hidden="1" x14ac:dyDescent="0.25">
      <c r="A535" s="313">
        <f t="shared" si="8"/>
        <v>534</v>
      </c>
      <c r="B535" s="314" t="s">
        <v>2727</v>
      </c>
      <c r="C535" s="315" t="s">
        <v>428</v>
      </c>
      <c r="D535" s="316" t="s">
        <v>2729</v>
      </c>
      <c r="E535" s="318">
        <v>1.38</v>
      </c>
      <c r="F535" s="318" t="s">
        <v>395</v>
      </c>
      <c r="G535" s="318" t="s">
        <v>395</v>
      </c>
      <c r="H535" s="318" t="s">
        <v>395</v>
      </c>
      <c r="I535" s="318" t="s">
        <v>406</v>
      </c>
      <c r="J535" s="318">
        <v>19</v>
      </c>
      <c r="K535" s="317" t="s">
        <v>410</v>
      </c>
      <c r="L535" s="317">
        <v>47.13317</v>
      </c>
      <c r="M535" s="317">
        <v>39.701920000000001</v>
      </c>
    </row>
    <row r="536" spans="1:13" ht="75" hidden="1" x14ac:dyDescent="0.25">
      <c r="A536" s="313">
        <f t="shared" si="8"/>
        <v>535</v>
      </c>
      <c r="B536" s="314" t="s">
        <v>2731</v>
      </c>
      <c r="C536" s="315" t="s">
        <v>428</v>
      </c>
      <c r="D536" s="316" t="s">
        <v>2733</v>
      </c>
      <c r="E536" s="318">
        <v>1.34</v>
      </c>
      <c r="F536" s="318" t="s">
        <v>395</v>
      </c>
      <c r="G536" s="318" t="s">
        <v>395</v>
      </c>
      <c r="H536" s="318" t="s">
        <v>395</v>
      </c>
      <c r="I536" s="318" t="s">
        <v>406</v>
      </c>
      <c r="J536" s="318">
        <v>17</v>
      </c>
      <c r="K536" s="317" t="s">
        <v>410</v>
      </c>
      <c r="L536" s="317">
        <v>47.148940000000003</v>
      </c>
      <c r="M536" s="317">
        <v>39.755189999999999</v>
      </c>
    </row>
    <row r="537" spans="1:13" ht="45" hidden="1" x14ac:dyDescent="0.25">
      <c r="A537" s="313">
        <f t="shared" si="8"/>
        <v>536</v>
      </c>
      <c r="B537" s="314" t="s">
        <v>2735</v>
      </c>
      <c r="C537" s="315" t="s">
        <v>412</v>
      </c>
      <c r="D537" s="316" t="s">
        <v>2737</v>
      </c>
      <c r="E537" s="318">
        <v>2.02</v>
      </c>
      <c r="F537" s="318" t="s">
        <v>395</v>
      </c>
      <c r="G537" s="318" t="s">
        <v>395</v>
      </c>
      <c r="H537" s="318" t="s">
        <v>395</v>
      </c>
      <c r="I537" s="318" t="s">
        <v>406</v>
      </c>
      <c r="J537" s="318">
        <v>51</v>
      </c>
      <c r="K537" s="317" t="s">
        <v>410</v>
      </c>
      <c r="L537" s="317">
        <v>46.882750000000001</v>
      </c>
      <c r="M537" s="317">
        <v>39.777169999999998</v>
      </c>
    </row>
    <row r="538" spans="1:13" ht="75" hidden="1" x14ac:dyDescent="0.25">
      <c r="A538" s="313">
        <f t="shared" si="8"/>
        <v>537</v>
      </c>
      <c r="B538" s="314" t="s">
        <v>2739</v>
      </c>
      <c r="C538" s="315" t="s">
        <v>428</v>
      </c>
      <c r="D538" s="316" t="s">
        <v>2741</v>
      </c>
      <c r="E538" s="318">
        <v>1.38</v>
      </c>
      <c r="F538" s="318" t="s">
        <v>395</v>
      </c>
      <c r="G538" s="318" t="s">
        <v>395</v>
      </c>
      <c r="H538" s="318" t="s">
        <v>395</v>
      </c>
      <c r="I538" s="318" t="s">
        <v>406</v>
      </c>
      <c r="J538" s="318">
        <v>19</v>
      </c>
      <c r="K538" s="317" t="s">
        <v>410</v>
      </c>
      <c r="L538" s="317">
        <v>47.125140000000002</v>
      </c>
      <c r="M538" s="317">
        <v>39.752310000000001</v>
      </c>
    </row>
    <row r="539" spans="1:13" ht="75" hidden="1" x14ac:dyDescent="0.25">
      <c r="A539" s="313">
        <f t="shared" si="8"/>
        <v>538</v>
      </c>
      <c r="B539" s="314" t="s">
        <v>2743</v>
      </c>
      <c r="C539" s="315" t="s">
        <v>428</v>
      </c>
      <c r="D539" s="316" t="s">
        <v>2745</v>
      </c>
      <c r="E539" s="318">
        <v>1.34</v>
      </c>
      <c r="F539" s="318" t="s">
        <v>395</v>
      </c>
      <c r="G539" s="318" t="s">
        <v>395</v>
      </c>
      <c r="H539" s="318" t="s">
        <v>395</v>
      </c>
      <c r="I539" s="318" t="s">
        <v>406</v>
      </c>
      <c r="J539" s="318">
        <v>17</v>
      </c>
      <c r="K539" s="317" t="s">
        <v>410</v>
      </c>
      <c r="L539" s="317">
        <v>47.141280000000002</v>
      </c>
      <c r="M539" s="317">
        <v>39.74042</v>
      </c>
    </row>
    <row r="540" spans="1:13" ht="45" hidden="1" x14ac:dyDescent="0.25">
      <c r="A540" s="313">
        <f t="shared" si="8"/>
        <v>539</v>
      </c>
      <c r="B540" s="314" t="s">
        <v>2747</v>
      </c>
      <c r="C540" s="315" t="s">
        <v>412</v>
      </c>
      <c r="D540" s="316" t="s">
        <v>2749</v>
      </c>
      <c r="E540" s="318">
        <v>1.38</v>
      </c>
      <c r="F540" s="318" t="s">
        <v>395</v>
      </c>
      <c r="G540" s="318" t="s">
        <v>395</v>
      </c>
      <c r="H540" s="318" t="s">
        <v>395</v>
      </c>
      <c r="I540" s="318" t="s">
        <v>406</v>
      </c>
      <c r="J540" s="318">
        <v>19</v>
      </c>
      <c r="K540" s="317" t="s">
        <v>410</v>
      </c>
      <c r="L540" s="317">
        <v>47.124049999999997</v>
      </c>
      <c r="M540" s="317">
        <v>39.761769999999999</v>
      </c>
    </row>
    <row r="541" spans="1:13" ht="75" hidden="1" x14ac:dyDescent="0.25">
      <c r="A541" s="313">
        <f t="shared" si="8"/>
        <v>540</v>
      </c>
      <c r="B541" s="314" t="s">
        <v>2751</v>
      </c>
      <c r="C541" s="315" t="s">
        <v>428</v>
      </c>
      <c r="D541" s="316" t="s">
        <v>2753</v>
      </c>
      <c r="E541" s="318">
        <v>1.4</v>
      </c>
      <c r="F541" s="318" t="s">
        <v>395</v>
      </c>
      <c r="G541" s="318" t="s">
        <v>395</v>
      </c>
      <c r="H541" s="318" t="s">
        <v>395</v>
      </c>
      <c r="I541" s="318" t="s">
        <v>406</v>
      </c>
      <c r="J541" s="318">
        <v>20</v>
      </c>
      <c r="K541" s="317" t="s">
        <v>410</v>
      </c>
      <c r="L541" s="317">
        <v>47.119190000000003</v>
      </c>
      <c r="M541" s="317">
        <v>39.738939999999999</v>
      </c>
    </row>
    <row r="542" spans="1:13" ht="75" hidden="1" x14ac:dyDescent="0.25">
      <c r="A542" s="313">
        <f t="shared" si="8"/>
        <v>541</v>
      </c>
      <c r="B542" s="314" t="s">
        <v>2755</v>
      </c>
      <c r="C542" s="315" t="s">
        <v>428</v>
      </c>
      <c r="D542" s="316" t="s">
        <v>2757</v>
      </c>
      <c r="E542" s="318">
        <v>1.46</v>
      </c>
      <c r="F542" s="318" t="s">
        <v>395</v>
      </c>
      <c r="G542" s="318" t="s">
        <v>395</v>
      </c>
      <c r="H542" s="318" t="s">
        <v>395</v>
      </c>
      <c r="I542" s="318" t="s">
        <v>406</v>
      </c>
      <c r="J542" s="318">
        <v>23</v>
      </c>
      <c r="K542" s="317" t="s">
        <v>410</v>
      </c>
      <c r="L542" s="317">
        <v>47.121859999999998</v>
      </c>
      <c r="M542" s="317">
        <v>39.680999999999997</v>
      </c>
    </row>
    <row r="543" spans="1:13" ht="45" hidden="1" x14ac:dyDescent="0.25">
      <c r="A543" s="313">
        <f t="shared" si="8"/>
        <v>542</v>
      </c>
      <c r="B543" s="314" t="s">
        <v>2760</v>
      </c>
      <c r="C543" s="315" t="s">
        <v>412</v>
      </c>
      <c r="D543" s="316" t="s">
        <v>2762</v>
      </c>
      <c r="E543" s="318">
        <v>1.66</v>
      </c>
      <c r="F543" s="318" t="s">
        <v>395</v>
      </c>
      <c r="G543" s="318" t="s">
        <v>395</v>
      </c>
      <c r="H543" s="318" t="s">
        <v>395</v>
      </c>
      <c r="I543" s="318" t="s">
        <v>406</v>
      </c>
      <c r="J543" s="318">
        <v>33</v>
      </c>
      <c r="K543" s="317" t="s">
        <v>410</v>
      </c>
      <c r="L543" s="317">
        <v>47.03389</v>
      </c>
      <c r="M543" s="317">
        <v>39.835560000000001</v>
      </c>
    </row>
    <row r="544" spans="1:13" ht="75" hidden="1" x14ac:dyDescent="0.25">
      <c r="A544" s="313">
        <f t="shared" si="8"/>
        <v>543</v>
      </c>
      <c r="B544" s="314" t="s">
        <v>2764</v>
      </c>
      <c r="C544" s="315" t="s">
        <v>428</v>
      </c>
      <c r="D544" s="316" t="s">
        <v>2766</v>
      </c>
      <c r="E544" s="318">
        <v>1.38</v>
      </c>
      <c r="F544" s="318" t="s">
        <v>395</v>
      </c>
      <c r="G544" s="318" t="s">
        <v>395</v>
      </c>
      <c r="H544" s="318" t="s">
        <v>395</v>
      </c>
      <c r="I544" s="318" t="s">
        <v>406</v>
      </c>
      <c r="J544" s="318">
        <v>19</v>
      </c>
      <c r="K544" s="317" t="s">
        <v>410</v>
      </c>
      <c r="L544" s="317">
        <v>47.098030000000001</v>
      </c>
      <c r="M544" s="317">
        <v>39.740110000000001</v>
      </c>
    </row>
    <row r="545" spans="1:13" ht="75" hidden="1" x14ac:dyDescent="0.25">
      <c r="A545" s="313">
        <f t="shared" si="8"/>
        <v>544</v>
      </c>
      <c r="B545" s="314" t="s">
        <v>2768</v>
      </c>
      <c r="C545" s="315" t="s">
        <v>428</v>
      </c>
      <c r="D545" s="316" t="s">
        <v>2770</v>
      </c>
      <c r="E545" s="318">
        <v>1.34</v>
      </c>
      <c r="F545" s="318" t="s">
        <v>395</v>
      </c>
      <c r="G545" s="318" t="s">
        <v>395</v>
      </c>
      <c r="H545" s="318" t="s">
        <v>395</v>
      </c>
      <c r="I545" s="318" t="s">
        <v>406</v>
      </c>
      <c r="J545" s="318">
        <v>17</v>
      </c>
      <c r="K545" s="317" t="s">
        <v>410</v>
      </c>
      <c r="L545" s="317">
        <v>47.147500000000001</v>
      </c>
      <c r="M545" s="317">
        <v>39.723309999999998</v>
      </c>
    </row>
    <row r="546" spans="1:13" ht="75" hidden="1" x14ac:dyDescent="0.25">
      <c r="A546" s="313">
        <f t="shared" si="8"/>
        <v>545</v>
      </c>
      <c r="B546" s="314" t="s">
        <v>2772</v>
      </c>
      <c r="C546" s="315" t="s">
        <v>428</v>
      </c>
      <c r="D546" s="316" t="s">
        <v>2774</v>
      </c>
      <c r="E546" s="318">
        <v>1.34</v>
      </c>
      <c r="F546" s="318" t="s">
        <v>395</v>
      </c>
      <c r="G546" s="318" t="s">
        <v>395</v>
      </c>
      <c r="H546" s="318" t="s">
        <v>395</v>
      </c>
      <c r="I546" s="318" t="s">
        <v>406</v>
      </c>
      <c r="J546" s="318">
        <v>17</v>
      </c>
      <c r="K546" s="317" t="s">
        <v>410</v>
      </c>
      <c r="L546" s="317">
        <v>47.11889</v>
      </c>
      <c r="M546" s="317">
        <v>39.775829999999999</v>
      </c>
    </row>
    <row r="547" spans="1:13" ht="75" hidden="1" x14ac:dyDescent="0.25">
      <c r="A547" s="313">
        <f t="shared" si="8"/>
        <v>546</v>
      </c>
      <c r="B547" s="314" t="s">
        <v>2776</v>
      </c>
      <c r="C547" s="315" t="s">
        <v>428</v>
      </c>
      <c r="D547" s="316" t="s">
        <v>2778</v>
      </c>
      <c r="E547" s="318">
        <v>1.32</v>
      </c>
      <c r="F547" s="318" t="s">
        <v>395</v>
      </c>
      <c r="G547" s="318" t="s">
        <v>395</v>
      </c>
      <c r="H547" s="318" t="s">
        <v>395</v>
      </c>
      <c r="I547" s="318" t="s">
        <v>406</v>
      </c>
      <c r="J547" s="318">
        <v>16</v>
      </c>
      <c r="K547" s="317" t="s">
        <v>410</v>
      </c>
      <c r="L547" s="317">
        <v>47.25506</v>
      </c>
      <c r="M547" s="317">
        <v>39.860219999999998</v>
      </c>
    </row>
    <row r="548" spans="1:13" ht="60" hidden="1" x14ac:dyDescent="0.25">
      <c r="A548" s="313">
        <f t="shared" si="8"/>
        <v>547</v>
      </c>
      <c r="B548" s="314" t="s">
        <v>2781</v>
      </c>
      <c r="C548" s="315" t="s">
        <v>447</v>
      </c>
      <c r="D548" s="316" t="s">
        <v>2783</v>
      </c>
      <c r="E548" s="318">
        <v>2.06</v>
      </c>
      <c r="F548" s="318" t="s">
        <v>395</v>
      </c>
      <c r="G548" s="318" t="s">
        <v>395</v>
      </c>
      <c r="H548" s="318" t="s">
        <v>395</v>
      </c>
      <c r="I548" s="318" t="s">
        <v>406</v>
      </c>
      <c r="J548" s="318">
        <v>53</v>
      </c>
      <c r="K548" s="317" t="s">
        <v>410</v>
      </c>
      <c r="L548" s="317">
        <v>47.498080000000002</v>
      </c>
      <c r="M548" s="317">
        <v>40.072319999999998</v>
      </c>
    </row>
    <row r="549" spans="1:13" ht="75" hidden="1" x14ac:dyDescent="0.25">
      <c r="A549" s="313">
        <f t="shared" si="8"/>
        <v>548</v>
      </c>
      <c r="B549" s="314" t="s">
        <v>2785</v>
      </c>
      <c r="C549" s="315" t="s">
        <v>428</v>
      </c>
      <c r="D549" s="316" t="s">
        <v>2787</v>
      </c>
      <c r="E549" s="318">
        <v>1.2</v>
      </c>
      <c r="F549" s="318" t="s">
        <v>395</v>
      </c>
      <c r="G549" s="318" t="s">
        <v>395</v>
      </c>
      <c r="H549" s="318" t="s">
        <v>395</v>
      </c>
      <c r="I549" s="318" t="s">
        <v>406</v>
      </c>
      <c r="J549" s="318">
        <v>10</v>
      </c>
      <c r="K549" s="317" t="s">
        <v>410</v>
      </c>
      <c r="L549" s="317">
        <v>47.25461</v>
      </c>
      <c r="M549" s="317">
        <v>39.68197</v>
      </c>
    </row>
    <row r="550" spans="1:13" ht="45" hidden="1" x14ac:dyDescent="0.25">
      <c r="A550" s="313">
        <f t="shared" si="8"/>
        <v>549</v>
      </c>
      <c r="B550" s="314" t="s">
        <v>2789</v>
      </c>
      <c r="C550" s="315" t="s">
        <v>412</v>
      </c>
      <c r="D550" s="316" t="s">
        <v>2790</v>
      </c>
      <c r="E550" s="318">
        <v>1.1399999999999999</v>
      </c>
      <c r="F550" s="318" t="s">
        <v>395</v>
      </c>
      <c r="G550" s="318" t="s">
        <v>395</v>
      </c>
      <c r="H550" s="318" t="s">
        <v>395</v>
      </c>
      <c r="I550" s="318" t="s">
        <v>406</v>
      </c>
      <c r="J550" s="318">
        <v>7</v>
      </c>
      <c r="K550" s="317" t="s">
        <v>410</v>
      </c>
      <c r="L550" s="317">
        <v>47.283610000000003</v>
      </c>
      <c r="M550" s="317">
        <v>39.713610000000003</v>
      </c>
    </row>
    <row r="551" spans="1:13" ht="75" hidden="1" x14ac:dyDescent="0.25">
      <c r="A551" s="313">
        <f t="shared" si="8"/>
        <v>550</v>
      </c>
      <c r="B551" s="314" t="s">
        <v>2792</v>
      </c>
      <c r="C551" s="315" t="s">
        <v>428</v>
      </c>
      <c r="D551" s="316" t="s">
        <v>2795</v>
      </c>
      <c r="E551" s="318">
        <v>1.2</v>
      </c>
      <c r="F551" s="318" t="s">
        <v>395</v>
      </c>
      <c r="G551" s="318" t="s">
        <v>395</v>
      </c>
      <c r="H551" s="318" t="s">
        <v>395</v>
      </c>
      <c r="I551" s="318" t="s">
        <v>406</v>
      </c>
      <c r="J551" s="318">
        <v>10</v>
      </c>
      <c r="K551" s="317" t="s">
        <v>410</v>
      </c>
      <c r="L551" s="317">
        <v>47.296410000000002</v>
      </c>
      <c r="M551" s="317">
        <v>39.745280000000001</v>
      </c>
    </row>
    <row r="552" spans="1:13" ht="60" hidden="1" x14ac:dyDescent="0.25">
      <c r="A552" s="313">
        <f t="shared" si="8"/>
        <v>551</v>
      </c>
      <c r="B552" s="314" t="s">
        <v>2797</v>
      </c>
      <c r="C552" s="315" t="s">
        <v>408</v>
      </c>
      <c r="D552" s="316" t="s">
        <v>2799</v>
      </c>
      <c r="E552" s="318">
        <v>1.26</v>
      </c>
      <c r="F552" s="318" t="s">
        <v>395</v>
      </c>
      <c r="G552" s="318" t="s">
        <v>395</v>
      </c>
      <c r="H552" s="318" t="s">
        <v>395</v>
      </c>
      <c r="I552" s="318" t="s">
        <v>406</v>
      </c>
      <c r="J552" s="318">
        <v>13</v>
      </c>
      <c r="K552" s="317" t="s">
        <v>410</v>
      </c>
      <c r="L552" s="317">
        <v>47.287500000000001</v>
      </c>
      <c r="M552" s="317">
        <v>39.845280000000002</v>
      </c>
    </row>
    <row r="553" spans="1:13" ht="60" hidden="1" x14ac:dyDescent="0.25">
      <c r="A553" s="313">
        <f t="shared" si="8"/>
        <v>552</v>
      </c>
      <c r="B553" s="314" t="s">
        <v>2800</v>
      </c>
      <c r="C553" s="315" t="s">
        <v>447</v>
      </c>
      <c r="D553" s="316" t="s">
        <v>2802</v>
      </c>
      <c r="E553" s="318">
        <v>2.02</v>
      </c>
      <c r="F553" s="318" t="s">
        <v>395</v>
      </c>
      <c r="G553" s="318" t="s">
        <v>395</v>
      </c>
      <c r="H553" s="318" t="s">
        <v>395</v>
      </c>
      <c r="I553" s="318" t="s">
        <v>406</v>
      </c>
      <c r="J553" s="318">
        <v>51</v>
      </c>
      <c r="K553" s="317" t="s">
        <v>410</v>
      </c>
      <c r="L553" s="317">
        <v>47.49165</v>
      </c>
      <c r="M553" s="317">
        <v>40.095820000000003</v>
      </c>
    </row>
    <row r="554" spans="1:13" ht="30" hidden="1" x14ac:dyDescent="0.25">
      <c r="A554" s="313">
        <f t="shared" si="8"/>
        <v>553</v>
      </c>
      <c r="B554" s="314" t="s">
        <v>2804</v>
      </c>
      <c r="C554" s="315" t="s">
        <v>399</v>
      </c>
      <c r="D554" s="316" t="s">
        <v>2806</v>
      </c>
      <c r="E554" s="318">
        <v>1.1000000000000001</v>
      </c>
      <c r="F554" s="318" t="s">
        <v>395</v>
      </c>
      <c r="G554" s="318" t="s">
        <v>395</v>
      </c>
      <c r="H554" s="318" t="s">
        <v>395</v>
      </c>
      <c r="I554" s="318" t="s">
        <v>406</v>
      </c>
      <c r="J554" s="318">
        <v>5</v>
      </c>
      <c r="K554" s="317" t="s">
        <v>410</v>
      </c>
      <c r="L554" s="317">
        <v>47.25517</v>
      </c>
      <c r="M554" s="317">
        <v>39.763530000000003</v>
      </c>
    </row>
    <row r="555" spans="1:13" ht="75" hidden="1" x14ac:dyDescent="0.25">
      <c r="A555" s="313">
        <f t="shared" si="8"/>
        <v>554</v>
      </c>
      <c r="B555" s="314" t="s">
        <v>2808</v>
      </c>
      <c r="C555" s="315" t="s">
        <v>428</v>
      </c>
      <c r="D555" s="316" t="s">
        <v>2810</v>
      </c>
      <c r="E555" s="318">
        <v>1.04</v>
      </c>
      <c r="F555" s="318" t="s">
        <v>395</v>
      </c>
      <c r="G555" s="318" t="s">
        <v>395</v>
      </c>
      <c r="H555" s="318" t="s">
        <v>395</v>
      </c>
      <c r="I555" s="318" t="s">
        <v>406</v>
      </c>
      <c r="J555" s="318">
        <v>2</v>
      </c>
      <c r="K555" s="317" t="s">
        <v>410</v>
      </c>
      <c r="L555" s="317">
        <v>47.244720000000001</v>
      </c>
      <c r="M555" s="317">
        <v>39.753059999999998</v>
      </c>
    </row>
    <row r="556" spans="1:13" ht="30" hidden="1" x14ac:dyDescent="0.25">
      <c r="A556" s="313">
        <f t="shared" si="8"/>
        <v>555</v>
      </c>
      <c r="B556" s="314" t="s">
        <v>2812</v>
      </c>
      <c r="C556" s="315" t="s">
        <v>503</v>
      </c>
      <c r="D556" s="316" t="s">
        <v>2814</v>
      </c>
      <c r="E556" s="318">
        <v>1.1399999999999999</v>
      </c>
      <c r="F556" s="318" t="s">
        <v>395</v>
      </c>
      <c r="G556" s="318" t="s">
        <v>395</v>
      </c>
      <c r="H556" s="318" t="s">
        <v>395</v>
      </c>
      <c r="I556" s="318" t="s">
        <v>406</v>
      </c>
      <c r="J556" s="318">
        <v>7</v>
      </c>
      <c r="K556" s="317" t="s">
        <v>410</v>
      </c>
      <c r="L556" s="317">
        <v>47.224829999999997</v>
      </c>
      <c r="M556" s="317">
        <v>39.76793</v>
      </c>
    </row>
    <row r="557" spans="1:13" ht="45" hidden="1" x14ac:dyDescent="0.25">
      <c r="A557" s="313">
        <f t="shared" si="8"/>
        <v>556</v>
      </c>
      <c r="B557" s="314" t="s">
        <v>2817</v>
      </c>
      <c r="C557" s="315" t="s">
        <v>393</v>
      </c>
      <c r="D557" s="316" t="s">
        <v>2818</v>
      </c>
      <c r="E557" s="318">
        <v>1.08</v>
      </c>
      <c r="F557" s="318" t="s">
        <v>395</v>
      </c>
      <c r="G557" s="318" t="s">
        <v>395</v>
      </c>
      <c r="H557" s="318" t="s">
        <v>395</v>
      </c>
      <c r="I557" s="318" t="s">
        <v>406</v>
      </c>
      <c r="J557" s="318">
        <v>4</v>
      </c>
      <c r="K557" s="317" t="s">
        <v>410</v>
      </c>
      <c r="L557" s="317">
        <v>47.219329999999999</v>
      </c>
      <c r="M557" s="317">
        <v>39.735860000000002</v>
      </c>
    </row>
    <row r="558" spans="1:13" ht="45" hidden="1" x14ac:dyDescent="0.25">
      <c r="A558" s="313">
        <f t="shared" si="8"/>
        <v>557</v>
      </c>
      <c r="B558" s="314" t="s">
        <v>2820</v>
      </c>
      <c r="C558" s="315" t="s">
        <v>412</v>
      </c>
      <c r="D558" s="316" t="s">
        <v>2822</v>
      </c>
      <c r="E558" s="318">
        <v>1.22</v>
      </c>
      <c r="F558" s="318" t="s">
        <v>395</v>
      </c>
      <c r="G558" s="318" t="s">
        <v>395</v>
      </c>
      <c r="H558" s="318" t="s">
        <v>395</v>
      </c>
      <c r="I558" s="318" t="s">
        <v>406</v>
      </c>
      <c r="J558" s="318">
        <v>11</v>
      </c>
      <c r="K558" s="317" t="s">
        <v>410</v>
      </c>
      <c r="L558" s="317">
        <v>47.205370000000002</v>
      </c>
      <c r="M558" s="317">
        <v>39.766390000000001</v>
      </c>
    </row>
    <row r="559" spans="1:13" ht="30" hidden="1" x14ac:dyDescent="0.25">
      <c r="A559" s="313">
        <f t="shared" si="8"/>
        <v>558</v>
      </c>
      <c r="B559" s="314" t="s">
        <v>2825</v>
      </c>
      <c r="C559" s="315" t="s">
        <v>399</v>
      </c>
      <c r="D559" s="316" t="s">
        <v>2827</v>
      </c>
      <c r="E559" s="318">
        <v>1.08</v>
      </c>
      <c r="F559" s="318" t="s">
        <v>395</v>
      </c>
      <c r="G559" s="318" t="s">
        <v>395</v>
      </c>
      <c r="H559" s="318" t="s">
        <v>395</v>
      </c>
      <c r="I559" s="318" t="s">
        <v>406</v>
      </c>
      <c r="J559" s="318">
        <v>4</v>
      </c>
      <c r="K559" s="317" t="s">
        <v>410</v>
      </c>
      <c r="L559" s="317">
        <v>47.213189999999997</v>
      </c>
      <c r="M559" s="317">
        <v>39.710639999999998</v>
      </c>
    </row>
    <row r="560" spans="1:13" ht="30" hidden="1" x14ac:dyDescent="0.25">
      <c r="A560" s="313">
        <f t="shared" si="8"/>
        <v>559</v>
      </c>
      <c r="B560" s="314" t="s">
        <v>2829</v>
      </c>
      <c r="C560" s="315" t="s">
        <v>399</v>
      </c>
      <c r="D560" s="316" t="s">
        <v>2831</v>
      </c>
      <c r="E560" s="318">
        <v>1.1599999999999999</v>
      </c>
      <c r="F560" s="318" t="s">
        <v>395</v>
      </c>
      <c r="G560" s="318" t="s">
        <v>395</v>
      </c>
      <c r="H560" s="318" t="s">
        <v>395</v>
      </c>
      <c r="I560" s="318" t="s">
        <v>406</v>
      </c>
      <c r="J560" s="318">
        <v>8</v>
      </c>
      <c r="K560" s="317" t="s">
        <v>410</v>
      </c>
      <c r="L560" s="317">
        <v>47.281849999999999</v>
      </c>
      <c r="M560" s="317">
        <v>39.708069999999999</v>
      </c>
    </row>
    <row r="561" spans="1:13" ht="60" hidden="1" x14ac:dyDescent="0.25">
      <c r="A561" s="313">
        <f t="shared" si="8"/>
        <v>560</v>
      </c>
      <c r="B561" s="314" t="s">
        <v>2834</v>
      </c>
      <c r="C561" s="315" t="s">
        <v>408</v>
      </c>
      <c r="D561" s="316" t="s">
        <v>2835</v>
      </c>
      <c r="E561" s="318">
        <v>1.1599999999999999</v>
      </c>
      <c r="F561" s="318" t="s">
        <v>395</v>
      </c>
      <c r="G561" s="318" t="s">
        <v>395</v>
      </c>
      <c r="H561" s="318" t="s">
        <v>395</v>
      </c>
      <c r="I561" s="318" t="s">
        <v>406</v>
      </c>
      <c r="J561" s="318">
        <v>8</v>
      </c>
      <c r="K561" s="317" t="s">
        <v>410</v>
      </c>
      <c r="L561" s="317">
        <v>47.239049999999999</v>
      </c>
      <c r="M561" s="317">
        <v>39.814030000000002</v>
      </c>
    </row>
    <row r="562" spans="1:13" ht="30" hidden="1" x14ac:dyDescent="0.25">
      <c r="A562" s="313">
        <f t="shared" si="8"/>
        <v>561</v>
      </c>
      <c r="B562" s="314" t="s">
        <v>2838</v>
      </c>
      <c r="C562" s="315" t="s">
        <v>399</v>
      </c>
      <c r="D562" s="316" t="s">
        <v>2839</v>
      </c>
      <c r="E562" s="318">
        <v>1.1399999999999999</v>
      </c>
      <c r="F562" s="318" t="s">
        <v>395</v>
      </c>
      <c r="G562" s="318" t="s">
        <v>395</v>
      </c>
      <c r="H562" s="318" t="s">
        <v>395</v>
      </c>
      <c r="I562" s="318" t="s">
        <v>406</v>
      </c>
      <c r="J562" s="318">
        <v>7</v>
      </c>
      <c r="K562" s="317" t="s">
        <v>410</v>
      </c>
      <c r="L562" s="317">
        <v>47.231949999999998</v>
      </c>
      <c r="M562" s="317">
        <v>39.801990000000004</v>
      </c>
    </row>
    <row r="563" spans="1:13" ht="45" hidden="1" x14ac:dyDescent="0.25">
      <c r="A563" s="313">
        <f t="shared" si="8"/>
        <v>562</v>
      </c>
      <c r="B563" s="314" t="s">
        <v>2842</v>
      </c>
      <c r="C563" s="315" t="s">
        <v>412</v>
      </c>
      <c r="D563" s="316" t="s">
        <v>2843</v>
      </c>
      <c r="E563" s="318">
        <v>1.18</v>
      </c>
      <c r="F563" s="318" t="s">
        <v>395</v>
      </c>
      <c r="G563" s="318" t="s">
        <v>395</v>
      </c>
      <c r="H563" s="318" t="s">
        <v>395</v>
      </c>
      <c r="I563" s="318" t="s">
        <v>406</v>
      </c>
      <c r="J563" s="318">
        <v>9</v>
      </c>
      <c r="K563" s="317" t="s">
        <v>410</v>
      </c>
      <c r="L563" s="317">
        <v>47.236069999999998</v>
      </c>
      <c r="M563" s="317">
        <v>39.82817</v>
      </c>
    </row>
    <row r="564" spans="1:13" ht="60" hidden="1" x14ac:dyDescent="0.25">
      <c r="A564" s="313">
        <f t="shared" si="8"/>
        <v>563</v>
      </c>
      <c r="B564" s="314" t="s">
        <v>2846</v>
      </c>
      <c r="C564" s="315" t="s">
        <v>447</v>
      </c>
      <c r="D564" s="316" t="s">
        <v>2847</v>
      </c>
      <c r="E564" s="318">
        <v>1.32</v>
      </c>
      <c r="F564" s="318" t="s">
        <v>395</v>
      </c>
      <c r="G564" s="318" t="s">
        <v>395</v>
      </c>
      <c r="H564" s="318" t="s">
        <v>395</v>
      </c>
      <c r="I564" s="318" t="s">
        <v>406</v>
      </c>
      <c r="J564" s="318">
        <v>16</v>
      </c>
      <c r="K564" s="317" t="s">
        <v>410</v>
      </c>
      <c r="L564" s="317">
        <v>47.257040000000003</v>
      </c>
      <c r="M564" s="317">
        <v>39.878129999999999</v>
      </c>
    </row>
    <row r="565" spans="1:13" ht="75" hidden="1" x14ac:dyDescent="0.25">
      <c r="A565" s="313">
        <f t="shared" si="8"/>
        <v>564</v>
      </c>
      <c r="B565" s="314" t="s">
        <v>2850</v>
      </c>
      <c r="C565" s="315" t="s">
        <v>428</v>
      </c>
      <c r="D565" s="316" t="s">
        <v>2851</v>
      </c>
      <c r="E565" s="318">
        <v>1.28</v>
      </c>
      <c r="F565" s="318" t="s">
        <v>395</v>
      </c>
      <c r="G565" s="318" t="s">
        <v>395</v>
      </c>
      <c r="H565" s="318" t="s">
        <v>395</v>
      </c>
      <c r="I565" s="318" t="s">
        <v>406</v>
      </c>
      <c r="J565" s="318">
        <v>14</v>
      </c>
      <c r="K565" s="317" t="s">
        <v>410</v>
      </c>
      <c r="L565" s="317">
        <v>47.278689999999997</v>
      </c>
      <c r="M565" s="317">
        <v>39.892110000000002</v>
      </c>
    </row>
    <row r="566" spans="1:13" ht="45" hidden="1" x14ac:dyDescent="0.25">
      <c r="A566" s="313">
        <f t="shared" si="8"/>
        <v>565</v>
      </c>
      <c r="B566" s="314" t="s">
        <v>2854</v>
      </c>
      <c r="C566" s="315" t="s">
        <v>412</v>
      </c>
      <c r="D566" s="316" t="s">
        <v>2855</v>
      </c>
      <c r="E566" s="318">
        <v>1.7</v>
      </c>
      <c r="F566" s="318" t="s">
        <v>395</v>
      </c>
      <c r="G566" s="318" t="s">
        <v>395</v>
      </c>
      <c r="H566" s="318" t="s">
        <v>395</v>
      </c>
      <c r="I566" s="318" t="s">
        <v>406</v>
      </c>
      <c r="J566" s="318">
        <v>35</v>
      </c>
      <c r="K566" s="317" t="s">
        <v>410</v>
      </c>
      <c r="L566" s="317">
        <v>47.343609999999998</v>
      </c>
      <c r="M566" s="317">
        <v>39.844999999999999</v>
      </c>
    </row>
    <row r="567" spans="1:13" ht="30" hidden="1" x14ac:dyDescent="0.25">
      <c r="A567" s="313">
        <f t="shared" si="8"/>
        <v>566</v>
      </c>
      <c r="B567" s="314" t="s">
        <v>2858</v>
      </c>
      <c r="C567" s="315" t="s">
        <v>399</v>
      </c>
      <c r="D567" s="316" t="s">
        <v>2859</v>
      </c>
      <c r="E567" s="318">
        <v>1.06</v>
      </c>
      <c r="F567" s="318" t="s">
        <v>395</v>
      </c>
      <c r="G567" s="318" t="s">
        <v>395</v>
      </c>
      <c r="H567" s="318" t="s">
        <v>395</v>
      </c>
      <c r="I567" s="318" t="s">
        <v>406</v>
      </c>
      <c r="J567" s="318">
        <v>3</v>
      </c>
      <c r="K567" s="317" t="s">
        <v>410</v>
      </c>
      <c r="L567" s="317">
        <v>47.228560000000002</v>
      </c>
      <c r="M567" s="317">
        <v>39.721359999999997</v>
      </c>
    </row>
    <row r="568" spans="1:13" ht="45" hidden="1" x14ac:dyDescent="0.25">
      <c r="A568" s="313">
        <f t="shared" si="8"/>
        <v>567</v>
      </c>
      <c r="B568" s="314" t="s">
        <v>2862</v>
      </c>
      <c r="C568" s="315" t="s">
        <v>393</v>
      </c>
      <c r="D568" s="316" t="s">
        <v>2863</v>
      </c>
      <c r="E568" s="318">
        <v>1.1000000000000001</v>
      </c>
      <c r="F568" s="318" t="s">
        <v>395</v>
      </c>
      <c r="G568" s="318" t="s">
        <v>395</v>
      </c>
      <c r="H568" s="318" t="s">
        <v>395</v>
      </c>
      <c r="I568" s="318" t="s">
        <v>406</v>
      </c>
      <c r="J568" s="318">
        <v>5</v>
      </c>
      <c r="K568" s="317" t="s">
        <v>410</v>
      </c>
      <c r="L568" s="317">
        <v>47.218440000000001</v>
      </c>
      <c r="M568" s="317">
        <v>39.711109999999998</v>
      </c>
    </row>
    <row r="569" spans="1:13" ht="30" hidden="1" x14ac:dyDescent="0.25">
      <c r="A569" s="313">
        <f t="shared" si="8"/>
        <v>568</v>
      </c>
      <c r="B569" s="314" t="s">
        <v>2866</v>
      </c>
      <c r="C569" s="315" t="s">
        <v>399</v>
      </c>
      <c r="D569" s="316" t="s">
        <v>2867</v>
      </c>
      <c r="E569" s="318">
        <v>1.08</v>
      </c>
      <c r="F569" s="318" t="s">
        <v>395</v>
      </c>
      <c r="G569" s="318" t="s">
        <v>395</v>
      </c>
      <c r="H569" s="318" t="s">
        <v>395</v>
      </c>
      <c r="I569" s="318" t="s">
        <v>406</v>
      </c>
      <c r="J569" s="318">
        <v>4</v>
      </c>
      <c r="K569" s="317" t="s">
        <v>410</v>
      </c>
      <c r="L569" s="317">
        <v>47.26014</v>
      </c>
      <c r="M569" s="317">
        <v>39.718870000000003</v>
      </c>
    </row>
    <row r="570" spans="1:13" ht="75" hidden="1" x14ac:dyDescent="0.25">
      <c r="A570" s="313">
        <f t="shared" si="8"/>
        <v>569</v>
      </c>
      <c r="B570" s="314" t="s">
        <v>2870</v>
      </c>
      <c r="C570" s="315" t="s">
        <v>428</v>
      </c>
      <c r="D570" s="316" t="s">
        <v>2871</v>
      </c>
      <c r="E570" s="318">
        <v>1.2</v>
      </c>
      <c r="F570" s="318" t="s">
        <v>395</v>
      </c>
      <c r="G570" s="318" t="s">
        <v>395</v>
      </c>
      <c r="H570" s="318" t="s">
        <v>395</v>
      </c>
      <c r="I570" s="318" t="s">
        <v>406</v>
      </c>
      <c r="J570" s="318">
        <v>10</v>
      </c>
      <c r="K570" s="317" t="s">
        <v>410</v>
      </c>
      <c r="L570" s="317">
        <v>47.258699999999997</v>
      </c>
      <c r="M570" s="317">
        <v>39.782539999999997</v>
      </c>
    </row>
    <row r="571" spans="1:13" ht="45" hidden="1" x14ac:dyDescent="0.25">
      <c r="A571" s="313">
        <f t="shared" si="8"/>
        <v>570</v>
      </c>
      <c r="B571" s="314" t="s">
        <v>2874</v>
      </c>
      <c r="C571" s="315" t="s">
        <v>412</v>
      </c>
      <c r="D571" s="316" t="s">
        <v>2875</v>
      </c>
      <c r="E571" s="318">
        <v>1.08</v>
      </c>
      <c r="F571" s="318" t="s">
        <v>395</v>
      </c>
      <c r="G571" s="318" t="s">
        <v>395</v>
      </c>
      <c r="H571" s="318" t="s">
        <v>395</v>
      </c>
      <c r="I571" s="318" t="s">
        <v>406</v>
      </c>
      <c r="J571" s="318">
        <v>4</v>
      </c>
      <c r="K571" s="317" t="s">
        <v>410</v>
      </c>
      <c r="L571" s="317">
        <v>47.22466</v>
      </c>
      <c r="M571" s="317">
        <v>39.706530000000001</v>
      </c>
    </row>
    <row r="572" spans="1:13" ht="30" hidden="1" x14ac:dyDescent="0.25">
      <c r="A572" s="313">
        <f t="shared" si="8"/>
        <v>571</v>
      </c>
      <c r="B572" s="314" t="s">
        <v>2878</v>
      </c>
      <c r="C572" s="315" t="s">
        <v>399</v>
      </c>
      <c r="D572" s="316" t="s">
        <v>2879</v>
      </c>
      <c r="E572" s="318">
        <v>1.08</v>
      </c>
      <c r="F572" s="318" t="s">
        <v>395</v>
      </c>
      <c r="G572" s="318" t="s">
        <v>395</v>
      </c>
      <c r="H572" s="318" t="s">
        <v>395</v>
      </c>
      <c r="I572" s="318" t="s">
        <v>406</v>
      </c>
      <c r="J572" s="318">
        <v>4</v>
      </c>
      <c r="K572" s="317" t="s">
        <v>410</v>
      </c>
      <c r="L572" s="317">
        <v>47.22439</v>
      </c>
      <c r="M572" s="317">
        <v>39.713529999999999</v>
      </c>
    </row>
    <row r="573" spans="1:13" ht="30" hidden="1" x14ac:dyDescent="0.25">
      <c r="A573" s="313">
        <f t="shared" si="8"/>
        <v>572</v>
      </c>
      <c r="B573" s="314" t="s">
        <v>2882</v>
      </c>
      <c r="C573" s="315" t="s">
        <v>399</v>
      </c>
      <c r="D573" s="316" t="s">
        <v>2883</v>
      </c>
      <c r="E573" s="318">
        <v>1.06</v>
      </c>
      <c r="F573" s="318" t="s">
        <v>395</v>
      </c>
      <c r="G573" s="318" t="s">
        <v>395</v>
      </c>
      <c r="H573" s="318" t="s">
        <v>395</v>
      </c>
      <c r="I573" s="318" t="s">
        <v>406</v>
      </c>
      <c r="J573" s="318">
        <v>3</v>
      </c>
      <c r="K573" s="317" t="s">
        <v>410</v>
      </c>
      <c r="L573" s="317">
        <v>47.229840000000003</v>
      </c>
      <c r="M573" s="317">
        <v>39.707039999999999</v>
      </c>
    </row>
    <row r="574" spans="1:13" ht="30" hidden="1" x14ac:dyDescent="0.25">
      <c r="A574" s="313">
        <f t="shared" si="8"/>
        <v>573</v>
      </c>
      <c r="B574" s="314" t="s">
        <v>2886</v>
      </c>
      <c r="C574" s="315" t="s">
        <v>399</v>
      </c>
      <c r="D574" s="316" t="s">
        <v>2887</v>
      </c>
      <c r="E574" s="318">
        <v>1.04</v>
      </c>
      <c r="F574" s="318" t="s">
        <v>395</v>
      </c>
      <c r="G574" s="318" t="s">
        <v>395</v>
      </c>
      <c r="H574" s="318" t="s">
        <v>395</v>
      </c>
      <c r="I574" s="318" t="s">
        <v>406</v>
      </c>
      <c r="J574" s="318">
        <v>2</v>
      </c>
      <c r="K574" s="317" t="s">
        <v>410</v>
      </c>
      <c r="L574" s="317">
        <v>47.226039999999998</v>
      </c>
      <c r="M574" s="317">
        <v>39.733800000000002</v>
      </c>
    </row>
    <row r="575" spans="1:13" ht="45" hidden="1" x14ac:dyDescent="0.25">
      <c r="A575" s="313">
        <f t="shared" si="8"/>
        <v>574</v>
      </c>
      <c r="B575" s="314" t="s">
        <v>2890</v>
      </c>
      <c r="C575" s="315" t="s">
        <v>412</v>
      </c>
      <c r="D575" s="316" t="s">
        <v>2891</v>
      </c>
      <c r="E575" s="318">
        <v>1.08</v>
      </c>
      <c r="F575" s="318" t="s">
        <v>395</v>
      </c>
      <c r="G575" s="318" t="s">
        <v>395</v>
      </c>
      <c r="H575" s="318" t="s">
        <v>395</v>
      </c>
      <c r="I575" s="318" t="s">
        <v>406</v>
      </c>
      <c r="J575" s="318">
        <v>4</v>
      </c>
      <c r="K575" s="317" t="s">
        <v>410</v>
      </c>
      <c r="L575" s="317">
        <v>47.229329999999997</v>
      </c>
      <c r="M575" s="317">
        <v>39.764060000000001</v>
      </c>
    </row>
    <row r="576" spans="1:13" ht="75" hidden="1" x14ac:dyDescent="0.25">
      <c r="A576" s="313">
        <f t="shared" si="8"/>
        <v>575</v>
      </c>
      <c r="B576" s="314" t="s">
        <v>2894</v>
      </c>
      <c r="C576" s="315" t="s">
        <v>428</v>
      </c>
      <c r="D576" s="316" t="s">
        <v>2895</v>
      </c>
      <c r="E576" s="318">
        <v>1.06</v>
      </c>
      <c r="F576" s="318" t="s">
        <v>395</v>
      </c>
      <c r="G576" s="318" t="s">
        <v>395</v>
      </c>
      <c r="H576" s="318" t="s">
        <v>395</v>
      </c>
      <c r="I576" s="318" t="s">
        <v>406</v>
      </c>
      <c r="J576" s="318">
        <v>3</v>
      </c>
      <c r="K576" s="317" t="s">
        <v>410</v>
      </c>
      <c r="L576" s="317">
        <v>47.242559999999997</v>
      </c>
      <c r="M576" s="317">
        <v>39.708440000000003</v>
      </c>
    </row>
    <row r="577" spans="1:13" ht="60" hidden="1" x14ac:dyDescent="0.25">
      <c r="A577" s="313">
        <f t="shared" si="8"/>
        <v>576</v>
      </c>
      <c r="B577" s="314" t="s">
        <v>2898</v>
      </c>
      <c r="C577" s="315" t="s">
        <v>408</v>
      </c>
      <c r="D577" s="316" t="s">
        <v>2899</v>
      </c>
      <c r="E577" s="318">
        <v>1.04</v>
      </c>
      <c r="F577" s="318" t="s">
        <v>395</v>
      </c>
      <c r="G577" s="318" t="s">
        <v>395</v>
      </c>
      <c r="H577" s="318" t="s">
        <v>395</v>
      </c>
      <c r="I577" s="318" t="s">
        <v>406</v>
      </c>
      <c r="J577" s="318">
        <v>2</v>
      </c>
      <c r="K577" s="317" t="s">
        <v>410</v>
      </c>
      <c r="L577" s="317">
        <v>47.239719999999998</v>
      </c>
      <c r="M577" s="317">
        <v>39.720190000000002</v>
      </c>
    </row>
    <row r="578" spans="1:13" ht="30" hidden="1" x14ac:dyDescent="0.25">
      <c r="A578" s="313">
        <f t="shared" si="8"/>
        <v>577</v>
      </c>
      <c r="B578" s="314" t="s">
        <v>2902</v>
      </c>
      <c r="C578" s="315" t="s">
        <v>399</v>
      </c>
      <c r="D578" s="316" t="s">
        <v>2903</v>
      </c>
      <c r="E578" s="318">
        <v>1.08</v>
      </c>
      <c r="F578" s="318" t="s">
        <v>395</v>
      </c>
      <c r="G578" s="318" t="s">
        <v>395</v>
      </c>
      <c r="H578" s="318" t="s">
        <v>395</v>
      </c>
      <c r="I578" s="318" t="s">
        <v>406</v>
      </c>
      <c r="J578" s="318">
        <v>4</v>
      </c>
      <c r="K578" s="317" t="s">
        <v>410</v>
      </c>
      <c r="L578" s="317">
        <v>47.259189999999997</v>
      </c>
      <c r="M578" s="317">
        <v>39.71407</v>
      </c>
    </row>
    <row r="579" spans="1:13" ht="30" hidden="1" x14ac:dyDescent="0.25">
      <c r="A579" s="313">
        <f t="shared" si="8"/>
        <v>578</v>
      </c>
      <c r="B579" s="314" t="s">
        <v>2906</v>
      </c>
      <c r="C579" s="315" t="s">
        <v>399</v>
      </c>
      <c r="D579" s="316" t="s">
        <v>2907</v>
      </c>
      <c r="E579" s="318">
        <v>1.1200000000000001</v>
      </c>
      <c r="F579" s="318" t="s">
        <v>395</v>
      </c>
      <c r="G579" s="318" t="s">
        <v>395</v>
      </c>
      <c r="H579" s="318" t="s">
        <v>395</v>
      </c>
      <c r="I579" s="318" t="s">
        <v>406</v>
      </c>
      <c r="J579" s="318">
        <v>6</v>
      </c>
      <c r="K579" s="317" t="s">
        <v>410</v>
      </c>
      <c r="L579" s="317">
        <v>47.251570000000001</v>
      </c>
      <c r="M579" s="317">
        <v>39.722679999999997</v>
      </c>
    </row>
    <row r="580" spans="1:13" ht="75" hidden="1" x14ac:dyDescent="0.25">
      <c r="A580" s="313">
        <f t="shared" ref="A580:A643" si="9">A579+1</f>
        <v>579</v>
      </c>
      <c r="B580" s="314" t="s">
        <v>2910</v>
      </c>
      <c r="C580" s="315" t="s">
        <v>428</v>
      </c>
      <c r="D580" s="316" t="s">
        <v>2911</v>
      </c>
      <c r="E580" s="318">
        <v>1.1399999999999999</v>
      </c>
      <c r="F580" s="318" t="s">
        <v>395</v>
      </c>
      <c r="G580" s="318" t="s">
        <v>395</v>
      </c>
      <c r="H580" s="318" t="s">
        <v>395</v>
      </c>
      <c r="I580" s="318" t="s">
        <v>406</v>
      </c>
      <c r="J580" s="318">
        <v>7</v>
      </c>
      <c r="K580" s="317" t="s">
        <v>410</v>
      </c>
      <c r="L580" s="317">
        <v>47.265830000000001</v>
      </c>
      <c r="M580" s="317">
        <v>39.775109999999998</v>
      </c>
    </row>
    <row r="581" spans="1:13" ht="75" hidden="1" x14ac:dyDescent="0.25">
      <c r="A581" s="313">
        <f t="shared" si="9"/>
        <v>580</v>
      </c>
      <c r="B581" s="314" t="s">
        <v>2914</v>
      </c>
      <c r="C581" s="315" t="s">
        <v>428</v>
      </c>
      <c r="D581" s="316" t="s">
        <v>2915</v>
      </c>
      <c r="E581" s="318">
        <v>1.18</v>
      </c>
      <c r="F581" s="318" t="s">
        <v>395</v>
      </c>
      <c r="G581" s="318" t="s">
        <v>395</v>
      </c>
      <c r="H581" s="318" t="s">
        <v>395</v>
      </c>
      <c r="I581" s="318" t="s">
        <v>406</v>
      </c>
      <c r="J581" s="318">
        <v>9</v>
      </c>
      <c r="K581" s="317" t="s">
        <v>410</v>
      </c>
      <c r="L581" s="317">
        <v>47.24183</v>
      </c>
      <c r="M581" s="317">
        <v>39.824530000000003</v>
      </c>
    </row>
    <row r="582" spans="1:13" ht="45" hidden="1" x14ac:dyDescent="0.25">
      <c r="A582" s="313">
        <f t="shared" si="9"/>
        <v>581</v>
      </c>
      <c r="B582" s="314" t="s">
        <v>2918</v>
      </c>
      <c r="C582" s="315" t="s">
        <v>412</v>
      </c>
      <c r="D582" s="316" t="s">
        <v>2919</v>
      </c>
      <c r="E582" s="318">
        <v>1.2</v>
      </c>
      <c r="F582" s="318" t="s">
        <v>395</v>
      </c>
      <c r="G582" s="318" t="s">
        <v>395</v>
      </c>
      <c r="H582" s="318" t="s">
        <v>395</v>
      </c>
      <c r="I582" s="318" t="s">
        <v>406</v>
      </c>
      <c r="J582" s="318">
        <v>10</v>
      </c>
      <c r="K582" s="317" t="s">
        <v>410</v>
      </c>
      <c r="L582" s="317">
        <v>47.292149999999999</v>
      </c>
      <c r="M582" s="317">
        <v>39.733960000000003</v>
      </c>
    </row>
    <row r="583" spans="1:13" ht="75" hidden="1" x14ac:dyDescent="0.25">
      <c r="A583" s="313">
        <f t="shared" si="9"/>
        <v>582</v>
      </c>
      <c r="B583" s="314" t="s">
        <v>2922</v>
      </c>
      <c r="C583" s="315" t="s">
        <v>428</v>
      </c>
      <c r="D583" s="316" t="s">
        <v>2923</v>
      </c>
      <c r="E583" s="318">
        <v>1.24</v>
      </c>
      <c r="F583" s="318" t="s">
        <v>395</v>
      </c>
      <c r="G583" s="318" t="s">
        <v>395</v>
      </c>
      <c r="H583" s="318" t="s">
        <v>395</v>
      </c>
      <c r="I583" s="318" t="s">
        <v>406</v>
      </c>
      <c r="J583" s="318">
        <v>12</v>
      </c>
      <c r="K583" s="317" t="s">
        <v>410</v>
      </c>
      <c r="L583" s="317">
        <v>47.286499999999997</v>
      </c>
      <c r="M583" s="317">
        <v>39.849670000000003</v>
      </c>
    </row>
    <row r="584" spans="1:13" ht="30" hidden="1" x14ac:dyDescent="0.25">
      <c r="A584" s="313">
        <f t="shared" si="9"/>
        <v>583</v>
      </c>
      <c r="B584" s="314" t="s">
        <v>2926</v>
      </c>
      <c r="C584" s="315" t="s">
        <v>399</v>
      </c>
      <c r="D584" s="316" t="s">
        <v>2927</v>
      </c>
      <c r="E584" s="318">
        <v>1.1200000000000001</v>
      </c>
      <c r="F584" s="318" t="s">
        <v>395</v>
      </c>
      <c r="G584" s="318" t="s">
        <v>395</v>
      </c>
      <c r="H584" s="318" t="s">
        <v>395</v>
      </c>
      <c r="I584" s="318" t="s">
        <v>406</v>
      </c>
      <c r="J584" s="318">
        <v>6</v>
      </c>
      <c r="K584" s="317" t="s">
        <v>410</v>
      </c>
      <c r="L584" s="317">
        <v>47.215000000000003</v>
      </c>
      <c r="M584" s="317">
        <v>39.700530000000001</v>
      </c>
    </row>
    <row r="585" spans="1:13" ht="30" hidden="1" x14ac:dyDescent="0.25">
      <c r="A585" s="313">
        <f t="shared" si="9"/>
        <v>584</v>
      </c>
      <c r="B585" s="314" t="s">
        <v>2930</v>
      </c>
      <c r="C585" s="315" t="s">
        <v>399</v>
      </c>
      <c r="D585" s="316" t="s">
        <v>2931</v>
      </c>
      <c r="E585" s="318">
        <v>1.08</v>
      </c>
      <c r="F585" s="318" t="s">
        <v>395</v>
      </c>
      <c r="G585" s="318" t="s">
        <v>395</v>
      </c>
      <c r="H585" s="318" t="s">
        <v>395</v>
      </c>
      <c r="I585" s="318" t="s">
        <v>406</v>
      </c>
      <c r="J585" s="318">
        <v>4</v>
      </c>
      <c r="K585" s="317" t="s">
        <v>410</v>
      </c>
      <c r="L585" s="317">
        <v>47.225749999999998</v>
      </c>
      <c r="M585" s="317">
        <v>39.703890000000001</v>
      </c>
    </row>
    <row r="586" spans="1:13" ht="60" hidden="1" x14ac:dyDescent="0.25">
      <c r="A586" s="313">
        <f t="shared" si="9"/>
        <v>585</v>
      </c>
      <c r="B586" s="314" t="s">
        <v>2934</v>
      </c>
      <c r="C586" s="315" t="s">
        <v>408</v>
      </c>
      <c r="D586" s="316" t="s">
        <v>2935</v>
      </c>
      <c r="E586" s="318">
        <v>1.04</v>
      </c>
      <c r="F586" s="318" t="s">
        <v>395</v>
      </c>
      <c r="G586" s="318" t="s">
        <v>395</v>
      </c>
      <c r="H586" s="318" t="s">
        <v>395</v>
      </c>
      <c r="I586" s="318" t="s">
        <v>406</v>
      </c>
      <c r="J586" s="318">
        <v>2</v>
      </c>
      <c r="K586" s="317" t="s">
        <v>410</v>
      </c>
      <c r="L586" s="317">
        <v>47.234110000000001</v>
      </c>
      <c r="M586" s="317">
        <v>39.734720000000003</v>
      </c>
    </row>
    <row r="587" spans="1:13" ht="75" hidden="1" x14ac:dyDescent="0.25">
      <c r="A587" s="313">
        <f t="shared" si="9"/>
        <v>586</v>
      </c>
      <c r="B587" s="314" t="s">
        <v>2938</v>
      </c>
      <c r="C587" s="315" t="s">
        <v>428</v>
      </c>
      <c r="D587" s="316" t="s">
        <v>2939</v>
      </c>
      <c r="E587" s="318">
        <v>1.1200000000000001</v>
      </c>
      <c r="F587" s="318" t="s">
        <v>395</v>
      </c>
      <c r="G587" s="318" t="s">
        <v>395</v>
      </c>
      <c r="H587" s="318" t="s">
        <v>395</v>
      </c>
      <c r="I587" s="318" t="s">
        <v>406</v>
      </c>
      <c r="J587" s="318">
        <v>6</v>
      </c>
      <c r="K587" s="317" t="s">
        <v>410</v>
      </c>
      <c r="L587" s="317">
        <v>47.271940000000001</v>
      </c>
      <c r="M587" s="317">
        <v>39.757280000000002</v>
      </c>
    </row>
    <row r="588" spans="1:13" ht="75" hidden="1" x14ac:dyDescent="0.25">
      <c r="A588" s="313">
        <f t="shared" si="9"/>
        <v>587</v>
      </c>
      <c r="B588" s="314" t="s">
        <v>2942</v>
      </c>
      <c r="C588" s="315" t="s">
        <v>428</v>
      </c>
      <c r="D588" s="316" t="s">
        <v>2943</v>
      </c>
      <c r="E588" s="318">
        <v>1.1599999999999999</v>
      </c>
      <c r="F588" s="318" t="s">
        <v>395</v>
      </c>
      <c r="G588" s="318" t="s">
        <v>395</v>
      </c>
      <c r="H588" s="318" t="s">
        <v>395</v>
      </c>
      <c r="I588" s="318" t="s">
        <v>406</v>
      </c>
      <c r="J588" s="318">
        <v>8</v>
      </c>
      <c r="K588" s="317" t="s">
        <v>410</v>
      </c>
      <c r="L588" s="317">
        <v>47.282780000000002</v>
      </c>
      <c r="M588" s="317">
        <v>39.733890000000002</v>
      </c>
    </row>
    <row r="589" spans="1:13" ht="60" hidden="1" x14ac:dyDescent="0.25">
      <c r="A589" s="313">
        <f t="shared" si="9"/>
        <v>588</v>
      </c>
      <c r="B589" s="314" t="s">
        <v>2946</v>
      </c>
      <c r="C589" s="315" t="s">
        <v>447</v>
      </c>
      <c r="D589" s="316" t="s">
        <v>2947</v>
      </c>
      <c r="E589" s="318">
        <v>1.06</v>
      </c>
      <c r="F589" s="318" t="s">
        <v>395</v>
      </c>
      <c r="G589" s="318" t="s">
        <v>395</v>
      </c>
      <c r="H589" s="318" t="s">
        <v>395</v>
      </c>
      <c r="I589" s="318" t="s">
        <v>406</v>
      </c>
      <c r="J589" s="318">
        <v>3</v>
      </c>
      <c r="K589" s="317" t="s">
        <v>410</v>
      </c>
      <c r="L589" s="317">
        <v>47.229559999999999</v>
      </c>
      <c r="M589" s="317">
        <v>39.728400000000001</v>
      </c>
    </row>
    <row r="590" spans="1:13" ht="75" hidden="1" x14ac:dyDescent="0.25">
      <c r="A590" s="313">
        <f t="shared" si="9"/>
        <v>589</v>
      </c>
      <c r="B590" s="314" t="s">
        <v>2950</v>
      </c>
      <c r="C590" s="315" t="s">
        <v>428</v>
      </c>
      <c r="D590" s="316" t="s">
        <v>2951</v>
      </c>
      <c r="E590" s="318">
        <v>1.2</v>
      </c>
      <c r="F590" s="318" t="s">
        <v>395</v>
      </c>
      <c r="G590" s="318" t="s">
        <v>395</v>
      </c>
      <c r="H590" s="318" t="s">
        <v>395</v>
      </c>
      <c r="I590" s="318" t="s">
        <v>406</v>
      </c>
      <c r="J590" s="318">
        <v>10</v>
      </c>
      <c r="K590" s="317" t="s">
        <v>410</v>
      </c>
      <c r="L590" s="317">
        <v>47.19511</v>
      </c>
      <c r="M590" s="317">
        <v>39.6935</v>
      </c>
    </row>
    <row r="591" spans="1:13" ht="60" hidden="1" x14ac:dyDescent="0.25">
      <c r="A591" s="313">
        <f t="shared" si="9"/>
        <v>590</v>
      </c>
      <c r="B591" s="314" t="s">
        <v>2954</v>
      </c>
      <c r="C591" s="315" t="s">
        <v>408</v>
      </c>
      <c r="D591" s="316" t="s">
        <v>2955</v>
      </c>
      <c r="E591" s="318">
        <v>1.1200000000000001</v>
      </c>
      <c r="F591" s="318" t="s">
        <v>395</v>
      </c>
      <c r="G591" s="318" t="s">
        <v>395</v>
      </c>
      <c r="H591" s="318" t="s">
        <v>395</v>
      </c>
      <c r="I591" s="318" t="s">
        <v>406</v>
      </c>
      <c r="J591" s="318">
        <v>6</v>
      </c>
      <c r="K591" s="317" t="s">
        <v>410</v>
      </c>
      <c r="L591" s="317">
        <v>47.250999999999998</v>
      </c>
      <c r="M591" s="317">
        <v>39.706969999999998</v>
      </c>
    </row>
    <row r="592" spans="1:13" ht="75" hidden="1" x14ac:dyDescent="0.25">
      <c r="A592" s="313">
        <f t="shared" si="9"/>
        <v>591</v>
      </c>
      <c r="B592" s="314" t="s">
        <v>2958</v>
      </c>
      <c r="C592" s="315" t="s">
        <v>428</v>
      </c>
      <c r="D592" s="316" t="s">
        <v>2959</v>
      </c>
      <c r="E592" s="318">
        <v>1.1000000000000001</v>
      </c>
      <c r="F592" s="318" t="s">
        <v>395</v>
      </c>
      <c r="G592" s="318" t="s">
        <v>395</v>
      </c>
      <c r="H592" s="318" t="s">
        <v>395</v>
      </c>
      <c r="I592" s="318" t="s">
        <v>406</v>
      </c>
      <c r="J592" s="318">
        <v>5</v>
      </c>
      <c r="K592" s="317" t="s">
        <v>410</v>
      </c>
      <c r="L592" s="317">
        <v>47.245719999999999</v>
      </c>
      <c r="M592" s="317">
        <v>39.685890000000001</v>
      </c>
    </row>
    <row r="593" spans="1:13" ht="30" hidden="1" x14ac:dyDescent="0.25">
      <c r="A593" s="313">
        <f t="shared" si="9"/>
        <v>592</v>
      </c>
      <c r="B593" s="314" t="s">
        <v>2962</v>
      </c>
      <c r="C593" s="315" t="s">
        <v>399</v>
      </c>
      <c r="D593" s="316" t="s">
        <v>2963</v>
      </c>
      <c r="E593" s="318">
        <v>1.1399999999999999</v>
      </c>
      <c r="F593" s="318" t="s">
        <v>395</v>
      </c>
      <c r="G593" s="318" t="s">
        <v>395</v>
      </c>
      <c r="H593" s="318" t="s">
        <v>395</v>
      </c>
      <c r="I593" s="318" t="s">
        <v>406</v>
      </c>
      <c r="J593" s="318">
        <v>7</v>
      </c>
      <c r="K593" s="317" t="s">
        <v>410</v>
      </c>
      <c r="L593" s="317">
        <v>47.273609999999998</v>
      </c>
      <c r="M593" s="317">
        <v>39.714280000000002</v>
      </c>
    </row>
    <row r="594" spans="1:13" ht="45" hidden="1" x14ac:dyDescent="0.25">
      <c r="A594" s="313">
        <f t="shared" si="9"/>
        <v>593</v>
      </c>
      <c r="B594" s="314" t="s">
        <v>2966</v>
      </c>
      <c r="C594" s="315" t="s">
        <v>393</v>
      </c>
      <c r="D594" s="316" t="s">
        <v>2967</v>
      </c>
      <c r="E594" s="318">
        <v>1.22</v>
      </c>
      <c r="F594" s="318" t="s">
        <v>395</v>
      </c>
      <c r="G594" s="318" t="s">
        <v>395</v>
      </c>
      <c r="H594" s="318" t="s">
        <v>395</v>
      </c>
      <c r="I594" s="318" t="s">
        <v>406</v>
      </c>
      <c r="J594" s="318">
        <v>11</v>
      </c>
      <c r="K594" s="317" t="s">
        <v>410</v>
      </c>
      <c r="L594" s="317">
        <v>47.3</v>
      </c>
      <c r="M594" s="317">
        <v>39.724139999999998</v>
      </c>
    </row>
    <row r="595" spans="1:13" ht="45" hidden="1" x14ac:dyDescent="0.25">
      <c r="A595" s="313">
        <f t="shared" si="9"/>
        <v>594</v>
      </c>
      <c r="B595" s="314" t="s">
        <v>2970</v>
      </c>
      <c r="C595" s="315" t="s">
        <v>412</v>
      </c>
      <c r="D595" s="316" t="s">
        <v>2971</v>
      </c>
      <c r="E595" s="318">
        <v>1.2</v>
      </c>
      <c r="F595" s="318" t="s">
        <v>395</v>
      </c>
      <c r="G595" s="318" t="s">
        <v>395</v>
      </c>
      <c r="H595" s="318" t="s">
        <v>395</v>
      </c>
      <c r="I595" s="318" t="s">
        <v>406</v>
      </c>
      <c r="J595" s="318">
        <v>10</v>
      </c>
      <c r="K595" s="317" t="s">
        <v>410</v>
      </c>
      <c r="L595" s="317">
        <v>47.285539999999997</v>
      </c>
      <c r="M595" s="317">
        <v>39.759509999999999</v>
      </c>
    </row>
    <row r="596" spans="1:13" ht="75" hidden="1" x14ac:dyDescent="0.25">
      <c r="A596" s="313">
        <f t="shared" si="9"/>
        <v>595</v>
      </c>
      <c r="B596" s="314" t="s">
        <v>2974</v>
      </c>
      <c r="C596" s="315" t="s">
        <v>428</v>
      </c>
      <c r="D596" s="316" t="s">
        <v>2975</v>
      </c>
      <c r="E596" s="318">
        <v>1.2</v>
      </c>
      <c r="F596" s="318" t="s">
        <v>395</v>
      </c>
      <c r="G596" s="318" t="s">
        <v>395</v>
      </c>
      <c r="H596" s="318" t="s">
        <v>395</v>
      </c>
      <c r="I596" s="318" t="s">
        <v>406</v>
      </c>
      <c r="J596" s="318">
        <v>10</v>
      </c>
      <c r="K596" s="317" t="s">
        <v>410</v>
      </c>
      <c r="L596" s="317">
        <v>47.284970000000001</v>
      </c>
      <c r="M596" s="317">
        <v>39.799669999999999</v>
      </c>
    </row>
    <row r="597" spans="1:13" ht="75" hidden="1" x14ac:dyDescent="0.25">
      <c r="A597" s="313">
        <f t="shared" si="9"/>
        <v>596</v>
      </c>
      <c r="B597" s="314" t="s">
        <v>2978</v>
      </c>
      <c r="C597" s="315" t="s">
        <v>428</v>
      </c>
      <c r="D597" s="316" t="s">
        <v>2979</v>
      </c>
      <c r="E597" s="318">
        <v>1.1399999999999999</v>
      </c>
      <c r="F597" s="318" t="s">
        <v>395</v>
      </c>
      <c r="G597" s="318" t="s">
        <v>395</v>
      </c>
      <c r="H597" s="318" t="s">
        <v>395</v>
      </c>
      <c r="I597" s="318" t="s">
        <v>406</v>
      </c>
      <c r="J597" s="318">
        <v>7</v>
      </c>
      <c r="K597" s="317" t="s">
        <v>410</v>
      </c>
      <c r="L597" s="317">
        <v>47.261090000000003</v>
      </c>
      <c r="M597" s="317">
        <v>39.802689999999998</v>
      </c>
    </row>
    <row r="598" spans="1:13" ht="30" hidden="1" x14ac:dyDescent="0.25">
      <c r="A598" s="313">
        <f t="shared" si="9"/>
        <v>597</v>
      </c>
      <c r="B598" s="314" t="s">
        <v>2982</v>
      </c>
      <c r="C598" s="315" t="s">
        <v>399</v>
      </c>
      <c r="D598" s="316" t="s">
        <v>2983</v>
      </c>
      <c r="E598" s="318">
        <v>1.06</v>
      </c>
      <c r="F598" s="318" t="s">
        <v>395</v>
      </c>
      <c r="G598" s="318" t="s">
        <v>395</v>
      </c>
      <c r="H598" s="318" t="s">
        <v>395</v>
      </c>
      <c r="I598" s="318" t="s">
        <v>406</v>
      </c>
      <c r="J598" s="318">
        <v>3</v>
      </c>
      <c r="K598" s="317" t="s">
        <v>410</v>
      </c>
      <c r="L598" s="317">
        <v>47.244480000000003</v>
      </c>
      <c r="M598" s="317">
        <v>39.7654</v>
      </c>
    </row>
    <row r="599" spans="1:13" ht="75" hidden="1" x14ac:dyDescent="0.25">
      <c r="A599" s="313">
        <f t="shared" si="9"/>
        <v>598</v>
      </c>
      <c r="B599" s="314" t="s">
        <v>2986</v>
      </c>
      <c r="C599" s="315" t="s">
        <v>428</v>
      </c>
      <c r="D599" s="316" t="s">
        <v>2987</v>
      </c>
      <c r="E599" s="318">
        <v>1.1000000000000001</v>
      </c>
      <c r="F599" s="318" t="s">
        <v>395</v>
      </c>
      <c r="G599" s="318" t="s">
        <v>395</v>
      </c>
      <c r="H599" s="318" t="s">
        <v>395</v>
      </c>
      <c r="I599" s="318" t="s">
        <v>406</v>
      </c>
      <c r="J599" s="318">
        <v>5</v>
      </c>
      <c r="K599" s="317" t="s">
        <v>410</v>
      </c>
      <c r="L599" s="317">
        <v>47.226909999999997</v>
      </c>
      <c r="M599" s="317">
        <v>39.777619999999999</v>
      </c>
    </row>
    <row r="600" spans="1:13" ht="30" hidden="1" x14ac:dyDescent="0.25">
      <c r="A600" s="313">
        <f t="shared" si="9"/>
        <v>599</v>
      </c>
      <c r="B600" s="314" t="s">
        <v>2990</v>
      </c>
      <c r="C600" s="315" t="s">
        <v>399</v>
      </c>
      <c r="D600" s="316" t="s">
        <v>2991</v>
      </c>
      <c r="E600" s="318">
        <v>1.08</v>
      </c>
      <c r="F600" s="318" t="s">
        <v>395</v>
      </c>
      <c r="G600" s="318" t="s">
        <v>395</v>
      </c>
      <c r="H600" s="318" t="s">
        <v>395</v>
      </c>
      <c r="I600" s="318" t="s">
        <v>406</v>
      </c>
      <c r="J600" s="318">
        <v>4</v>
      </c>
      <c r="K600" s="317" t="s">
        <v>410</v>
      </c>
      <c r="L600" s="317">
        <v>47.237760000000002</v>
      </c>
      <c r="M600" s="317">
        <v>39.764319999999998</v>
      </c>
    </row>
    <row r="601" spans="1:13" ht="30" hidden="1" x14ac:dyDescent="0.25">
      <c r="A601" s="313">
        <f t="shared" si="9"/>
        <v>600</v>
      </c>
      <c r="B601" s="314" t="s">
        <v>2994</v>
      </c>
      <c r="C601" s="315" t="s">
        <v>399</v>
      </c>
      <c r="D601" s="316" t="s">
        <v>2995</v>
      </c>
      <c r="E601" s="318">
        <v>1.04</v>
      </c>
      <c r="F601" s="318" t="s">
        <v>395</v>
      </c>
      <c r="G601" s="318" t="s">
        <v>395</v>
      </c>
      <c r="H601" s="318" t="s">
        <v>395</v>
      </c>
      <c r="I601" s="318" t="s">
        <v>406</v>
      </c>
      <c r="J601" s="318">
        <v>2</v>
      </c>
      <c r="K601" s="317" t="s">
        <v>410</v>
      </c>
      <c r="L601" s="317">
        <v>47.232430000000001</v>
      </c>
      <c r="M601" s="317">
        <v>39.744219999999999</v>
      </c>
    </row>
    <row r="602" spans="1:13" ht="30" hidden="1" x14ac:dyDescent="0.25">
      <c r="A602" s="313">
        <f t="shared" si="9"/>
        <v>601</v>
      </c>
      <c r="B602" s="314" t="s">
        <v>2998</v>
      </c>
      <c r="C602" s="315" t="s">
        <v>399</v>
      </c>
      <c r="D602" s="316" t="s">
        <v>2999</v>
      </c>
      <c r="E602" s="318">
        <v>1.1000000000000001</v>
      </c>
      <c r="F602" s="318" t="s">
        <v>395</v>
      </c>
      <c r="G602" s="318" t="s">
        <v>395</v>
      </c>
      <c r="H602" s="318" t="s">
        <v>395</v>
      </c>
      <c r="I602" s="318" t="s">
        <v>406</v>
      </c>
      <c r="J602" s="318">
        <v>5</v>
      </c>
      <c r="K602" s="317" t="s">
        <v>410</v>
      </c>
      <c r="L602" s="317">
        <v>47.245139999999999</v>
      </c>
      <c r="M602" s="317">
        <v>39.712339999999998</v>
      </c>
    </row>
    <row r="603" spans="1:13" ht="75" hidden="1" x14ac:dyDescent="0.25">
      <c r="A603" s="313">
        <f t="shared" si="9"/>
        <v>602</v>
      </c>
      <c r="B603" s="314" t="s">
        <v>3002</v>
      </c>
      <c r="C603" s="315" t="s">
        <v>428</v>
      </c>
      <c r="D603" s="316" t="s">
        <v>3003</v>
      </c>
      <c r="E603" s="318">
        <v>1.22</v>
      </c>
      <c r="F603" s="318" t="s">
        <v>395</v>
      </c>
      <c r="G603" s="318" t="s">
        <v>395</v>
      </c>
      <c r="H603" s="318" t="s">
        <v>395</v>
      </c>
      <c r="I603" s="318" t="s">
        <v>406</v>
      </c>
      <c r="J603" s="318">
        <v>11</v>
      </c>
      <c r="K603" s="317" t="s">
        <v>410</v>
      </c>
      <c r="L603" s="317">
        <v>47.202030000000001</v>
      </c>
      <c r="M603" s="317">
        <v>39.794319999999999</v>
      </c>
    </row>
    <row r="604" spans="1:13" ht="30" hidden="1" x14ac:dyDescent="0.25">
      <c r="A604" s="313">
        <f t="shared" si="9"/>
        <v>603</v>
      </c>
      <c r="B604" s="314" t="s">
        <v>3006</v>
      </c>
      <c r="C604" s="315" t="s">
        <v>399</v>
      </c>
      <c r="D604" s="316" t="s">
        <v>3007</v>
      </c>
      <c r="E604" s="318">
        <v>1.08</v>
      </c>
      <c r="F604" s="318" t="s">
        <v>395</v>
      </c>
      <c r="G604" s="318" t="s">
        <v>395</v>
      </c>
      <c r="H604" s="318" t="s">
        <v>395</v>
      </c>
      <c r="I604" s="318" t="s">
        <v>406</v>
      </c>
      <c r="J604" s="318">
        <v>4</v>
      </c>
      <c r="K604" s="317" t="s">
        <v>410</v>
      </c>
      <c r="L604" s="317">
        <v>47.223190000000002</v>
      </c>
      <c r="M604" s="317">
        <v>39.717500000000001</v>
      </c>
    </row>
    <row r="605" spans="1:13" ht="45" hidden="1" x14ac:dyDescent="0.25">
      <c r="A605" s="313">
        <f t="shared" si="9"/>
        <v>604</v>
      </c>
      <c r="B605" s="314" t="s">
        <v>3010</v>
      </c>
      <c r="C605" s="315" t="s">
        <v>393</v>
      </c>
      <c r="D605" s="316" t="s">
        <v>3011</v>
      </c>
      <c r="E605" s="318">
        <v>1.06</v>
      </c>
      <c r="F605" s="318" t="s">
        <v>395</v>
      </c>
      <c r="G605" s="318" t="s">
        <v>395</v>
      </c>
      <c r="H605" s="318" t="s">
        <v>395</v>
      </c>
      <c r="I605" s="318" t="s">
        <v>406</v>
      </c>
      <c r="J605" s="318">
        <v>3</v>
      </c>
      <c r="K605" s="317" t="s">
        <v>410</v>
      </c>
      <c r="L605" s="317">
        <v>47.236939999999997</v>
      </c>
      <c r="M605" s="317">
        <v>39.703859999999999</v>
      </c>
    </row>
    <row r="606" spans="1:13" ht="45" hidden="1" x14ac:dyDescent="0.25">
      <c r="A606" s="313">
        <f t="shared" si="9"/>
        <v>605</v>
      </c>
      <c r="B606" s="314" t="s">
        <v>3014</v>
      </c>
      <c r="C606" s="315" t="s">
        <v>412</v>
      </c>
      <c r="D606" s="316" t="s">
        <v>3015</v>
      </c>
      <c r="E606" s="318">
        <v>1.28</v>
      </c>
      <c r="F606" s="318" t="s">
        <v>395</v>
      </c>
      <c r="G606" s="318" t="s">
        <v>395</v>
      </c>
      <c r="H606" s="318" t="s">
        <v>395</v>
      </c>
      <c r="I606" s="318" t="s">
        <v>406</v>
      </c>
      <c r="J606" s="318">
        <v>14</v>
      </c>
      <c r="K606" s="317" t="s">
        <v>410</v>
      </c>
      <c r="L606" s="317">
        <v>47.337760000000003</v>
      </c>
      <c r="M606" s="317">
        <v>39.732810000000001</v>
      </c>
    </row>
    <row r="607" spans="1:13" ht="30" hidden="1" x14ac:dyDescent="0.25">
      <c r="A607" s="313">
        <f t="shared" si="9"/>
        <v>606</v>
      </c>
      <c r="B607" s="314" t="s">
        <v>3018</v>
      </c>
      <c r="C607" s="315" t="s">
        <v>399</v>
      </c>
      <c r="D607" s="316" t="s">
        <v>3019</v>
      </c>
      <c r="E607" s="318">
        <v>1.1000000000000001</v>
      </c>
      <c r="F607" s="318" t="s">
        <v>395</v>
      </c>
      <c r="G607" s="318" t="s">
        <v>395</v>
      </c>
      <c r="H607" s="318" t="s">
        <v>395</v>
      </c>
      <c r="I607" s="318" t="s">
        <v>406</v>
      </c>
      <c r="J607" s="318">
        <v>5</v>
      </c>
      <c r="K607" s="317" t="s">
        <v>410</v>
      </c>
      <c r="L607" s="317">
        <v>47.220280000000002</v>
      </c>
      <c r="M607" s="317">
        <v>39.699809999999999</v>
      </c>
    </row>
    <row r="608" spans="1:13" ht="30" hidden="1" x14ac:dyDescent="0.25">
      <c r="A608" s="313">
        <f t="shared" si="9"/>
        <v>607</v>
      </c>
      <c r="B608" s="314" t="s">
        <v>3022</v>
      </c>
      <c r="C608" s="315" t="s">
        <v>399</v>
      </c>
      <c r="D608" s="316" t="s">
        <v>3023</v>
      </c>
      <c r="E608" s="318">
        <v>1.08</v>
      </c>
      <c r="F608" s="318" t="s">
        <v>395</v>
      </c>
      <c r="G608" s="318" t="s">
        <v>395</v>
      </c>
      <c r="H608" s="318" t="s">
        <v>395</v>
      </c>
      <c r="I608" s="318" t="s">
        <v>406</v>
      </c>
      <c r="J608" s="318">
        <v>4</v>
      </c>
      <c r="K608" s="317" t="s">
        <v>410</v>
      </c>
      <c r="L608" s="317">
        <v>47.227209999999999</v>
      </c>
      <c r="M608" s="317">
        <v>39.699660000000002</v>
      </c>
    </row>
    <row r="609" spans="1:13" ht="60" hidden="1" x14ac:dyDescent="0.25">
      <c r="A609" s="313">
        <f t="shared" si="9"/>
        <v>608</v>
      </c>
      <c r="B609" s="314" t="s">
        <v>3026</v>
      </c>
      <c r="C609" s="315" t="s">
        <v>408</v>
      </c>
      <c r="D609" s="316" t="s">
        <v>3028</v>
      </c>
      <c r="E609" s="318">
        <v>1.06</v>
      </c>
      <c r="F609" s="318" t="s">
        <v>395</v>
      </c>
      <c r="G609" s="318" t="s">
        <v>395</v>
      </c>
      <c r="H609" s="318" t="s">
        <v>395</v>
      </c>
      <c r="I609" s="318" t="s">
        <v>406</v>
      </c>
      <c r="J609" s="318">
        <v>3</v>
      </c>
      <c r="K609" s="317" t="s">
        <v>410</v>
      </c>
      <c r="L609" s="317">
        <v>47.234639999999999</v>
      </c>
      <c r="M609" s="317">
        <v>39.699309999999997</v>
      </c>
    </row>
    <row r="610" spans="1:13" ht="75" hidden="1" x14ac:dyDescent="0.25">
      <c r="A610" s="313">
        <f t="shared" si="9"/>
        <v>609</v>
      </c>
      <c r="B610" s="314" t="s">
        <v>3030</v>
      </c>
      <c r="C610" s="315" t="s">
        <v>428</v>
      </c>
      <c r="D610" s="316" t="s">
        <v>3031</v>
      </c>
      <c r="E610" s="318">
        <v>1.08</v>
      </c>
      <c r="F610" s="318" t="s">
        <v>395</v>
      </c>
      <c r="G610" s="318" t="s">
        <v>395</v>
      </c>
      <c r="H610" s="318" t="s">
        <v>395</v>
      </c>
      <c r="I610" s="318" t="s">
        <v>406</v>
      </c>
      <c r="J610" s="318">
        <v>4</v>
      </c>
      <c r="K610" s="317" t="s">
        <v>410</v>
      </c>
      <c r="L610" s="317">
        <v>47.24</v>
      </c>
      <c r="M610" s="317">
        <v>39.679560000000002</v>
      </c>
    </row>
    <row r="611" spans="1:13" ht="75" hidden="1" x14ac:dyDescent="0.25">
      <c r="A611" s="313">
        <f t="shared" si="9"/>
        <v>610</v>
      </c>
      <c r="B611" s="314" t="s">
        <v>3034</v>
      </c>
      <c r="C611" s="315" t="s">
        <v>428</v>
      </c>
      <c r="D611" s="316" t="s">
        <v>3035</v>
      </c>
      <c r="E611" s="318">
        <v>1.42</v>
      </c>
      <c r="F611" s="318" t="s">
        <v>395</v>
      </c>
      <c r="G611" s="318" t="s">
        <v>395</v>
      </c>
      <c r="H611" s="318" t="s">
        <v>395</v>
      </c>
      <c r="I611" s="318" t="s">
        <v>406</v>
      </c>
      <c r="J611" s="318">
        <v>21</v>
      </c>
      <c r="K611" s="317" t="s">
        <v>410</v>
      </c>
      <c r="L611" s="317">
        <v>47.31306</v>
      </c>
      <c r="M611" s="317">
        <v>39.911110000000001</v>
      </c>
    </row>
    <row r="612" spans="1:13" ht="45" hidden="1" x14ac:dyDescent="0.25">
      <c r="A612" s="313">
        <f t="shared" si="9"/>
        <v>611</v>
      </c>
      <c r="B612" s="314" t="s">
        <v>3038</v>
      </c>
      <c r="C612" s="315" t="s">
        <v>412</v>
      </c>
      <c r="D612" s="316" t="s">
        <v>3040</v>
      </c>
      <c r="E612" s="318">
        <v>1.9</v>
      </c>
      <c r="F612" s="318" t="s">
        <v>395</v>
      </c>
      <c r="G612" s="318" t="s">
        <v>395</v>
      </c>
      <c r="H612" s="318" t="s">
        <v>395</v>
      </c>
      <c r="I612" s="318" t="s">
        <v>406</v>
      </c>
      <c r="J612" s="318">
        <v>45</v>
      </c>
      <c r="K612" s="317" t="s">
        <v>410</v>
      </c>
      <c r="L612" s="317">
        <v>47.489460000000001</v>
      </c>
      <c r="M612" s="317">
        <v>39.935029999999998</v>
      </c>
    </row>
    <row r="613" spans="1:13" ht="45" hidden="1" x14ac:dyDescent="0.25">
      <c r="A613" s="313">
        <f t="shared" si="9"/>
        <v>612</v>
      </c>
      <c r="B613" s="314" t="s">
        <v>3042</v>
      </c>
      <c r="C613" s="315" t="s">
        <v>412</v>
      </c>
      <c r="D613" s="316" t="s">
        <v>3043</v>
      </c>
      <c r="E613" s="318">
        <v>1.84</v>
      </c>
      <c r="F613" s="318" t="s">
        <v>395</v>
      </c>
      <c r="G613" s="318" t="s">
        <v>395</v>
      </c>
      <c r="H613" s="318" t="s">
        <v>395</v>
      </c>
      <c r="I613" s="318" t="s">
        <v>406</v>
      </c>
      <c r="J613" s="318">
        <v>42</v>
      </c>
      <c r="K613" s="317" t="s">
        <v>410</v>
      </c>
      <c r="L613" s="317">
        <v>47.094889999999999</v>
      </c>
      <c r="M613" s="317">
        <v>39.42069</v>
      </c>
    </row>
    <row r="614" spans="1:13" ht="45" hidden="1" x14ac:dyDescent="0.25">
      <c r="A614" s="313">
        <f t="shared" si="9"/>
        <v>613</v>
      </c>
      <c r="B614" s="314" t="s">
        <v>3046</v>
      </c>
      <c r="C614" s="315" t="s">
        <v>412</v>
      </c>
      <c r="D614" s="316" t="s">
        <v>3047</v>
      </c>
      <c r="E614" s="318">
        <v>1.84</v>
      </c>
      <c r="F614" s="318" t="s">
        <v>395</v>
      </c>
      <c r="G614" s="318" t="s">
        <v>395</v>
      </c>
      <c r="H614" s="318" t="s">
        <v>395</v>
      </c>
      <c r="I614" s="318" t="s">
        <v>406</v>
      </c>
      <c r="J614" s="318">
        <v>42</v>
      </c>
      <c r="K614" s="317" t="s">
        <v>410</v>
      </c>
      <c r="L614" s="317">
        <v>47.082149999999999</v>
      </c>
      <c r="M614" s="317">
        <v>39.454009999999997</v>
      </c>
    </row>
    <row r="615" spans="1:13" ht="45" hidden="1" x14ac:dyDescent="0.25">
      <c r="A615" s="313">
        <f t="shared" si="9"/>
        <v>614</v>
      </c>
      <c r="B615" s="314" t="s">
        <v>3050</v>
      </c>
      <c r="C615" s="315" t="s">
        <v>412</v>
      </c>
      <c r="D615" s="316" t="s">
        <v>3051</v>
      </c>
      <c r="E615" s="318">
        <v>1.86</v>
      </c>
      <c r="F615" s="318" t="s">
        <v>395</v>
      </c>
      <c r="G615" s="318" t="s">
        <v>395</v>
      </c>
      <c r="H615" s="318" t="s">
        <v>395</v>
      </c>
      <c r="I615" s="318" t="s">
        <v>406</v>
      </c>
      <c r="J615" s="318">
        <v>43</v>
      </c>
      <c r="K615" s="317" t="s">
        <v>410</v>
      </c>
      <c r="L615" s="317">
        <v>47.109969999999997</v>
      </c>
      <c r="M615" s="317">
        <v>39.418579999999999</v>
      </c>
    </row>
    <row r="616" spans="1:13" ht="30" hidden="1" x14ac:dyDescent="0.25">
      <c r="A616" s="313">
        <f t="shared" si="9"/>
        <v>615</v>
      </c>
      <c r="B616" s="314" t="s">
        <v>3054</v>
      </c>
      <c r="C616" s="315" t="s">
        <v>399</v>
      </c>
      <c r="D616" s="316" t="s">
        <v>3055</v>
      </c>
      <c r="E616" s="318">
        <v>1.88</v>
      </c>
      <c r="F616" s="318" t="s">
        <v>395</v>
      </c>
      <c r="G616" s="318" t="s">
        <v>395</v>
      </c>
      <c r="H616" s="318" t="s">
        <v>395</v>
      </c>
      <c r="I616" s="318" t="s">
        <v>406</v>
      </c>
      <c r="J616" s="318">
        <v>44</v>
      </c>
      <c r="K616" s="317" t="s">
        <v>410</v>
      </c>
      <c r="L616" s="317">
        <v>47.102220000000003</v>
      </c>
      <c r="M616" s="317">
        <v>39.398530000000001</v>
      </c>
    </row>
    <row r="617" spans="1:13" ht="45" hidden="1" x14ac:dyDescent="0.25">
      <c r="A617" s="313">
        <f t="shared" si="9"/>
        <v>616</v>
      </c>
      <c r="B617" s="314" t="s">
        <v>3058</v>
      </c>
      <c r="C617" s="315" t="s">
        <v>393</v>
      </c>
      <c r="D617" s="316" t="s">
        <v>3059</v>
      </c>
      <c r="E617" s="318">
        <v>1.68</v>
      </c>
      <c r="F617" s="318" t="s">
        <v>395</v>
      </c>
      <c r="G617" s="318" t="s">
        <v>395</v>
      </c>
      <c r="H617" s="318" t="s">
        <v>395</v>
      </c>
      <c r="I617" s="318" t="s">
        <v>406</v>
      </c>
      <c r="J617" s="318">
        <v>34</v>
      </c>
      <c r="K617" s="317" t="s">
        <v>410</v>
      </c>
      <c r="L617" s="317">
        <v>47.078110000000002</v>
      </c>
      <c r="M617" s="317">
        <v>39.53669</v>
      </c>
    </row>
    <row r="618" spans="1:13" ht="30" hidden="1" x14ac:dyDescent="0.25">
      <c r="A618" s="313">
        <f t="shared" si="9"/>
        <v>617</v>
      </c>
      <c r="B618" s="314" t="s">
        <v>3062</v>
      </c>
      <c r="C618" s="315" t="s">
        <v>399</v>
      </c>
      <c r="D618" s="316" t="s">
        <v>3063</v>
      </c>
      <c r="E618" s="318">
        <v>1.84</v>
      </c>
      <c r="F618" s="318" t="s">
        <v>395</v>
      </c>
      <c r="G618" s="318" t="s">
        <v>395</v>
      </c>
      <c r="H618" s="318" t="s">
        <v>395</v>
      </c>
      <c r="I618" s="318" t="s">
        <v>406</v>
      </c>
      <c r="J618" s="318">
        <v>42</v>
      </c>
      <c r="K618" s="317" t="s">
        <v>410</v>
      </c>
      <c r="L618" s="317">
        <v>47.10436</v>
      </c>
      <c r="M618" s="317">
        <v>39.428890000000003</v>
      </c>
    </row>
    <row r="619" spans="1:13" ht="45" hidden="1" x14ac:dyDescent="0.25">
      <c r="A619" s="313">
        <f t="shared" si="9"/>
        <v>618</v>
      </c>
      <c r="B619" s="314" t="s">
        <v>3066</v>
      </c>
      <c r="C619" s="315" t="s">
        <v>412</v>
      </c>
      <c r="D619" s="316" t="s">
        <v>3068</v>
      </c>
      <c r="E619" s="318">
        <v>2.3199999999999998</v>
      </c>
      <c r="F619" s="318" t="s">
        <v>395</v>
      </c>
      <c r="G619" s="318" t="s">
        <v>395</v>
      </c>
      <c r="H619" s="318" t="s">
        <v>395</v>
      </c>
      <c r="I619" s="318" t="s">
        <v>406</v>
      </c>
      <c r="J619" s="318">
        <v>66</v>
      </c>
      <c r="K619" s="317" t="s">
        <v>410</v>
      </c>
      <c r="L619" s="317">
        <v>46.876719999999999</v>
      </c>
      <c r="M619" s="317">
        <v>39.343859999999999</v>
      </c>
    </row>
    <row r="620" spans="1:13" ht="45" hidden="1" x14ac:dyDescent="0.25">
      <c r="A620" s="313">
        <f t="shared" si="9"/>
        <v>619</v>
      </c>
      <c r="B620" s="314" t="s">
        <v>3070</v>
      </c>
      <c r="C620" s="315" t="s">
        <v>412</v>
      </c>
      <c r="D620" s="316" t="s">
        <v>3072</v>
      </c>
      <c r="E620" s="318">
        <v>2.86</v>
      </c>
      <c r="F620" s="318" t="s">
        <v>395</v>
      </c>
      <c r="G620" s="318" t="s">
        <v>395</v>
      </c>
      <c r="H620" s="318" t="s">
        <v>395</v>
      </c>
      <c r="I620" s="318" t="s">
        <v>406</v>
      </c>
      <c r="J620" s="318">
        <v>93</v>
      </c>
      <c r="K620" s="317" t="s">
        <v>410</v>
      </c>
      <c r="L620" s="317">
        <v>46.788559999999997</v>
      </c>
      <c r="M620" s="317">
        <v>39.014670000000002</v>
      </c>
    </row>
    <row r="621" spans="1:13" ht="75" hidden="1" x14ac:dyDescent="0.25">
      <c r="A621" s="313">
        <f t="shared" si="9"/>
        <v>620</v>
      </c>
      <c r="B621" s="314" t="s">
        <v>3074</v>
      </c>
      <c r="C621" s="315" t="s">
        <v>428</v>
      </c>
      <c r="D621" s="316" t="s">
        <v>3076</v>
      </c>
      <c r="E621" s="318">
        <v>2.08</v>
      </c>
      <c r="F621" s="318" t="s">
        <v>395</v>
      </c>
      <c r="G621" s="318" t="s">
        <v>395</v>
      </c>
      <c r="H621" s="318" t="s">
        <v>395</v>
      </c>
      <c r="I621" s="318" t="s">
        <v>406</v>
      </c>
      <c r="J621" s="318">
        <v>54</v>
      </c>
      <c r="K621" s="317" t="s">
        <v>410</v>
      </c>
      <c r="L621" s="317">
        <v>47.076830000000001</v>
      </c>
      <c r="M621" s="317">
        <v>39.320360000000001</v>
      </c>
    </row>
    <row r="622" spans="1:13" ht="45" hidden="1" x14ac:dyDescent="0.25">
      <c r="A622" s="313">
        <f t="shared" si="9"/>
        <v>621</v>
      </c>
      <c r="B622" s="314" t="s">
        <v>3078</v>
      </c>
      <c r="C622" s="315" t="s">
        <v>412</v>
      </c>
      <c r="D622" s="316" t="s">
        <v>3080</v>
      </c>
      <c r="E622" s="318">
        <v>2.1800000000000002</v>
      </c>
      <c r="F622" s="318" t="s">
        <v>395</v>
      </c>
      <c r="G622" s="318" t="s">
        <v>395</v>
      </c>
      <c r="H622" s="318" t="s">
        <v>395</v>
      </c>
      <c r="I622" s="318" t="s">
        <v>406</v>
      </c>
      <c r="J622" s="318">
        <v>59</v>
      </c>
      <c r="K622" s="317" t="s">
        <v>410</v>
      </c>
      <c r="L622" s="317">
        <v>47.02422</v>
      </c>
      <c r="M622" s="317">
        <v>39.305579999999999</v>
      </c>
    </row>
    <row r="623" spans="1:13" ht="75" hidden="1" x14ac:dyDescent="0.25">
      <c r="A623" s="313">
        <f t="shared" si="9"/>
        <v>622</v>
      </c>
      <c r="B623" s="314" t="s">
        <v>3082</v>
      </c>
      <c r="C623" s="315" t="s">
        <v>428</v>
      </c>
      <c r="D623" s="316" t="s">
        <v>3084</v>
      </c>
      <c r="E623" s="318">
        <v>1.98</v>
      </c>
      <c r="F623" s="318" t="s">
        <v>395</v>
      </c>
      <c r="G623" s="318" t="s">
        <v>395</v>
      </c>
      <c r="H623" s="318" t="s">
        <v>395</v>
      </c>
      <c r="I623" s="318" t="s">
        <v>406</v>
      </c>
      <c r="J623" s="318">
        <v>49</v>
      </c>
      <c r="K623" s="317" t="s">
        <v>410</v>
      </c>
      <c r="L623" s="317">
        <v>47.018389999999997</v>
      </c>
      <c r="M623" s="317">
        <v>39.388779999999997</v>
      </c>
    </row>
    <row r="624" spans="1:13" ht="75" hidden="1" x14ac:dyDescent="0.25">
      <c r="A624" s="313">
        <f t="shared" si="9"/>
        <v>623</v>
      </c>
      <c r="B624" s="314" t="s">
        <v>3086</v>
      </c>
      <c r="C624" s="315" t="s">
        <v>428</v>
      </c>
      <c r="D624" s="316" t="s">
        <v>3087</v>
      </c>
      <c r="E624" s="318">
        <v>1.82</v>
      </c>
      <c r="F624" s="318" t="s">
        <v>395</v>
      </c>
      <c r="G624" s="318" t="s">
        <v>395</v>
      </c>
      <c r="H624" s="318" t="s">
        <v>395</v>
      </c>
      <c r="I624" s="318" t="s">
        <v>406</v>
      </c>
      <c r="J624" s="318">
        <v>41</v>
      </c>
      <c r="K624" s="317" t="s">
        <v>410</v>
      </c>
      <c r="L624" s="317">
        <v>47.111220000000003</v>
      </c>
      <c r="M624" s="317">
        <v>39.407969999999999</v>
      </c>
    </row>
    <row r="625" spans="1:13" ht="75" hidden="1" x14ac:dyDescent="0.25">
      <c r="A625" s="313">
        <f t="shared" si="9"/>
        <v>624</v>
      </c>
      <c r="B625" s="314" t="s">
        <v>3090</v>
      </c>
      <c r="C625" s="315" t="s">
        <v>428</v>
      </c>
      <c r="D625" s="316" t="s">
        <v>3091</v>
      </c>
      <c r="E625" s="318">
        <v>1.8</v>
      </c>
      <c r="F625" s="318" t="s">
        <v>395</v>
      </c>
      <c r="G625" s="318" t="s">
        <v>395</v>
      </c>
      <c r="H625" s="318" t="s">
        <v>395</v>
      </c>
      <c r="I625" s="318" t="s">
        <v>406</v>
      </c>
      <c r="J625" s="318">
        <v>40</v>
      </c>
      <c r="K625" s="317" t="s">
        <v>410</v>
      </c>
      <c r="L625" s="317">
        <v>47.101390000000002</v>
      </c>
      <c r="M625" s="317">
        <v>39.424999999999997</v>
      </c>
    </row>
    <row r="626" spans="1:13" ht="60" hidden="1" x14ac:dyDescent="0.25">
      <c r="A626" s="313">
        <f t="shared" si="9"/>
        <v>625</v>
      </c>
      <c r="B626" s="314" t="s">
        <v>3094</v>
      </c>
      <c r="C626" s="315" t="s">
        <v>408</v>
      </c>
      <c r="D626" s="316" t="s">
        <v>3095</v>
      </c>
      <c r="E626" s="318">
        <v>1.8</v>
      </c>
      <c r="F626" s="318" t="s">
        <v>395</v>
      </c>
      <c r="G626" s="318" t="s">
        <v>395</v>
      </c>
      <c r="H626" s="318" t="s">
        <v>395</v>
      </c>
      <c r="I626" s="318" t="s">
        <v>406</v>
      </c>
      <c r="J626" s="318">
        <v>40</v>
      </c>
      <c r="K626" s="317" t="s">
        <v>410</v>
      </c>
      <c r="L626" s="317">
        <v>46.940829999999998</v>
      </c>
      <c r="M626" s="317">
        <v>39.700890000000001</v>
      </c>
    </row>
    <row r="627" spans="1:13" ht="75" hidden="1" x14ac:dyDescent="0.25">
      <c r="A627" s="313">
        <f t="shared" si="9"/>
        <v>626</v>
      </c>
      <c r="B627" s="314" t="s">
        <v>3098</v>
      </c>
      <c r="C627" s="315" t="s">
        <v>428</v>
      </c>
      <c r="D627" s="316" t="s">
        <v>3099</v>
      </c>
      <c r="E627" s="318">
        <v>1.58</v>
      </c>
      <c r="F627" s="318" t="s">
        <v>395</v>
      </c>
      <c r="G627" s="318" t="s">
        <v>395</v>
      </c>
      <c r="H627" s="318" t="s">
        <v>395</v>
      </c>
      <c r="I627" s="318" t="s">
        <v>406</v>
      </c>
      <c r="J627" s="318">
        <v>29</v>
      </c>
      <c r="K627" s="317" t="s">
        <v>410</v>
      </c>
      <c r="L627" s="317">
        <v>47.075420000000001</v>
      </c>
      <c r="M627" s="317">
        <v>39.564109999999999</v>
      </c>
    </row>
    <row r="628" spans="1:13" ht="75" hidden="1" x14ac:dyDescent="0.25">
      <c r="A628" s="313">
        <f t="shared" si="9"/>
        <v>627</v>
      </c>
      <c r="B628" s="314" t="s">
        <v>3102</v>
      </c>
      <c r="C628" s="315" t="s">
        <v>428</v>
      </c>
      <c r="D628" s="316" t="s">
        <v>3103</v>
      </c>
      <c r="E628" s="318">
        <v>1.58</v>
      </c>
      <c r="F628" s="318" t="s">
        <v>395</v>
      </c>
      <c r="G628" s="318" t="s">
        <v>395</v>
      </c>
      <c r="H628" s="318" t="s">
        <v>395</v>
      </c>
      <c r="I628" s="318" t="s">
        <v>406</v>
      </c>
      <c r="J628" s="318">
        <v>29</v>
      </c>
      <c r="K628" s="317" t="s">
        <v>410</v>
      </c>
      <c r="L628" s="317">
        <v>47.157580000000003</v>
      </c>
      <c r="M628" s="317">
        <v>39.466189999999997</v>
      </c>
    </row>
    <row r="629" spans="1:13" ht="75" hidden="1" x14ac:dyDescent="0.25">
      <c r="A629" s="313">
        <f t="shared" si="9"/>
        <v>628</v>
      </c>
      <c r="B629" s="314" t="s">
        <v>3106</v>
      </c>
      <c r="C629" s="315" t="s">
        <v>428</v>
      </c>
      <c r="D629" s="316" t="s">
        <v>3107</v>
      </c>
      <c r="E629" s="318">
        <v>1.8</v>
      </c>
      <c r="F629" s="318" t="s">
        <v>395</v>
      </c>
      <c r="G629" s="318" t="s">
        <v>395</v>
      </c>
      <c r="H629" s="318" t="s">
        <v>395</v>
      </c>
      <c r="I629" s="318" t="s">
        <v>406</v>
      </c>
      <c r="J629" s="318">
        <v>40</v>
      </c>
      <c r="K629" s="317" t="s">
        <v>410</v>
      </c>
      <c r="L629" s="317">
        <v>46.93683</v>
      </c>
      <c r="M629" s="317">
        <v>39.678530000000002</v>
      </c>
    </row>
    <row r="630" spans="1:13" ht="75" hidden="1" x14ac:dyDescent="0.25">
      <c r="A630" s="313">
        <f t="shared" si="9"/>
        <v>629</v>
      </c>
      <c r="B630" s="314" t="s">
        <v>3110</v>
      </c>
      <c r="C630" s="315" t="s">
        <v>428</v>
      </c>
      <c r="D630" s="316" t="s">
        <v>3112</v>
      </c>
      <c r="E630" s="318">
        <v>1.74</v>
      </c>
      <c r="F630" s="318" t="s">
        <v>395</v>
      </c>
      <c r="G630" s="318" t="s">
        <v>395</v>
      </c>
      <c r="H630" s="318" t="s">
        <v>395</v>
      </c>
      <c r="I630" s="318" t="s">
        <v>406</v>
      </c>
      <c r="J630" s="318">
        <v>37</v>
      </c>
      <c r="K630" s="317" t="s">
        <v>410</v>
      </c>
      <c r="L630" s="317">
        <v>47.094079999999998</v>
      </c>
      <c r="M630" s="317">
        <v>39.441360000000003</v>
      </c>
    </row>
    <row r="631" spans="1:13" ht="75" hidden="1" x14ac:dyDescent="0.25">
      <c r="A631" s="313">
        <f t="shared" si="9"/>
        <v>630</v>
      </c>
      <c r="B631" s="314" t="s">
        <v>3114</v>
      </c>
      <c r="C631" s="315" t="s">
        <v>428</v>
      </c>
      <c r="D631" s="316" t="s">
        <v>3116</v>
      </c>
      <c r="E631" s="318">
        <v>1.78</v>
      </c>
      <c r="F631" s="318" t="s">
        <v>395</v>
      </c>
      <c r="G631" s="318" t="s">
        <v>395</v>
      </c>
      <c r="H631" s="318" t="s">
        <v>395</v>
      </c>
      <c r="I631" s="318" t="s">
        <v>406</v>
      </c>
      <c r="J631" s="318">
        <v>39</v>
      </c>
      <c r="K631" s="317" t="s">
        <v>410</v>
      </c>
      <c r="L631" s="317">
        <v>47.104999999999997</v>
      </c>
      <c r="M631" s="317">
        <v>39.416110000000003</v>
      </c>
    </row>
    <row r="632" spans="1:13" ht="45" hidden="1" x14ac:dyDescent="0.25">
      <c r="A632" s="313">
        <f t="shared" si="9"/>
        <v>631</v>
      </c>
      <c r="B632" s="314" t="s">
        <v>3118</v>
      </c>
      <c r="C632" s="315" t="s">
        <v>412</v>
      </c>
      <c r="D632" s="316" t="s">
        <v>3120</v>
      </c>
      <c r="E632" s="318">
        <v>2.78</v>
      </c>
      <c r="F632" s="318" t="s">
        <v>395</v>
      </c>
      <c r="G632" s="318" t="s">
        <v>395</v>
      </c>
      <c r="H632" s="318" t="s">
        <v>395</v>
      </c>
      <c r="I632" s="318" t="s">
        <v>406</v>
      </c>
      <c r="J632" s="318">
        <v>89</v>
      </c>
      <c r="K632" s="317" t="s">
        <v>410</v>
      </c>
      <c r="L632" s="317">
        <v>46.952579999999998</v>
      </c>
      <c r="M632" s="317">
        <v>38.90372</v>
      </c>
    </row>
    <row r="633" spans="1:13" ht="75" hidden="1" x14ac:dyDescent="0.25">
      <c r="A633" s="313">
        <f t="shared" si="9"/>
        <v>632</v>
      </c>
      <c r="B633" s="314" t="s">
        <v>3123</v>
      </c>
      <c r="C633" s="315" t="s">
        <v>428</v>
      </c>
      <c r="D633" s="316" t="s">
        <v>3125</v>
      </c>
      <c r="E633" s="318">
        <v>1.42</v>
      </c>
      <c r="F633" s="318" t="s">
        <v>395</v>
      </c>
      <c r="G633" s="318" t="s">
        <v>395</v>
      </c>
      <c r="H633" s="318" t="s">
        <v>395</v>
      </c>
      <c r="I633" s="318" t="s">
        <v>406</v>
      </c>
      <c r="J633" s="318">
        <v>21</v>
      </c>
      <c r="K633" s="317" t="s">
        <v>410</v>
      </c>
      <c r="L633" s="317">
        <v>47.10492</v>
      </c>
      <c r="M633" s="317">
        <v>39.641889999999997</v>
      </c>
    </row>
    <row r="634" spans="1:13" ht="45" hidden="1" x14ac:dyDescent="0.25">
      <c r="A634" s="313">
        <f t="shared" si="9"/>
        <v>633</v>
      </c>
      <c r="B634" s="314" t="s">
        <v>3127</v>
      </c>
      <c r="C634" s="315" t="s">
        <v>412</v>
      </c>
      <c r="D634" s="316" t="s">
        <v>3129</v>
      </c>
      <c r="E634" s="318">
        <v>2.54</v>
      </c>
      <c r="F634" s="318" t="s">
        <v>395</v>
      </c>
      <c r="G634" s="318" t="s">
        <v>395</v>
      </c>
      <c r="H634" s="318" t="s">
        <v>395</v>
      </c>
      <c r="I634" s="318" t="s">
        <v>406</v>
      </c>
      <c r="J634" s="318">
        <v>77</v>
      </c>
      <c r="K634" s="317" t="s">
        <v>410</v>
      </c>
      <c r="L634" s="317">
        <v>47.003889999999998</v>
      </c>
      <c r="M634" s="317">
        <v>39.039299999999997</v>
      </c>
    </row>
    <row r="635" spans="1:13" ht="30" hidden="1" x14ac:dyDescent="0.25">
      <c r="A635" s="313">
        <f t="shared" si="9"/>
        <v>634</v>
      </c>
      <c r="B635" s="314" t="s">
        <v>3131</v>
      </c>
      <c r="C635" s="315" t="s">
        <v>399</v>
      </c>
      <c r="D635" s="316" t="s">
        <v>3133</v>
      </c>
      <c r="E635" s="318">
        <v>1.78</v>
      </c>
      <c r="F635" s="318" t="s">
        <v>395</v>
      </c>
      <c r="G635" s="318" t="s">
        <v>395</v>
      </c>
      <c r="H635" s="318" t="s">
        <v>395</v>
      </c>
      <c r="I635" s="318" t="s">
        <v>406</v>
      </c>
      <c r="J635" s="318">
        <v>39</v>
      </c>
      <c r="K635" s="317" t="s">
        <v>410</v>
      </c>
      <c r="L635" s="317">
        <v>47.113630000000001</v>
      </c>
      <c r="M635" s="317">
        <v>39.426580000000001</v>
      </c>
    </row>
    <row r="636" spans="1:13" ht="75" hidden="1" x14ac:dyDescent="0.25">
      <c r="A636" s="313">
        <f t="shared" si="9"/>
        <v>635</v>
      </c>
      <c r="B636" s="314" t="s">
        <v>3135</v>
      </c>
      <c r="C636" s="315" t="s">
        <v>428</v>
      </c>
      <c r="D636" s="316" t="s">
        <v>3137</v>
      </c>
      <c r="E636" s="318">
        <v>1.8</v>
      </c>
      <c r="F636" s="318" t="s">
        <v>395</v>
      </c>
      <c r="G636" s="318" t="s">
        <v>395</v>
      </c>
      <c r="H636" s="318" t="s">
        <v>395</v>
      </c>
      <c r="I636" s="318" t="s">
        <v>406</v>
      </c>
      <c r="J636" s="318">
        <v>40</v>
      </c>
      <c r="K636" s="317" t="s">
        <v>410</v>
      </c>
      <c r="L636" s="317">
        <v>47.099170000000001</v>
      </c>
      <c r="M636" s="317">
        <v>39.406689999999998</v>
      </c>
    </row>
    <row r="637" spans="1:13" ht="75" hidden="1" x14ac:dyDescent="0.25">
      <c r="A637" s="313">
        <f t="shared" si="9"/>
        <v>636</v>
      </c>
      <c r="B637" s="314" t="s">
        <v>3139</v>
      </c>
      <c r="C637" s="315" t="s">
        <v>428</v>
      </c>
      <c r="D637" s="316" t="s">
        <v>3141</v>
      </c>
      <c r="E637" s="318">
        <v>1.76</v>
      </c>
      <c r="F637" s="318" t="s">
        <v>395</v>
      </c>
      <c r="G637" s="318" t="s">
        <v>395</v>
      </c>
      <c r="H637" s="318" t="s">
        <v>395</v>
      </c>
      <c r="I637" s="318" t="s">
        <v>406</v>
      </c>
      <c r="J637" s="318">
        <v>38</v>
      </c>
      <c r="K637" s="317" t="s">
        <v>410</v>
      </c>
      <c r="L637" s="317">
        <v>47.099670000000003</v>
      </c>
      <c r="M637" s="317">
        <v>39.445889999999999</v>
      </c>
    </row>
    <row r="638" spans="1:13" ht="60" hidden="1" x14ac:dyDescent="0.25">
      <c r="A638" s="313">
        <f t="shared" si="9"/>
        <v>637</v>
      </c>
      <c r="B638" s="314" t="s">
        <v>3142</v>
      </c>
      <c r="C638" s="315" t="s">
        <v>408</v>
      </c>
      <c r="D638" s="316" t="s">
        <v>3144</v>
      </c>
      <c r="E638" s="318">
        <v>1.78</v>
      </c>
      <c r="F638" s="318" t="s">
        <v>395</v>
      </c>
      <c r="G638" s="318" t="s">
        <v>395</v>
      </c>
      <c r="H638" s="318" t="s">
        <v>395</v>
      </c>
      <c r="I638" s="318" t="s">
        <v>406</v>
      </c>
      <c r="J638" s="318">
        <v>39</v>
      </c>
      <c r="K638" s="317" t="s">
        <v>410</v>
      </c>
      <c r="L638" s="317">
        <v>47.107190000000003</v>
      </c>
      <c r="M638" s="317">
        <v>39.421880000000002</v>
      </c>
    </row>
    <row r="639" spans="1:13" ht="45" hidden="1" x14ac:dyDescent="0.25">
      <c r="A639" s="313">
        <f t="shared" si="9"/>
        <v>638</v>
      </c>
      <c r="B639" s="314" t="s">
        <v>3146</v>
      </c>
      <c r="C639" s="315" t="s">
        <v>412</v>
      </c>
      <c r="D639" s="316" t="s">
        <v>3148</v>
      </c>
      <c r="E639" s="318">
        <v>1.82</v>
      </c>
      <c r="F639" s="318" t="s">
        <v>395</v>
      </c>
      <c r="G639" s="318" t="s">
        <v>395</v>
      </c>
      <c r="H639" s="318" t="s">
        <v>395</v>
      </c>
      <c r="I639" s="318" t="s">
        <v>406</v>
      </c>
      <c r="J639" s="318">
        <v>41</v>
      </c>
      <c r="K639" s="317" t="s">
        <v>410</v>
      </c>
      <c r="L639" s="317">
        <v>47.108640000000001</v>
      </c>
      <c r="M639" s="317">
        <v>39.398470000000003</v>
      </c>
    </row>
    <row r="640" spans="1:13" ht="60" hidden="1" x14ac:dyDescent="0.25">
      <c r="A640" s="313">
        <f t="shared" si="9"/>
        <v>639</v>
      </c>
      <c r="B640" s="314" t="s">
        <v>3150</v>
      </c>
      <c r="C640" s="315" t="s">
        <v>452</v>
      </c>
      <c r="D640" s="316" t="s">
        <v>3152</v>
      </c>
      <c r="E640" s="318">
        <v>1.84</v>
      </c>
      <c r="F640" s="318" t="s">
        <v>395</v>
      </c>
      <c r="G640" s="318" t="s">
        <v>395</v>
      </c>
      <c r="H640" s="318" t="s">
        <v>395</v>
      </c>
      <c r="I640" s="318" t="s">
        <v>406</v>
      </c>
      <c r="J640" s="318">
        <v>42</v>
      </c>
      <c r="K640" s="317" t="s">
        <v>410</v>
      </c>
      <c r="L640" s="317">
        <v>47.092219999999998</v>
      </c>
      <c r="M640" s="317">
        <v>39.390129999999999</v>
      </c>
    </row>
    <row r="641" spans="1:13" ht="75" hidden="1" x14ac:dyDescent="0.25">
      <c r="A641" s="313">
        <f t="shared" si="9"/>
        <v>640</v>
      </c>
      <c r="B641" s="314" t="s">
        <v>3154</v>
      </c>
      <c r="C641" s="315" t="s">
        <v>428</v>
      </c>
      <c r="D641" s="316" t="s">
        <v>3155</v>
      </c>
      <c r="E641" s="318">
        <v>1.92</v>
      </c>
      <c r="F641" s="318" t="s">
        <v>395</v>
      </c>
      <c r="G641" s="318" t="s">
        <v>395</v>
      </c>
      <c r="H641" s="318" t="s">
        <v>395</v>
      </c>
      <c r="I641" s="318" t="s">
        <v>406</v>
      </c>
      <c r="J641" s="318">
        <v>46</v>
      </c>
      <c r="K641" s="317" t="s">
        <v>410</v>
      </c>
      <c r="L641" s="317">
        <v>47.061889999999998</v>
      </c>
      <c r="M641" s="317">
        <v>39.435110000000002</v>
      </c>
    </row>
    <row r="642" spans="1:13" ht="60" hidden="1" x14ac:dyDescent="0.25">
      <c r="A642" s="313">
        <f t="shared" si="9"/>
        <v>641</v>
      </c>
      <c r="B642" s="314" t="s">
        <v>3158</v>
      </c>
      <c r="C642" s="315" t="s">
        <v>408</v>
      </c>
      <c r="D642" s="316" t="s">
        <v>3159</v>
      </c>
      <c r="E642" s="318">
        <v>1.36</v>
      </c>
      <c r="F642" s="318" t="s">
        <v>395</v>
      </c>
      <c r="G642" s="318" t="s">
        <v>395</v>
      </c>
      <c r="H642" s="318" t="s">
        <v>395</v>
      </c>
      <c r="I642" s="318" t="s">
        <v>406</v>
      </c>
      <c r="J642" s="318">
        <v>18</v>
      </c>
      <c r="K642" s="317" t="s">
        <v>410</v>
      </c>
      <c r="L642" s="317">
        <v>47.258330000000001</v>
      </c>
      <c r="M642" s="317">
        <v>39.891779999999997</v>
      </c>
    </row>
    <row r="643" spans="1:13" ht="75" hidden="1" x14ac:dyDescent="0.25">
      <c r="A643" s="313">
        <f t="shared" si="9"/>
        <v>642</v>
      </c>
      <c r="B643" s="314" t="s">
        <v>3162</v>
      </c>
      <c r="C643" s="315" t="s">
        <v>428</v>
      </c>
      <c r="D643" s="316" t="s">
        <v>3163</v>
      </c>
      <c r="E643" s="318">
        <v>1.3</v>
      </c>
      <c r="F643" s="318" t="s">
        <v>395</v>
      </c>
      <c r="G643" s="318" t="s">
        <v>395</v>
      </c>
      <c r="H643" s="318" t="s">
        <v>395</v>
      </c>
      <c r="I643" s="318" t="s">
        <v>406</v>
      </c>
      <c r="J643" s="318">
        <v>15</v>
      </c>
      <c r="K643" s="317" t="s">
        <v>410</v>
      </c>
      <c r="L643" s="317">
        <v>47.262999999999998</v>
      </c>
      <c r="M643" s="317">
        <v>39.870310000000003</v>
      </c>
    </row>
    <row r="644" spans="1:13" ht="60" hidden="1" x14ac:dyDescent="0.25">
      <c r="A644" s="313">
        <f t="shared" ref="A644:A707" si="10">A643+1</f>
        <v>643</v>
      </c>
      <c r="B644" s="314" t="s">
        <v>3166</v>
      </c>
      <c r="C644" s="315" t="s">
        <v>447</v>
      </c>
      <c r="D644" s="316" t="s">
        <v>3167</v>
      </c>
      <c r="E644" s="318">
        <v>1.5</v>
      </c>
      <c r="F644" s="318" t="s">
        <v>395</v>
      </c>
      <c r="G644" s="318" t="s">
        <v>395</v>
      </c>
      <c r="H644" s="318" t="s">
        <v>395</v>
      </c>
      <c r="I644" s="318" t="s">
        <v>406</v>
      </c>
      <c r="J644" s="318">
        <v>25</v>
      </c>
      <c r="K644" s="317" t="s">
        <v>410</v>
      </c>
      <c r="L644" s="317">
        <v>47.315080000000002</v>
      </c>
      <c r="M644" s="317">
        <v>39.978470000000002</v>
      </c>
    </row>
    <row r="645" spans="1:13" ht="45" hidden="1" x14ac:dyDescent="0.25">
      <c r="A645" s="313">
        <f t="shared" si="10"/>
        <v>644</v>
      </c>
      <c r="B645" s="314" t="s">
        <v>3170</v>
      </c>
      <c r="C645" s="315" t="s">
        <v>412</v>
      </c>
      <c r="D645" s="316" t="s">
        <v>3171</v>
      </c>
      <c r="E645" s="318">
        <v>2.3199999999999998</v>
      </c>
      <c r="F645" s="318" t="s">
        <v>395</v>
      </c>
      <c r="G645" s="318" t="s">
        <v>395</v>
      </c>
      <c r="H645" s="318" t="s">
        <v>395</v>
      </c>
      <c r="I645" s="318" t="s">
        <v>406</v>
      </c>
      <c r="J645" s="318">
        <v>66</v>
      </c>
      <c r="K645" s="317" t="s">
        <v>410</v>
      </c>
      <c r="L645" s="317">
        <v>47.015070000000001</v>
      </c>
      <c r="M645" s="317">
        <v>39.23959</v>
      </c>
    </row>
    <row r="646" spans="1:13" ht="45" hidden="1" x14ac:dyDescent="0.25">
      <c r="A646" s="313">
        <f t="shared" si="10"/>
        <v>645</v>
      </c>
      <c r="B646" s="314" t="s">
        <v>3174</v>
      </c>
      <c r="C646" s="315" t="s">
        <v>412</v>
      </c>
      <c r="D646" s="316" t="s">
        <v>3175</v>
      </c>
      <c r="E646" s="318">
        <v>1.7</v>
      </c>
      <c r="F646" s="318" t="s">
        <v>395</v>
      </c>
      <c r="G646" s="318" t="s">
        <v>395</v>
      </c>
      <c r="H646" s="318" t="s">
        <v>395</v>
      </c>
      <c r="I646" s="318" t="s">
        <v>406</v>
      </c>
      <c r="J646" s="318">
        <v>35</v>
      </c>
      <c r="K646" s="317" t="s">
        <v>410</v>
      </c>
      <c r="L646" s="317">
        <v>47.082920000000001</v>
      </c>
      <c r="M646" s="317">
        <v>39.512560000000001</v>
      </c>
    </row>
    <row r="647" spans="1:13" ht="45" hidden="1" x14ac:dyDescent="0.25">
      <c r="A647" s="313">
        <f t="shared" si="10"/>
        <v>646</v>
      </c>
      <c r="B647" s="314" t="s">
        <v>3178</v>
      </c>
      <c r="C647" s="315" t="s">
        <v>412</v>
      </c>
      <c r="D647" s="316" t="s">
        <v>3179</v>
      </c>
      <c r="E647" s="318">
        <v>3.3</v>
      </c>
      <c r="F647" s="318" t="s">
        <v>395</v>
      </c>
      <c r="G647" s="318" t="s">
        <v>395</v>
      </c>
      <c r="H647" s="318" t="s">
        <v>395</v>
      </c>
      <c r="I647" s="318" t="s">
        <v>406</v>
      </c>
      <c r="J647" s="318">
        <v>115</v>
      </c>
      <c r="K647" s="317" t="s">
        <v>410</v>
      </c>
      <c r="L647" s="317">
        <v>46.662260000000003</v>
      </c>
      <c r="M647" s="317">
        <v>38.89611</v>
      </c>
    </row>
    <row r="648" spans="1:13" ht="45" hidden="1" x14ac:dyDescent="0.25">
      <c r="A648" s="313">
        <f t="shared" si="10"/>
        <v>647</v>
      </c>
      <c r="B648" s="314" t="s">
        <v>3182</v>
      </c>
      <c r="C648" s="315" t="s">
        <v>412</v>
      </c>
      <c r="D648" s="316" t="s">
        <v>3183</v>
      </c>
      <c r="E648" s="318">
        <v>2.56</v>
      </c>
      <c r="F648" s="318" t="s">
        <v>395</v>
      </c>
      <c r="G648" s="318" t="s">
        <v>395</v>
      </c>
      <c r="H648" s="318" t="s">
        <v>395</v>
      </c>
      <c r="I648" s="318" t="s">
        <v>406</v>
      </c>
      <c r="J648" s="318">
        <v>78</v>
      </c>
      <c r="K648" s="317" t="s">
        <v>410</v>
      </c>
      <c r="L648" s="317">
        <v>46.82882</v>
      </c>
      <c r="M648" s="317">
        <v>39.412399999999998</v>
      </c>
    </row>
    <row r="649" spans="1:13" ht="45" hidden="1" x14ac:dyDescent="0.25">
      <c r="A649" s="313">
        <f t="shared" si="10"/>
        <v>648</v>
      </c>
      <c r="B649" s="314" t="s">
        <v>3186</v>
      </c>
      <c r="C649" s="315" t="s">
        <v>412</v>
      </c>
      <c r="D649" s="316" t="s">
        <v>3187</v>
      </c>
      <c r="E649" s="318">
        <v>2.66</v>
      </c>
      <c r="F649" s="318" t="s">
        <v>395</v>
      </c>
      <c r="G649" s="318" t="s">
        <v>395</v>
      </c>
      <c r="H649" s="318" t="s">
        <v>395</v>
      </c>
      <c r="I649" s="318" t="s">
        <v>406</v>
      </c>
      <c r="J649" s="318">
        <v>83</v>
      </c>
      <c r="K649" s="317" t="s">
        <v>410</v>
      </c>
      <c r="L649" s="317">
        <v>46.873539999999998</v>
      </c>
      <c r="M649" s="317">
        <v>39.1325</v>
      </c>
    </row>
    <row r="650" spans="1:13" ht="75" hidden="1" x14ac:dyDescent="0.25">
      <c r="A650" s="313">
        <f t="shared" si="10"/>
        <v>649</v>
      </c>
      <c r="B650" s="314" t="s">
        <v>3190</v>
      </c>
      <c r="C650" s="315" t="s">
        <v>428</v>
      </c>
      <c r="D650" s="316" t="s">
        <v>3191</v>
      </c>
      <c r="E650" s="318">
        <v>1.36</v>
      </c>
      <c r="F650" s="318" t="s">
        <v>395</v>
      </c>
      <c r="G650" s="318" t="s">
        <v>395</v>
      </c>
      <c r="H650" s="318" t="s">
        <v>395</v>
      </c>
      <c r="I650" s="318" t="s">
        <v>406</v>
      </c>
      <c r="J650" s="318">
        <v>18</v>
      </c>
      <c r="K650" s="317" t="s">
        <v>410</v>
      </c>
      <c r="L650" s="317">
        <v>47.209690000000002</v>
      </c>
      <c r="M650" s="317">
        <v>39.808639999999997</v>
      </c>
    </row>
    <row r="651" spans="1:13" ht="75" hidden="1" x14ac:dyDescent="0.25">
      <c r="A651" s="313">
        <f t="shared" si="10"/>
        <v>650</v>
      </c>
      <c r="B651" s="314" t="s">
        <v>3194</v>
      </c>
      <c r="C651" s="315" t="s">
        <v>428</v>
      </c>
      <c r="D651" s="316" t="s">
        <v>3196</v>
      </c>
      <c r="E651" s="318">
        <v>1.26</v>
      </c>
      <c r="F651" s="318" t="s">
        <v>395</v>
      </c>
      <c r="G651" s="318" t="s">
        <v>395</v>
      </c>
      <c r="H651" s="318" t="s">
        <v>395</v>
      </c>
      <c r="I651" s="318" t="s">
        <v>406</v>
      </c>
      <c r="J651" s="318">
        <v>13</v>
      </c>
      <c r="K651" s="317" t="s">
        <v>410</v>
      </c>
      <c r="L651" s="317">
        <v>47.305779999999999</v>
      </c>
      <c r="M651" s="317">
        <v>39.821530000000003</v>
      </c>
    </row>
    <row r="652" spans="1:13" ht="45" hidden="1" x14ac:dyDescent="0.25">
      <c r="A652" s="313">
        <f t="shared" si="10"/>
        <v>651</v>
      </c>
      <c r="B652" s="314" t="s">
        <v>3198</v>
      </c>
      <c r="C652" s="315" t="s">
        <v>412</v>
      </c>
      <c r="D652" s="316" t="s">
        <v>3199</v>
      </c>
      <c r="E652" s="318">
        <v>2.74</v>
      </c>
      <c r="F652" s="318" t="s">
        <v>395</v>
      </c>
      <c r="G652" s="318" t="s">
        <v>395</v>
      </c>
      <c r="H652" s="318" t="s">
        <v>395</v>
      </c>
      <c r="I652" s="318" t="s">
        <v>406</v>
      </c>
      <c r="J652" s="318">
        <v>87</v>
      </c>
      <c r="K652" s="317" t="s">
        <v>410</v>
      </c>
      <c r="L652" s="317">
        <v>46.72636</v>
      </c>
      <c r="M652" s="317">
        <v>39.20917</v>
      </c>
    </row>
    <row r="653" spans="1:13" ht="60" hidden="1" x14ac:dyDescent="0.25">
      <c r="A653" s="313">
        <f t="shared" si="10"/>
        <v>652</v>
      </c>
      <c r="B653" s="314" t="s">
        <v>3202</v>
      </c>
      <c r="C653" s="315" t="s">
        <v>452</v>
      </c>
      <c r="D653" s="316" t="s">
        <v>3203</v>
      </c>
      <c r="E653" s="318">
        <v>3.2</v>
      </c>
      <c r="F653" s="318" t="s">
        <v>395</v>
      </c>
      <c r="G653" s="318" t="s">
        <v>395</v>
      </c>
      <c r="H653" s="318" t="s">
        <v>395</v>
      </c>
      <c r="I653" s="318" t="s">
        <v>406</v>
      </c>
      <c r="J653" s="318">
        <v>110</v>
      </c>
      <c r="K653" s="317" t="s">
        <v>410</v>
      </c>
      <c r="L653" s="317">
        <v>46.666420000000002</v>
      </c>
      <c r="M653" s="317">
        <v>39.090969999999999</v>
      </c>
    </row>
    <row r="654" spans="1:13" ht="75" hidden="1" x14ac:dyDescent="0.25">
      <c r="A654" s="313">
        <f t="shared" si="10"/>
        <v>653</v>
      </c>
      <c r="B654" s="314" t="s">
        <v>3206</v>
      </c>
      <c r="C654" s="315" t="s">
        <v>428</v>
      </c>
      <c r="D654" s="316" t="s">
        <v>3207</v>
      </c>
      <c r="E654" s="318">
        <v>1.84</v>
      </c>
      <c r="F654" s="318" t="s">
        <v>395</v>
      </c>
      <c r="G654" s="318" t="s">
        <v>395</v>
      </c>
      <c r="H654" s="318" t="s">
        <v>395</v>
      </c>
      <c r="I654" s="318" t="s">
        <v>406</v>
      </c>
      <c r="J654" s="318">
        <v>42</v>
      </c>
      <c r="K654" s="317" t="s">
        <v>410</v>
      </c>
      <c r="L654" s="317">
        <v>47.07902</v>
      </c>
      <c r="M654" s="317">
        <v>39.436100000000003</v>
      </c>
    </row>
    <row r="655" spans="1:13" ht="45" hidden="1" x14ac:dyDescent="0.25">
      <c r="A655" s="313">
        <f t="shared" si="10"/>
        <v>654</v>
      </c>
      <c r="B655" s="314" t="s">
        <v>3210</v>
      </c>
      <c r="C655" s="315" t="s">
        <v>412</v>
      </c>
      <c r="D655" s="316" t="s">
        <v>3211</v>
      </c>
      <c r="E655" s="318">
        <v>1.78</v>
      </c>
      <c r="F655" s="318" t="s">
        <v>395</v>
      </c>
      <c r="G655" s="318" t="s">
        <v>395</v>
      </c>
      <c r="H655" s="318" t="s">
        <v>395</v>
      </c>
      <c r="I655" s="318" t="s">
        <v>406</v>
      </c>
      <c r="J655" s="318">
        <v>39</v>
      </c>
      <c r="K655" s="317" t="s">
        <v>410</v>
      </c>
      <c r="L655" s="317">
        <v>47.084969999999998</v>
      </c>
      <c r="M655" s="317">
        <v>39.469169999999998</v>
      </c>
    </row>
    <row r="656" spans="1:13" ht="45" hidden="1" x14ac:dyDescent="0.25">
      <c r="A656" s="313">
        <f t="shared" si="10"/>
        <v>655</v>
      </c>
      <c r="B656" s="314" t="s">
        <v>3214</v>
      </c>
      <c r="C656" s="315" t="s">
        <v>412</v>
      </c>
      <c r="D656" s="316" t="s">
        <v>3215</v>
      </c>
      <c r="E656" s="318">
        <v>1.48</v>
      </c>
      <c r="F656" s="318" t="s">
        <v>395</v>
      </c>
      <c r="G656" s="318" t="s">
        <v>395</v>
      </c>
      <c r="H656" s="318" t="s">
        <v>395</v>
      </c>
      <c r="I656" s="318" t="s">
        <v>406</v>
      </c>
      <c r="J656" s="318">
        <v>24</v>
      </c>
      <c r="K656" s="317" t="s">
        <v>410</v>
      </c>
      <c r="L656" s="317">
        <v>47.302610000000001</v>
      </c>
      <c r="M656" s="317">
        <v>39.945869999999999</v>
      </c>
    </row>
    <row r="657" spans="1:13" ht="45" hidden="1" x14ac:dyDescent="0.25">
      <c r="A657" s="313">
        <f t="shared" si="10"/>
        <v>656</v>
      </c>
      <c r="B657" s="314" t="s">
        <v>3218</v>
      </c>
      <c r="C657" s="315" t="s">
        <v>412</v>
      </c>
      <c r="D657" s="316" t="s">
        <v>3219</v>
      </c>
      <c r="E657" s="318">
        <v>1.48</v>
      </c>
      <c r="F657" s="318" t="s">
        <v>395</v>
      </c>
      <c r="G657" s="318" t="s">
        <v>395</v>
      </c>
      <c r="H657" s="318" t="s">
        <v>395</v>
      </c>
      <c r="I657" s="318" t="s">
        <v>406</v>
      </c>
      <c r="J657" s="318">
        <v>24</v>
      </c>
      <c r="K657" s="317" t="s">
        <v>410</v>
      </c>
      <c r="L657" s="317">
        <v>47.150359999999999</v>
      </c>
      <c r="M657" s="317">
        <v>39.548969999999997</v>
      </c>
    </row>
    <row r="658" spans="1:13" ht="60" hidden="1" x14ac:dyDescent="0.25">
      <c r="A658" s="313">
        <f t="shared" si="10"/>
        <v>657</v>
      </c>
      <c r="B658" s="314" t="s">
        <v>3222</v>
      </c>
      <c r="C658" s="315" t="s">
        <v>447</v>
      </c>
      <c r="D658" s="316" t="s">
        <v>3223</v>
      </c>
      <c r="E658" s="318">
        <v>1.8</v>
      </c>
      <c r="F658" s="318" t="s">
        <v>395</v>
      </c>
      <c r="G658" s="318" t="s">
        <v>395</v>
      </c>
      <c r="H658" s="318" t="s">
        <v>395</v>
      </c>
      <c r="I658" s="318" t="s">
        <v>406</v>
      </c>
      <c r="J658" s="318">
        <v>40</v>
      </c>
      <c r="K658" s="317" t="s">
        <v>410</v>
      </c>
      <c r="L658" s="317">
        <v>46.931840000000001</v>
      </c>
      <c r="M658" s="317">
        <v>39.698990000000002</v>
      </c>
    </row>
    <row r="659" spans="1:13" ht="30" hidden="1" x14ac:dyDescent="0.25">
      <c r="A659" s="313">
        <f t="shared" si="10"/>
        <v>658</v>
      </c>
      <c r="B659" s="314" t="s">
        <v>3226</v>
      </c>
      <c r="C659" s="315" t="s">
        <v>399</v>
      </c>
      <c r="D659" s="316" t="s">
        <v>3227</v>
      </c>
      <c r="E659" s="318">
        <v>1.1000000000000001</v>
      </c>
      <c r="F659" s="318" t="s">
        <v>395</v>
      </c>
      <c r="G659" s="318" t="s">
        <v>395</v>
      </c>
      <c r="H659" s="318" t="s">
        <v>395</v>
      </c>
      <c r="I659" s="318" t="s">
        <v>406</v>
      </c>
      <c r="J659" s="318">
        <v>5</v>
      </c>
      <c r="K659" s="317" t="s">
        <v>410</v>
      </c>
      <c r="L659" s="317">
        <v>47.205460000000002</v>
      </c>
      <c r="M659" s="317">
        <v>39.728180000000002</v>
      </c>
    </row>
    <row r="660" spans="1:13" ht="60" hidden="1" x14ac:dyDescent="0.25">
      <c r="A660" s="313">
        <f t="shared" si="10"/>
        <v>659</v>
      </c>
      <c r="B660" s="314" t="s">
        <v>3230</v>
      </c>
      <c r="C660" s="315" t="s">
        <v>447</v>
      </c>
      <c r="D660" s="316" t="s">
        <v>3231</v>
      </c>
      <c r="E660" s="318">
        <v>1.2</v>
      </c>
      <c r="F660" s="318" t="s">
        <v>395</v>
      </c>
      <c r="G660" s="318" t="s">
        <v>395</v>
      </c>
      <c r="H660" s="318" t="s">
        <v>395</v>
      </c>
      <c r="I660" s="318" t="s">
        <v>406</v>
      </c>
      <c r="J660" s="318">
        <v>10</v>
      </c>
      <c r="K660" s="317" t="s">
        <v>410</v>
      </c>
      <c r="L660" s="317">
        <v>47.275739999999999</v>
      </c>
      <c r="M660" s="317">
        <v>39.736759999999997</v>
      </c>
    </row>
    <row r="661" spans="1:13" ht="75" hidden="1" x14ac:dyDescent="0.25">
      <c r="A661" s="313">
        <f t="shared" si="10"/>
        <v>660</v>
      </c>
      <c r="B661" s="314" t="s">
        <v>3234</v>
      </c>
      <c r="C661" s="315" t="s">
        <v>428</v>
      </c>
      <c r="D661" s="316" t="s">
        <v>3235</v>
      </c>
      <c r="E661" s="318">
        <v>1.22</v>
      </c>
      <c r="F661" s="318" t="s">
        <v>395</v>
      </c>
      <c r="G661" s="318" t="s">
        <v>395</v>
      </c>
      <c r="H661" s="318" t="s">
        <v>395</v>
      </c>
      <c r="I661" s="318" t="s">
        <v>406</v>
      </c>
      <c r="J661" s="318">
        <v>11</v>
      </c>
      <c r="K661" s="317" t="s">
        <v>410</v>
      </c>
      <c r="L661" s="317">
        <v>47.305</v>
      </c>
      <c r="M661" s="317">
        <v>39.739469999999997</v>
      </c>
    </row>
    <row r="662" spans="1:13" ht="30" hidden="1" x14ac:dyDescent="0.25">
      <c r="A662" s="313">
        <f t="shared" si="10"/>
        <v>661</v>
      </c>
      <c r="B662" s="314" t="s">
        <v>3238</v>
      </c>
      <c r="C662" s="315" t="s">
        <v>399</v>
      </c>
      <c r="D662" s="316" t="s">
        <v>3239</v>
      </c>
      <c r="E662" s="318">
        <v>1.2</v>
      </c>
      <c r="F662" s="318" t="s">
        <v>395</v>
      </c>
      <c r="G662" s="318" t="s">
        <v>395</v>
      </c>
      <c r="H662" s="318" t="s">
        <v>395</v>
      </c>
      <c r="I662" s="318" t="s">
        <v>406</v>
      </c>
      <c r="J662" s="318">
        <v>10</v>
      </c>
      <c r="K662" s="317" t="s">
        <v>410</v>
      </c>
      <c r="L662" s="317">
        <v>47.294359999999998</v>
      </c>
      <c r="M662" s="317">
        <v>39.702060000000003</v>
      </c>
    </row>
    <row r="663" spans="1:13" ht="75" hidden="1" x14ac:dyDescent="0.25">
      <c r="A663" s="313">
        <f t="shared" si="10"/>
        <v>662</v>
      </c>
      <c r="B663" s="314" t="s">
        <v>3242</v>
      </c>
      <c r="C663" s="315" t="s">
        <v>428</v>
      </c>
      <c r="D663" s="316" t="s">
        <v>3243</v>
      </c>
      <c r="E663" s="318">
        <v>1.26</v>
      </c>
      <c r="F663" s="318" t="s">
        <v>395</v>
      </c>
      <c r="G663" s="318" t="s">
        <v>395</v>
      </c>
      <c r="H663" s="318" t="s">
        <v>395</v>
      </c>
      <c r="I663" s="318" t="s">
        <v>406</v>
      </c>
      <c r="J663" s="318">
        <v>13</v>
      </c>
      <c r="K663" s="317" t="s">
        <v>410</v>
      </c>
      <c r="L663" s="317">
        <v>47.313079999999999</v>
      </c>
      <c r="M663" s="317">
        <v>39.795610000000003</v>
      </c>
    </row>
    <row r="664" spans="1:13" ht="60" hidden="1" x14ac:dyDescent="0.25">
      <c r="A664" s="313">
        <f t="shared" si="10"/>
        <v>663</v>
      </c>
      <c r="B664" s="314" t="s">
        <v>3246</v>
      </c>
      <c r="C664" s="315" t="s">
        <v>447</v>
      </c>
      <c r="D664" s="316" t="s">
        <v>3247</v>
      </c>
      <c r="E664" s="318">
        <v>1.08</v>
      </c>
      <c r="F664" s="318" t="s">
        <v>395</v>
      </c>
      <c r="G664" s="318" t="s">
        <v>395</v>
      </c>
      <c r="H664" s="318" t="s">
        <v>395</v>
      </c>
      <c r="I664" s="318" t="s">
        <v>406</v>
      </c>
      <c r="J664" s="318">
        <v>4</v>
      </c>
      <c r="K664" s="317" t="s">
        <v>410</v>
      </c>
      <c r="L664" s="317">
        <v>47.234639999999999</v>
      </c>
      <c r="M664" s="317">
        <v>39.673819999999999</v>
      </c>
    </row>
    <row r="665" spans="1:13" ht="45" hidden="1" x14ac:dyDescent="0.25">
      <c r="A665" s="313">
        <f t="shared" si="10"/>
        <v>664</v>
      </c>
      <c r="B665" s="314" t="s">
        <v>3250</v>
      </c>
      <c r="C665" s="315" t="s">
        <v>412</v>
      </c>
      <c r="D665" s="316" t="s">
        <v>3251</v>
      </c>
      <c r="E665" s="318">
        <v>1.08</v>
      </c>
      <c r="F665" s="318" t="s">
        <v>395</v>
      </c>
      <c r="G665" s="318" t="s">
        <v>395</v>
      </c>
      <c r="H665" s="318" t="s">
        <v>395</v>
      </c>
      <c r="I665" s="318" t="s">
        <v>406</v>
      </c>
      <c r="J665" s="318">
        <v>4</v>
      </c>
      <c r="K665" s="317" t="s">
        <v>410</v>
      </c>
      <c r="L665" s="317">
        <v>47.233029999999999</v>
      </c>
      <c r="M665" s="317">
        <v>39.760689999999997</v>
      </c>
    </row>
    <row r="666" spans="1:13" ht="60" hidden="1" x14ac:dyDescent="0.25">
      <c r="A666" s="313">
        <f t="shared" si="10"/>
        <v>665</v>
      </c>
      <c r="B666" s="314" t="s">
        <v>3254</v>
      </c>
      <c r="C666" s="315" t="s">
        <v>447</v>
      </c>
      <c r="D666" s="316" t="s">
        <v>3255</v>
      </c>
      <c r="E666" s="318">
        <v>1.1599999999999999</v>
      </c>
      <c r="F666" s="318" t="s">
        <v>395</v>
      </c>
      <c r="G666" s="318" t="s">
        <v>395</v>
      </c>
      <c r="H666" s="318" t="s">
        <v>395</v>
      </c>
      <c r="I666" s="318" t="s">
        <v>406</v>
      </c>
      <c r="J666" s="318">
        <v>8</v>
      </c>
      <c r="K666" s="317" t="s">
        <v>410</v>
      </c>
      <c r="L666" s="317">
        <v>47.267209999999999</v>
      </c>
      <c r="M666" s="317">
        <v>39.714350000000003</v>
      </c>
    </row>
    <row r="667" spans="1:13" ht="45" hidden="1" x14ac:dyDescent="0.25">
      <c r="A667" s="313">
        <f t="shared" si="10"/>
        <v>666</v>
      </c>
      <c r="B667" s="314" t="s">
        <v>3258</v>
      </c>
      <c r="C667" s="315" t="s">
        <v>412</v>
      </c>
      <c r="D667" s="316" t="s">
        <v>3259</v>
      </c>
      <c r="E667" s="318">
        <v>1.4</v>
      </c>
      <c r="F667" s="318" t="s">
        <v>395</v>
      </c>
      <c r="G667" s="318" t="s">
        <v>395</v>
      </c>
      <c r="H667" s="318" t="s">
        <v>395</v>
      </c>
      <c r="I667" s="318" t="s">
        <v>406</v>
      </c>
      <c r="J667" s="318">
        <v>20</v>
      </c>
      <c r="K667" s="317" t="s">
        <v>410</v>
      </c>
      <c r="L667" s="317">
        <v>47.262700000000002</v>
      </c>
      <c r="M667" s="317">
        <v>39.879600000000003</v>
      </c>
    </row>
    <row r="668" spans="1:13" ht="60" hidden="1" x14ac:dyDescent="0.25">
      <c r="A668" s="313">
        <f t="shared" si="10"/>
        <v>667</v>
      </c>
      <c r="B668" s="314" t="s">
        <v>3262</v>
      </c>
      <c r="C668" s="315" t="s">
        <v>447</v>
      </c>
      <c r="D668" s="316" t="s">
        <v>3263</v>
      </c>
      <c r="E668" s="318">
        <v>1.1599999999999999</v>
      </c>
      <c r="F668" s="318" t="s">
        <v>395</v>
      </c>
      <c r="G668" s="318" t="s">
        <v>395</v>
      </c>
      <c r="H668" s="318" t="s">
        <v>395</v>
      </c>
      <c r="I668" s="318" t="s">
        <v>406</v>
      </c>
      <c r="J668" s="318">
        <v>8</v>
      </c>
      <c r="K668" s="317" t="s">
        <v>410</v>
      </c>
      <c r="L668" s="317">
        <v>47.270299999999999</v>
      </c>
      <c r="M668" s="317">
        <v>39.707279999999997</v>
      </c>
    </row>
    <row r="669" spans="1:13" ht="45" hidden="1" x14ac:dyDescent="0.25">
      <c r="A669" s="313">
        <f t="shared" si="10"/>
        <v>668</v>
      </c>
      <c r="B669" s="314" t="s">
        <v>3266</v>
      </c>
      <c r="C669" s="315" t="s">
        <v>412</v>
      </c>
      <c r="D669" s="316" t="s">
        <v>3267</v>
      </c>
      <c r="E669" s="318">
        <v>1.1399999999999999</v>
      </c>
      <c r="F669" s="318" t="s">
        <v>395</v>
      </c>
      <c r="G669" s="318" t="s">
        <v>395</v>
      </c>
      <c r="H669" s="318" t="s">
        <v>395</v>
      </c>
      <c r="I669" s="318" t="s">
        <v>406</v>
      </c>
      <c r="J669" s="318">
        <v>7</v>
      </c>
      <c r="K669" s="317" t="s">
        <v>410</v>
      </c>
      <c r="L669" s="317">
        <v>47.270330000000001</v>
      </c>
      <c r="M669" s="317">
        <v>39.746810000000004</v>
      </c>
    </row>
    <row r="670" spans="1:13" ht="75" hidden="1" x14ac:dyDescent="0.25">
      <c r="A670" s="313">
        <f t="shared" si="10"/>
        <v>669</v>
      </c>
      <c r="B670" s="314" t="s">
        <v>3270</v>
      </c>
      <c r="C670" s="315" t="s">
        <v>428</v>
      </c>
      <c r="D670" s="316" t="s">
        <v>3271</v>
      </c>
      <c r="E670" s="318">
        <v>1.22</v>
      </c>
      <c r="F670" s="318" t="s">
        <v>395</v>
      </c>
      <c r="G670" s="318" t="s">
        <v>395</v>
      </c>
      <c r="H670" s="318" t="s">
        <v>395</v>
      </c>
      <c r="I670" s="318" t="s">
        <v>406</v>
      </c>
      <c r="J670" s="318">
        <v>11</v>
      </c>
      <c r="K670" s="317" t="s">
        <v>410</v>
      </c>
      <c r="L670" s="317">
        <v>47.302280000000003</v>
      </c>
      <c r="M670" s="317">
        <v>39.750529999999998</v>
      </c>
    </row>
    <row r="671" spans="1:13" ht="45" hidden="1" x14ac:dyDescent="0.25">
      <c r="A671" s="313">
        <f t="shared" si="10"/>
        <v>670</v>
      </c>
      <c r="B671" s="314" t="s">
        <v>3274</v>
      </c>
      <c r="C671" s="315" t="s">
        <v>412</v>
      </c>
      <c r="D671" s="316" t="s">
        <v>3275</v>
      </c>
      <c r="E671" s="318">
        <v>1.1399999999999999</v>
      </c>
      <c r="F671" s="318" t="s">
        <v>395</v>
      </c>
      <c r="G671" s="318" t="s">
        <v>395</v>
      </c>
      <c r="H671" s="318" t="s">
        <v>395</v>
      </c>
      <c r="I671" s="318" t="s">
        <v>406</v>
      </c>
      <c r="J671" s="318">
        <v>7</v>
      </c>
      <c r="K671" s="317" t="s">
        <v>410</v>
      </c>
      <c r="L671" s="317">
        <v>47.249720000000003</v>
      </c>
      <c r="M671" s="317">
        <v>39.796390000000002</v>
      </c>
    </row>
    <row r="672" spans="1:13" ht="30" hidden="1" x14ac:dyDescent="0.25">
      <c r="A672" s="313">
        <f t="shared" si="10"/>
        <v>671</v>
      </c>
      <c r="B672" s="314" t="s">
        <v>3278</v>
      </c>
      <c r="C672" s="315" t="s">
        <v>399</v>
      </c>
      <c r="D672" s="316" t="s">
        <v>3279</v>
      </c>
      <c r="E672" s="318">
        <v>1.18</v>
      </c>
      <c r="F672" s="318" t="s">
        <v>395</v>
      </c>
      <c r="G672" s="318" t="s">
        <v>395</v>
      </c>
      <c r="H672" s="318" t="s">
        <v>395</v>
      </c>
      <c r="I672" s="318" t="s">
        <v>406</v>
      </c>
      <c r="J672" s="318">
        <v>9</v>
      </c>
      <c r="K672" s="317" t="s">
        <v>410</v>
      </c>
      <c r="L672" s="317">
        <v>47.295389999999998</v>
      </c>
      <c r="M672" s="317">
        <v>39.707970000000003</v>
      </c>
    </row>
    <row r="673" spans="1:13" ht="45" hidden="1" x14ac:dyDescent="0.25">
      <c r="A673" s="313">
        <f t="shared" si="10"/>
        <v>672</v>
      </c>
      <c r="B673" s="314" t="s">
        <v>3282</v>
      </c>
      <c r="C673" s="315" t="s">
        <v>412</v>
      </c>
      <c r="D673" s="316" t="s">
        <v>3283</v>
      </c>
      <c r="E673" s="318">
        <v>1.08</v>
      </c>
      <c r="F673" s="318" t="s">
        <v>395</v>
      </c>
      <c r="G673" s="318" t="s">
        <v>395</v>
      </c>
      <c r="H673" s="318" t="s">
        <v>395</v>
      </c>
      <c r="I673" s="318" t="s">
        <v>406</v>
      </c>
      <c r="J673" s="318">
        <v>4</v>
      </c>
      <c r="K673" s="317" t="s">
        <v>410</v>
      </c>
      <c r="L673" s="317">
        <v>47.248899999999999</v>
      </c>
      <c r="M673" s="317">
        <v>39.776589999999999</v>
      </c>
    </row>
    <row r="674" spans="1:13" ht="45" hidden="1" x14ac:dyDescent="0.25">
      <c r="A674" s="313">
        <f t="shared" si="10"/>
        <v>673</v>
      </c>
      <c r="B674" s="314" t="s">
        <v>3286</v>
      </c>
      <c r="C674" s="315" t="s">
        <v>412</v>
      </c>
      <c r="D674" s="316" t="s">
        <v>3287</v>
      </c>
      <c r="E674" s="318">
        <v>1.2</v>
      </c>
      <c r="F674" s="318" t="s">
        <v>395</v>
      </c>
      <c r="G674" s="318" t="s">
        <v>395</v>
      </c>
      <c r="H674" s="318" t="s">
        <v>395</v>
      </c>
      <c r="I674" s="318" t="s">
        <v>406</v>
      </c>
      <c r="J674" s="318">
        <v>10</v>
      </c>
      <c r="K674" s="317" t="s">
        <v>410</v>
      </c>
      <c r="L674" s="317">
        <v>47.277259999999998</v>
      </c>
      <c r="M674" s="317">
        <v>39.835970000000003</v>
      </c>
    </row>
    <row r="675" spans="1:13" ht="75" hidden="1" x14ac:dyDescent="0.25">
      <c r="A675" s="313">
        <f t="shared" si="10"/>
        <v>674</v>
      </c>
      <c r="B675" s="314" t="s">
        <v>3290</v>
      </c>
      <c r="C675" s="315" t="s">
        <v>428</v>
      </c>
      <c r="D675" s="316" t="s">
        <v>3291</v>
      </c>
      <c r="E675" s="318">
        <v>1.18</v>
      </c>
      <c r="F675" s="318" t="s">
        <v>395</v>
      </c>
      <c r="G675" s="318" t="s">
        <v>395</v>
      </c>
      <c r="H675" s="318" t="s">
        <v>395</v>
      </c>
      <c r="I675" s="318" t="s">
        <v>406</v>
      </c>
      <c r="J675" s="318">
        <v>9</v>
      </c>
      <c r="K675" s="317" t="s">
        <v>410</v>
      </c>
      <c r="L675" s="317">
        <v>47.292929999999998</v>
      </c>
      <c r="M675" s="317">
        <v>39.721490000000003</v>
      </c>
    </row>
    <row r="676" spans="1:13" ht="60" hidden="1" x14ac:dyDescent="0.25">
      <c r="A676" s="313">
        <f t="shared" si="10"/>
        <v>675</v>
      </c>
      <c r="B676" s="314" t="s">
        <v>3294</v>
      </c>
      <c r="C676" s="315" t="s">
        <v>447</v>
      </c>
      <c r="D676" s="316" t="s">
        <v>3295</v>
      </c>
      <c r="E676" s="318">
        <v>1.08</v>
      </c>
      <c r="F676" s="318" t="s">
        <v>395</v>
      </c>
      <c r="G676" s="318" t="s">
        <v>395</v>
      </c>
      <c r="H676" s="318" t="s">
        <v>395</v>
      </c>
      <c r="I676" s="318" t="s">
        <v>406</v>
      </c>
      <c r="J676" s="318">
        <v>4</v>
      </c>
      <c r="K676" s="317" t="s">
        <v>410</v>
      </c>
      <c r="L676" s="317">
        <v>47.24465</v>
      </c>
      <c r="M676" s="317">
        <v>39.69829</v>
      </c>
    </row>
    <row r="677" spans="1:13" ht="75" hidden="1" x14ac:dyDescent="0.25">
      <c r="A677" s="313">
        <f t="shared" si="10"/>
        <v>676</v>
      </c>
      <c r="B677" s="314" t="s">
        <v>3298</v>
      </c>
      <c r="C677" s="315" t="s">
        <v>428</v>
      </c>
      <c r="D677" s="316" t="s">
        <v>3299</v>
      </c>
      <c r="E677" s="318">
        <v>1.1200000000000001</v>
      </c>
      <c r="F677" s="318" t="s">
        <v>395</v>
      </c>
      <c r="G677" s="318" t="s">
        <v>395</v>
      </c>
      <c r="H677" s="318" t="s">
        <v>395</v>
      </c>
      <c r="I677" s="318" t="s">
        <v>406</v>
      </c>
      <c r="J677" s="318">
        <v>6</v>
      </c>
      <c r="K677" s="317" t="s">
        <v>410</v>
      </c>
      <c r="L677" s="317">
        <v>47.256329999999998</v>
      </c>
      <c r="M677" s="317">
        <v>39.710410000000003</v>
      </c>
    </row>
    <row r="678" spans="1:13" ht="45" hidden="1" x14ac:dyDescent="0.25">
      <c r="A678" s="313">
        <f t="shared" si="10"/>
        <v>677</v>
      </c>
      <c r="B678" s="314" t="s">
        <v>3302</v>
      </c>
      <c r="C678" s="315" t="s">
        <v>393</v>
      </c>
      <c r="D678" s="316" t="s">
        <v>3303</v>
      </c>
      <c r="E678" s="318">
        <v>1.22</v>
      </c>
      <c r="F678" s="318" t="s">
        <v>395</v>
      </c>
      <c r="G678" s="318" t="s">
        <v>395</v>
      </c>
      <c r="H678" s="318" t="s">
        <v>395</v>
      </c>
      <c r="I678" s="318" t="s">
        <v>406</v>
      </c>
      <c r="J678" s="318">
        <v>11</v>
      </c>
      <c r="K678" s="317" t="s">
        <v>410</v>
      </c>
      <c r="L678" s="317">
        <v>47.298859999999998</v>
      </c>
      <c r="M678" s="317">
        <v>39.779139999999998</v>
      </c>
    </row>
    <row r="679" spans="1:13" ht="60" hidden="1" x14ac:dyDescent="0.25">
      <c r="A679" s="313">
        <f t="shared" si="10"/>
        <v>678</v>
      </c>
      <c r="B679" s="314" t="s">
        <v>3306</v>
      </c>
      <c r="C679" s="315" t="s">
        <v>447</v>
      </c>
      <c r="D679" s="316" t="s">
        <v>3307</v>
      </c>
      <c r="E679" s="318">
        <v>1.04</v>
      </c>
      <c r="F679" s="318" t="s">
        <v>395</v>
      </c>
      <c r="G679" s="318" t="s">
        <v>395</v>
      </c>
      <c r="H679" s="318" t="s">
        <v>395</v>
      </c>
      <c r="I679" s="318" t="s">
        <v>406</v>
      </c>
      <c r="J679" s="318">
        <v>2</v>
      </c>
      <c r="K679" s="317" t="s">
        <v>410</v>
      </c>
      <c r="L679" s="317">
        <v>47.227670000000003</v>
      </c>
      <c r="M679" s="317">
        <v>39.68694</v>
      </c>
    </row>
    <row r="680" spans="1:13" ht="75" hidden="1" x14ac:dyDescent="0.25">
      <c r="A680" s="313">
        <f t="shared" si="10"/>
        <v>679</v>
      </c>
      <c r="B680" s="314" t="s">
        <v>3310</v>
      </c>
      <c r="C680" s="315" t="s">
        <v>428</v>
      </c>
      <c r="D680" s="316" t="s">
        <v>3311</v>
      </c>
      <c r="E680" s="318">
        <v>1.26</v>
      </c>
      <c r="F680" s="318" t="s">
        <v>395</v>
      </c>
      <c r="G680" s="318" t="s">
        <v>395</v>
      </c>
      <c r="H680" s="318" t="s">
        <v>395</v>
      </c>
      <c r="I680" s="318" t="s">
        <v>406</v>
      </c>
      <c r="J680" s="318">
        <v>13</v>
      </c>
      <c r="K680" s="317" t="s">
        <v>410</v>
      </c>
      <c r="L680" s="317">
        <v>47.154359999999997</v>
      </c>
      <c r="M680" s="317">
        <v>39.768999999999998</v>
      </c>
    </row>
    <row r="681" spans="1:13" ht="45" hidden="1" x14ac:dyDescent="0.25">
      <c r="A681" s="313">
        <f t="shared" si="10"/>
        <v>680</v>
      </c>
      <c r="B681" s="314" t="s">
        <v>3314</v>
      </c>
      <c r="C681" s="315" t="s">
        <v>412</v>
      </c>
      <c r="D681" s="316" t="s">
        <v>3315</v>
      </c>
      <c r="E681" s="318">
        <v>1.86</v>
      </c>
      <c r="F681" s="318" t="s">
        <v>395</v>
      </c>
      <c r="G681" s="318" t="s">
        <v>395</v>
      </c>
      <c r="H681" s="318" t="s">
        <v>395</v>
      </c>
      <c r="I681" s="318" t="s">
        <v>406</v>
      </c>
      <c r="J681" s="318">
        <v>43</v>
      </c>
      <c r="K681" s="317" t="s">
        <v>410</v>
      </c>
      <c r="L681" s="317">
        <v>47.206060000000001</v>
      </c>
      <c r="M681" s="317">
        <v>39.343510000000002</v>
      </c>
    </row>
    <row r="682" spans="1:13" ht="60" hidden="1" x14ac:dyDescent="0.25">
      <c r="A682" s="313">
        <f t="shared" si="10"/>
        <v>681</v>
      </c>
      <c r="B682" s="314" t="s">
        <v>3318</v>
      </c>
      <c r="C682" s="315" t="s">
        <v>408</v>
      </c>
      <c r="D682" s="316" t="s">
        <v>3319</v>
      </c>
      <c r="E682" s="318">
        <v>1.26</v>
      </c>
      <c r="F682" s="318" t="s">
        <v>395</v>
      </c>
      <c r="G682" s="318" t="s">
        <v>395</v>
      </c>
      <c r="H682" s="318" t="s">
        <v>395</v>
      </c>
      <c r="I682" s="318" t="s">
        <v>406</v>
      </c>
      <c r="J682" s="318">
        <v>13</v>
      </c>
      <c r="K682" s="317" t="s">
        <v>410</v>
      </c>
      <c r="L682" s="317">
        <v>47.157499999999999</v>
      </c>
      <c r="M682" s="317">
        <v>39.749720000000003</v>
      </c>
    </row>
    <row r="683" spans="1:13" ht="75" hidden="1" x14ac:dyDescent="0.25">
      <c r="A683" s="313">
        <f t="shared" si="10"/>
        <v>682</v>
      </c>
      <c r="B683" s="314" t="s">
        <v>3322</v>
      </c>
      <c r="C683" s="315" t="s">
        <v>428</v>
      </c>
      <c r="D683" s="316" t="s">
        <v>3323</v>
      </c>
      <c r="E683" s="318">
        <v>1.64</v>
      </c>
      <c r="F683" s="318" t="s">
        <v>395</v>
      </c>
      <c r="G683" s="318" t="s">
        <v>395</v>
      </c>
      <c r="H683" s="318" t="s">
        <v>395</v>
      </c>
      <c r="I683" s="318" t="s">
        <v>406</v>
      </c>
      <c r="J683" s="318">
        <v>32</v>
      </c>
      <c r="K683" s="317" t="s">
        <v>410</v>
      </c>
      <c r="L683" s="317">
        <v>47.091830000000002</v>
      </c>
      <c r="M683" s="317">
        <v>39.855559999999997</v>
      </c>
    </row>
    <row r="684" spans="1:13" ht="45" hidden="1" x14ac:dyDescent="0.25">
      <c r="A684" s="313">
        <f t="shared" si="10"/>
        <v>683</v>
      </c>
      <c r="B684" s="314" t="s">
        <v>3326</v>
      </c>
      <c r="C684" s="315" t="s">
        <v>412</v>
      </c>
      <c r="D684" s="316" t="s">
        <v>3327</v>
      </c>
      <c r="E684" s="318">
        <v>1.54</v>
      </c>
      <c r="F684" s="318" t="s">
        <v>395</v>
      </c>
      <c r="G684" s="318" t="s">
        <v>395</v>
      </c>
      <c r="H684" s="318" t="s">
        <v>395</v>
      </c>
      <c r="I684" s="318" t="s">
        <v>406</v>
      </c>
      <c r="J684" s="318">
        <v>27</v>
      </c>
      <c r="K684" s="317" t="s">
        <v>410</v>
      </c>
      <c r="L684" s="317">
        <v>47.131599999999999</v>
      </c>
      <c r="M684" s="317">
        <v>39.877079999999999</v>
      </c>
    </row>
    <row r="685" spans="1:13" ht="30" hidden="1" x14ac:dyDescent="0.25">
      <c r="A685" s="313">
        <f t="shared" si="10"/>
        <v>684</v>
      </c>
      <c r="B685" s="314" t="s">
        <v>3330</v>
      </c>
      <c r="C685" s="315" t="s">
        <v>399</v>
      </c>
      <c r="D685" s="316" t="s">
        <v>3331</v>
      </c>
      <c r="E685" s="318">
        <v>1.24</v>
      </c>
      <c r="F685" s="318" t="s">
        <v>395</v>
      </c>
      <c r="G685" s="318" t="s">
        <v>395</v>
      </c>
      <c r="H685" s="318" t="s">
        <v>395</v>
      </c>
      <c r="I685" s="318" t="s">
        <v>406</v>
      </c>
      <c r="J685" s="318">
        <v>12</v>
      </c>
      <c r="K685" s="317" t="s">
        <v>410</v>
      </c>
      <c r="L685" s="317">
        <v>47.302909999999997</v>
      </c>
      <c r="M685" s="317">
        <v>39.727800000000002</v>
      </c>
    </row>
    <row r="686" spans="1:13" ht="75" hidden="1" x14ac:dyDescent="0.25">
      <c r="A686" s="313">
        <f t="shared" si="10"/>
        <v>685</v>
      </c>
      <c r="B686" s="314" t="s">
        <v>3334</v>
      </c>
      <c r="C686" s="315" t="s">
        <v>428</v>
      </c>
      <c r="D686" s="316" t="s">
        <v>3335</v>
      </c>
      <c r="E686" s="318">
        <v>1.3</v>
      </c>
      <c r="F686" s="318" t="s">
        <v>395</v>
      </c>
      <c r="G686" s="318" t="s">
        <v>395</v>
      </c>
      <c r="H686" s="318" t="s">
        <v>395</v>
      </c>
      <c r="I686" s="318" t="s">
        <v>406</v>
      </c>
      <c r="J686" s="318">
        <v>15</v>
      </c>
      <c r="K686" s="317" t="s">
        <v>410</v>
      </c>
      <c r="L686" s="317">
        <v>47.129939999999998</v>
      </c>
      <c r="M686" s="317">
        <v>39.735109999999999</v>
      </c>
    </row>
    <row r="687" spans="1:13" ht="45" hidden="1" x14ac:dyDescent="0.25">
      <c r="A687" s="313">
        <f t="shared" si="10"/>
        <v>686</v>
      </c>
      <c r="B687" s="314" t="s">
        <v>3338</v>
      </c>
      <c r="C687" s="315" t="s">
        <v>412</v>
      </c>
      <c r="D687" s="316" t="s">
        <v>3339</v>
      </c>
      <c r="E687" s="318">
        <v>1.3</v>
      </c>
      <c r="F687" s="318" t="s">
        <v>395</v>
      </c>
      <c r="G687" s="318" t="s">
        <v>395</v>
      </c>
      <c r="H687" s="318" t="s">
        <v>395</v>
      </c>
      <c r="I687" s="318" t="s">
        <v>406</v>
      </c>
      <c r="J687" s="318">
        <v>15</v>
      </c>
      <c r="K687" s="317" t="s">
        <v>410</v>
      </c>
      <c r="L687" s="317">
        <v>47.13944</v>
      </c>
      <c r="M687" s="317">
        <v>39.751669999999997</v>
      </c>
    </row>
    <row r="688" spans="1:13" ht="75" hidden="1" x14ac:dyDescent="0.25">
      <c r="A688" s="313">
        <f t="shared" si="10"/>
        <v>687</v>
      </c>
      <c r="B688" s="314" t="s">
        <v>3342</v>
      </c>
      <c r="C688" s="315" t="s">
        <v>428</v>
      </c>
      <c r="D688" s="316" t="s">
        <v>3343</v>
      </c>
      <c r="E688" s="318">
        <v>1.44</v>
      </c>
      <c r="F688" s="318" t="s">
        <v>395</v>
      </c>
      <c r="G688" s="318" t="s">
        <v>395</v>
      </c>
      <c r="H688" s="318" t="s">
        <v>395</v>
      </c>
      <c r="I688" s="318" t="s">
        <v>406</v>
      </c>
      <c r="J688" s="318">
        <v>22</v>
      </c>
      <c r="K688" s="317" t="s">
        <v>410</v>
      </c>
      <c r="L688" s="317">
        <v>47.12397</v>
      </c>
      <c r="M688" s="317">
        <v>39.704329999999999</v>
      </c>
    </row>
    <row r="689" spans="1:13" ht="60" hidden="1" x14ac:dyDescent="0.25">
      <c r="A689" s="313">
        <f t="shared" si="10"/>
        <v>688</v>
      </c>
      <c r="B689" s="314" t="s">
        <v>3346</v>
      </c>
      <c r="C689" s="315" t="s">
        <v>452</v>
      </c>
      <c r="D689" s="316" t="s">
        <v>3347</v>
      </c>
      <c r="E689" s="318">
        <v>2.04</v>
      </c>
      <c r="F689" s="318" t="s">
        <v>395</v>
      </c>
      <c r="G689" s="318" t="s">
        <v>395</v>
      </c>
      <c r="H689" s="318" t="s">
        <v>395</v>
      </c>
      <c r="I689" s="318" t="s">
        <v>406</v>
      </c>
      <c r="J689" s="318">
        <v>52</v>
      </c>
      <c r="K689" s="317" t="s">
        <v>410</v>
      </c>
      <c r="L689" s="317">
        <v>46.965240000000001</v>
      </c>
      <c r="M689" s="317">
        <v>39.54562</v>
      </c>
    </row>
    <row r="690" spans="1:13" ht="75" hidden="1" x14ac:dyDescent="0.25">
      <c r="A690" s="313">
        <f t="shared" si="10"/>
        <v>689</v>
      </c>
      <c r="B690" s="314" t="s">
        <v>3350</v>
      </c>
      <c r="C690" s="315" t="s">
        <v>428</v>
      </c>
      <c r="D690" s="316" t="s">
        <v>3351</v>
      </c>
      <c r="E690" s="318">
        <v>1.66</v>
      </c>
      <c r="F690" s="318" t="s">
        <v>395</v>
      </c>
      <c r="G690" s="318" t="s">
        <v>395</v>
      </c>
      <c r="H690" s="318" t="s">
        <v>395</v>
      </c>
      <c r="I690" s="318" t="s">
        <v>406</v>
      </c>
      <c r="J690" s="318">
        <v>33</v>
      </c>
      <c r="K690" s="317" t="s">
        <v>410</v>
      </c>
      <c r="L690" s="317">
        <v>47.386920000000003</v>
      </c>
      <c r="M690" s="317">
        <v>39.872109999999999</v>
      </c>
    </row>
    <row r="691" spans="1:13" ht="30" hidden="1" x14ac:dyDescent="0.25">
      <c r="A691" s="313">
        <f t="shared" si="10"/>
        <v>690</v>
      </c>
      <c r="B691" s="314" t="s">
        <v>3354</v>
      </c>
      <c r="C691" s="315" t="s">
        <v>399</v>
      </c>
      <c r="D691" s="316" t="s">
        <v>3355</v>
      </c>
      <c r="E691" s="318">
        <v>1.82</v>
      </c>
      <c r="F691" s="318" t="s">
        <v>395</v>
      </c>
      <c r="G691" s="318" t="s">
        <v>395</v>
      </c>
      <c r="H691" s="318" t="s">
        <v>395</v>
      </c>
      <c r="I691" s="318" t="s">
        <v>406</v>
      </c>
      <c r="J691" s="318">
        <v>41</v>
      </c>
      <c r="K691" s="317" t="s">
        <v>410</v>
      </c>
      <c r="L691" s="317">
        <v>47.097430000000003</v>
      </c>
      <c r="M691" s="317">
        <v>39.433929999999997</v>
      </c>
    </row>
    <row r="692" spans="1:13" ht="30" hidden="1" x14ac:dyDescent="0.25">
      <c r="A692" s="313">
        <f t="shared" si="10"/>
        <v>691</v>
      </c>
      <c r="B692" s="314" t="s">
        <v>3358</v>
      </c>
      <c r="C692" s="315" t="s">
        <v>399</v>
      </c>
      <c r="D692" s="316" t="s">
        <v>3359</v>
      </c>
      <c r="E692" s="318">
        <v>1.2</v>
      </c>
      <c r="F692" s="318" t="s">
        <v>395</v>
      </c>
      <c r="G692" s="318" t="s">
        <v>395</v>
      </c>
      <c r="H692" s="318" t="s">
        <v>395</v>
      </c>
      <c r="I692" s="318" t="s">
        <v>406</v>
      </c>
      <c r="J692" s="318">
        <v>10</v>
      </c>
      <c r="K692" s="317" t="s">
        <v>410</v>
      </c>
      <c r="L692" s="317">
        <v>47.283180000000002</v>
      </c>
      <c r="M692" s="317">
        <v>39.703229999999998</v>
      </c>
    </row>
    <row r="693" spans="1:13" ht="75" hidden="1" x14ac:dyDescent="0.25">
      <c r="A693" s="313">
        <f t="shared" si="10"/>
        <v>692</v>
      </c>
      <c r="B693" s="314" t="s">
        <v>3362</v>
      </c>
      <c r="C693" s="315" t="s">
        <v>428</v>
      </c>
      <c r="D693" s="316" t="s">
        <v>3363</v>
      </c>
      <c r="E693" s="318">
        <v>1.74</v>
      </c>
      <c r="F693" s="318" t="s">
        <v>395</v>
      </c>
      <c r="G693" s="318" t="s">
        <v>395</v>
      </c>
      <c r="H693" s="318" t="s">
        <v>395</v>
      </c>
      <c r="I693" s="318" t="s">
        <v>406</v>
      </c>
      <c r="J693" s="318">
        <v>37</v>
      </c>
      <c r="K693" s="317" t="s">
        <v>410</v>
      </c>
      <c r="L693" s="317">
        <v>47.302219999999998</v>
      </c>
      <c r="M693" s="317">
        <v>39.859000000000002</v>
      </c>
    </row>
    <row r="694" spans="1:13" ht="45" hidden="1" x14ac:dyDescent="0.25">
      <c r="A694" s="313">
        <f t="shared" si="10"/>
        <v>693</v>
      </c>
      <c r="B694" s="314" t="s">
        <v>3366</v>
      </c>
      <c r="C694" s="315" t="s">
        <v>412</v>
      </c>
      <c r="D694" s="316" t="s">
        <v>3367</v>
      </c>
      <c r="E694" s="318">
        <v>1.26</v>
      </c>
      <c r="F694" s="318" t="s">
        <v>395</v>
      </c>
      <c r="G694" s="318" t="s">
        <v>395</v>
      </c>
      <c r="H694" s="318" t="s">
        <v>395</v>
      </c>
      <c r="I694" s="318" t="s">
        <v>406</v>
      </c>
      <c r="J694" s="318">
        <v>13</v>
      </c>
      <c r="K694" s="317" t="s">
        <v>410</v>
      </c>
      <c r="L694" s="317">
        <v>47.13458</v>
      </c>
      <c r="M694" s="317">
        <v>39.742469999999997</v>
      </c>
    </row>
    <row r="695" spans="1:13" hidden="1" x14ac:dyDescent="0.25">
      <c r="A695" s="313">
        <f t="shared" si="10"/>
        <v>694</v>
      </c>
      <c r="B695" s="314" t="s">
        <v>3370</v>
      </c>
      <c r="C695" s="315" t="s">
        <v>402</v>
      </c>
      <c r="D695" s="316" t="s">
        <v>3371</v>
      </c>
      <c r="E695" s="318">
        <v>1.9</v>
      </c>
      <c r="F695" s="318" t="s">
        <v>395</v>
      </c>
      <c r="G695" s="318" t="s">
        <v>395</v>
      </c>
      <c r="H695" s="318" t="s">
        <v>395</v>
      </c>
      <c r="I695" s="318" t="s">
        <v>406</v>
      </c>
      <c r="J695" s="318">
        <v>45</v>
      </c>
      <c r="K695" s="317" t="s">
        <v>410</v>
      </c>
      <c r="L695" s="317">
        <v>47.488689999999998</v>
      </c>
      <c r="M695" s="317">
        <v>39.928159999999998</v>
      </c>
    </row>
    <row r="696" spans="1:13" ht="45" hidden="1" x14ac:dyDescent="0.25">
      <c r="A696" s="313">
        <f t="shared" si="10"/>
        <v>695</v>
      </c>
      <c r="B696" s="314" t="s">
        <v>3374</v>
      </c>
      <c r="C696" s="315" t="s">
        <v>412</v>
      </c>
      <c r="D696" s="316" t="s">
        <v>3375</v>
      </c>
      <c r="E696" s="318">
        <v>1.96</v>
      </c>
      <c r="F696" s="318" t="s">
        <v>395</v>
      </c>
      <c r="G696" s="318" t="s">
        <v>395</v>
      </c>
      <c r="H696" s="318" t="s">
        <v>395</v>
      </c>
      <c r="I696" s="318" t="s">
        <v>406</v>
      </c>
      <c r="J696" s="318">
        <v>48</v>
      </c>
      <c r="K696" s="317" t="s">
        <v>410</v>
      </c>
      <c r="L696" s="317">
        <v>46.979080000000003</v>
      </c>
      <c r="M696" s="317">
        <v>40.0595</v>
      </c>
    </row>
    <row r="697" spans="1:13" ht="30" hidden="1" x14ac:dyDescent="0.25">
      <c r="A697" s="313">
        <f t="shared" si="10"/>
        <v>696</v>
      </c>
      <c r="B697" s="314" t="s">
        <v>3378</v>
      </c>
      <c r="C697" s="315" t="s">
        <v>399</v>
      </c>
      <c r="D697" s="316" t="s">
        <v>3379</v>
      </c>
      <c r="E697" s="318">
        <v>2.2400000000000002</v>
      </c>
      <c r="F697" s="318" t="s">
        <v>395</v>
      </c>
      <c r="G697" s="318" t="s">
        <v>395</v>
      </c>
      <c r="H697" s="318" t="s">
        <v>395</v>
      </c>
      <c r="I697" s="318" t="s">
        <v>406</v>
      </c>
      <c r="J697" s="318">
        <v>62</v>
      </c>
      <c r="K697" s="317" t="s">
        <v>410</v>
      </c>
      <c r="L697" s="317">
        <v>46.897309999999997</v>
      </c>
      <c r="M697" s="317">
        <v>40.177250000000001</v>
      </c>
    </row>
    <row r="698" spans="1:13" ht="25.5" hidden="1" x14ac:dyDescent="0.25">
      <c r="A698" s="313">
        <f t="shared" si="10"/>
        <v>697</v>
      </c>
      <c r="B698" s="314" t="s">
        <v>3382</v>
      </c>
      <c r="C698" s="315" t="s">
        <v>2076</v>
      </c>
      <c r="D698" s="316" t="s">
        <v>2077</v>
      </c>
      <c r="E698" s="318">
        <v>1.28</v>
      </c>
      <c r="F698" s="318" t="s">
        <v>395</v>
      </c>
      <c r="G698" s="318" t="s">
        <v>395</v>
      </c>
      <c r="H698" s="318" t="s">
        <v>395</v>
      </c>
      <c r="I698" s="318" t="s">
        <v>406</v>
      </c>
      <c r="J698" s="318">
        <v>14</v>
      </c>
      <c r="K698" s="317" t="s">
        <v>410</v>
      </c>
      <c r="L698" s="317">
        <v>47.284140000000001</v>
      </c>
      <c r="M698" s="317">
        <v>39.810459999999999</v>
      </c>
    </row>
    <row r="699" spans="1:13" ht="75" hidden="1" x14ac:dyDescent="0.25">
      <c r="A699" s="313">
        <f t="shared" si="10"/>
        <v>698</v>
      </c>
      <c r="B699" s="314" t="s">
        <v>3385</v>
      </c>
      <c r="C699" s="315" t="s">
        <v>428</v>
      </c>
      <c r="D699" s="316" t="s">
        <v>3386</v>
      </c>
      <c r="E699" s="318">
        <v>2.2000000000000002</v>
      </c>
      <c r="F699" s="318" t="s">
        <v>395</v>
      </c>
      <c r="G699" s="318" t="s">
        <v>395</v>
      </c>
      <c r="H699" s="318" t="s">
        <v>395</v>
      </c>
      <c r="I699" s="318" t="s">
        <v>406</v>
      </c>
      <c r="J699" s="318">
        <v>60</v>
      </c>
      <c r="K699" s="317" t="s">
        <v>410</v>
      </c>
      <c r="L699" s="317">
        <v>46.881329999999998</v>
      </c>
      <c r="M699" s="317">
        <v>40.158189999999998</v>
      </c>
    </row>
    <row r="700" spans="1:13" ht="45" hidden="1" x14ac:dyDescent="0.25">
      <c r="A700" s="313">
        <f t="shared" si="10"/>
        <v>699</v>
      </c>
      <c r="B700" s="314" t="s">
        <v>3389</v>
      </c>
      <c r="C700" s="315" t="s">
        <v>412</v>
      </c>
      <c r="D700" s="316" t="s">
        <v>3390</v>
      </c>
      <c r="E700" s="318">
        <v>2.2799999999999998</v>
      </c>
      <c r="F700" s="318" t="s">
        <v>395</v>
      </c>
      <c r="G700" s="318" t="s">
        <v>395</v>
      </c>
      <c r="H700" s="318" t="s">
        <v>395</v>
      </c>
      <c r="I700" s="318" t="s">
        <v>406</v>
      </c>
      <c r="J700" s="318">
        <v>64</v>
      </c>
      <c r="K700" s="317" t="s">
        <v>410</v>
      </c>
      <c r="L700" s="317">
        <v>46.82788</v>
      </c>
      <c r="M700" s="317">
        <v>39.53877</v>
      </c>
    </row>
    <row r="701" spans="1:13" ht="45" hidden="1" x14ac:dyDescent="0.25">
      <c r="A701" s="313">
        <f t="shared" si="10"/>
        <v>700</v>
      </c>
      <c r="B701" s="314" t="s">
        <v>3393</v>
      </c>
      <c r="C701" s="315" t="s">
        <v>412</v>
      </c>
      <c r="D701" s="316" t="s">
        <v>3394</v>
      </c>
      <c r="E701" s="318">
        <v>3</v>
      </c>
      <c r="F701" s="318" t="s">
        <v>395</v>
      </c>
      <c r="G701" s="318" t="s">
        <v>395</v>
      </c>
      <c r="H701" s="318" t="s">
        <v>395</v>
      </c>
      <c r="I701" s="318" t="s">
        <v>406</v>
      </c>
      <c r="J701" s="318">
        <v>100</v>
      </c>
      <c r="K701" s="317" t="s">
        <v>410</v>
      </c>
      <c r="L701" s="317">
        <v>47.881120000000003</v>
      </c>
      <c r="M701" s="317">
        <v>40.038899999999998</v>
      </c>
    </row>
    <row r="702" spans="1:13" ht="60" hidden="1" x14ac:dyDescent="0.25">
      <c r="A702" s="313">
        <f t="shared" si="10"/>
        <v>701</v>
      </c>
      <c r="B702" s="314" t="s">
        <v>3397</v>
      </c>
      <c r="C702" s="315" t="s">
        <v>447</v>
      </c>
      <c r="D702" s="316" t="s">
        <v>3398</v>
      </c>
      <c r="E702" s="318">
        <v>1.98</v>
      </c>
      <c r="F702" s="318" t="s">
        <v>395</v>
      </c>
      <c r="G702" s="318" t="s">
        <v>395</v>
      </c>
      <c r="H702" s="318" t="s">
        <v>395</v>
      </c>
      <c r="I702" s="318" t="s">
        <v>406</v>
      </c>
      <c r="J702" s="318">
        <v>49</v>
      </c>
      <c r="K702" s="317" t="s">
        <v>410</v>
      </c>
      <c r="L702" s="317">
        <v>46.885219999999997</v>
      </c>
      <c r="M702" s="317">
        <v>39.67277</v>
      </c>
    </row>
    <row r="703" spans="1:13" ht="45" hidden="1" x14ac:dyDescent="0.25">
      <c r="A703" s="313">
        <f t="shared" si="10"/>
        <v>702</v>
      </c>
      <c r="B703" s="314" t="s">
        <v>3401</v>
      </c>
      <c r="C703" s="315" t="s">
        <v>412</v>
      </c>
      <c r="D703" s="316" t="s">
        <v>3402</v>
      </c>
      <c r="E703" s="318">
        <v>1.9</v>
      </c>
      <c r="F703" s="318" t="s">
        <v>395</v>
      </c>
      <c r="G703" s="318" t="s">
        <v>395</v>
      </c>
      <c r="H703" s="318" t="s">
        <v>395</v>
      </c>
      <c r="I703" s="318" t="s">
        <v>406</v>
      </c>
      <c r="J703" s="318">
        <v>45</v>
      </c>
      <c r="K703" s="317" t="s">
        <v>410</v>
      </c>
      <c r="L703" s="317">
        <v>47.487180000000002</v>
      </c>
      <c r="M703" s="317">
        <v>39.925829999999998</v>
      </c>
    </row>
    <row r="704" spans="1:13" ht="45" hidden="1" x14ac:dyDescent="0.25">
      <c r="A704" s="313">
        <f t="shared" si="10"/>
        <v>703</v>
      </c>
      <c r="B704" s="314" t="s">
        <v>3405</v>
      </c>
      <c r="C704" s="315" t="s">
        <v>412</v>
      </c>
      <c r="D704" s="316" t="s">
        <v>3406</v>
      </c>
      <c r="E704" s="318">
        <v>1.76</v>
      </c>
      <c r="F704" s="318" t="s">
        <v>395</v>
      </c>
      <c r="G704" s="318" t="s">
        <v>395</v>
      </c>
      <c r="H704" s="318" t="s">
        <v>395</v>
      </c>
      <c r="I704" s="318" t="s">
        <v>406</v>
      </c>
      <c r="J704" s="318">
        <v>38</v>
      </c>
      <c r="K704" s="317" t="s">
        <v>410</v>
      </c>
      <c r="L704" s="317">
        <v>47.424140000000001</v>
      </c>
      <c r="M704" s="317">
        <v>40.074390000000001</v>
      </c>
    </row>
    <row r="705" spans="1:13" ht="45" hidden="1" x14ac:dyDescent="0.25">
      <c r="A705" s="313">
        <f t="shared" si="10"/>
        <v>704</v>
      </c>
      <c r="B705" s="314" t="s">
        <v>3409</v>
      </c>
      <c r="C705" s="315" t="s">
        <v>393</v>
      </c>
      <c r="D705" s="316" t="s">
        <v>3410</v>
      </c>
      <c r="E705" s="318">
        <v>1.84</v>
      </c>
      <c r="F705" s="318" t="s">
        <v>395</v>
      </c>
      <c r="G705" s="318" t="s">
        <v>395</v>
      </c>
      <c r="H705" s="318" t="s">
        <v>395</v>
      </c>
      <c r="I705" s="318" t="s">
        <v>406</v>
      </c>
      <c r="J705" s="318">
        <v>42</v>
      </c>
      <c r="K705" s="317" t="s">
        <v>410</v>
      </c>
      <c r="L705" s="317">
        <v>47.414250000000003</v>
      </c>
      <c r="M705" s="317">
        <v>40.114719999999998</v>
      </c>
    </row>
    <row r="706" spans="1:13" ht="45" hidden="1" x14ac:dyDescent="0.25">
      <c r="A706" s="313">
        <f t="shared" si="10"/>
        <v>705</v>
      </c>
      <c r="B706" s="314" t="s">
        <v>3413</v>
      </c>
      <c r="C706" s="315" t="s">
        <v>393</v>
      </c>
      <c r="D706" s="316" t="s">
        <v>3414</v>
      </c>
      <c r="E706" s="318">
        <v>1.94</v>
      </c>
      <c r="F706" s="318" t="s">
        <v>395</v>
      </c>
      <c r="G706" s="318" t="s">
        <v>395</v>
      </c>
      <c r="H706" s="318" t="s">
        <v>395</v>
      </c>
      <c r="I706" s="318" t="s">
        <v>406</v>
      </c>
      <c r="J706" s="318">
        <v>47</v>
      </c>
      <c r="K706" s="317" t="s">
        <v>410</v>
      </c>
      <c r="L706" s="317">
        <v>47.470309999999998</v>
      </c>
      <c r="M706" s="317">
        <v>40.065530000000003</v>
      </c>
    </row>
    <row r="707" spans="1:13" ht="60" hidden="1" x14ac:dyDescent="0.25">
      <c r="A707" s="313">
        <f t="shared" si="10"/>
        <v>706</v>
      </c>
      <c r="B707" s="314" t="s">
        <v>3417</v>
      </c>
      <c r="C707" s="315" t="s">
        <v>447</v>
      </c>
      <c r="D707" s="316" t="s">
        <v>3418</v>
      </c>
      <c r="E707" s="318">
        <v>1.78</v>
      </c>
      <c r="F707" s="318" t="s">
        <v>395</v>
      </c>
      <c r="G707" s="318" t="s">
        <v>395</v>
      </c>
      <c r="H707" s="318" t="s">
        <v>395</v>
      </c>
      <c r="I707" s="318" t="s">
        <v>406</v>
      </c>
      <c r="J707" s="318">
        <v>39</v>
      </c>
      <c r="K707" s="317" t="s">
        <v>410</v>
      </c>
      <c r="L707" s="317">
        <v>47.416510000000002</v>
      </c>
      <c r="M707" s="317">
        <v>40.080060000000003</v>
      </c>
    </row>
    <row r="708" spans="1:13" ht="30" hidden="1" x14ac:dyDescent="0.25">
      <c r="A708" s="313">
        <f t="shared" ref="A708:A771" si="11">A707+1</f>
        <v>707</v>
      </c>
      <c r="B708" s="314" t="s">
        <v>3421</v>
      </c>
      <c r="C708" s="315" t="s">
        <v>399</v>
      </c>
      <c r="D708" s="316" t="s">
        <v>3422</v>
      </c>
      <c r="E708" s="318">
        <v>1.78</v>
      </c>
      <c r="F708" s="318" t="s">
        <v>395</v>
      </c>
      <c r="G708" s="318" t="s">
        <v>395</v>
      </c>
      <c r="H708" s="318" t="s">
        <v>395</v>
      </c>
      <c r="I708" s="318" t="s">
        <v>406</v>
      </c>
      <c r="J708" s="318">
        <v>39</v>
      </c>
      <c r="K708" s="317" t="s">
        <v>410</v>
      </c>
      <c r="L708" s="317">
        <v>47.420610000000003</v>
      </c>
      <c r="M708" s="317">
        <v>40.098140000000001</v>
      </c>
    </row>
    <row r="709" spans="1:13" ht="60" hidden="1" x14ac:dyDescent="0.25">
      <c r="A709" s="313">
        <f t="shared" si="11"/>
        <v>708</v>
      </c>
      <c r="B709" s="314" t="s">
        <v>3425</v>
      </c>
      <c r="C709" s="315" t="s">
        <v>408</v>
      </c>
      <c r="D709" s="316" t="s">
        <v>3426</v>
      </c>
      <c r="E709" s="318">
        <v>2</v>
      </c>
      <c r="F709" s="318" t="s">
        <v>395</v>
      </c>
      <c r="G709" s="318" t="s">
        <v>395</v>
      </c>
      <c r="H709" s="318" t="s">
        <v>395</v>
      </c>
      <c r="I709" s="318" t="s">
        <v>406</v>
      </c>
      <c r="J709" s="318">
        <v>50</v>
      </c>
      <c r="K709" s="317" t="s">
        <v>410</v>
      </c>
      <c r="L709" s="317">
        <v>47.515970000000003</v>
      </c>
      <c r="M709" s="317">
        <v>40.115139999999997</v>
      </c>
    </row>
    <row r="710" spans="1:13" ht="45" hidden="1" x14ac:dyDescent="0.25">
      <c r="A710" s="313">
        <f t="shared" si="11"/>
        <v>709</v>
      </c>
      <c r="B710" s="314" t="s">
        <v>3429</v>
      </c>
      <c r="C710" s="315" t="s">
        <v>393</v>
      </c>
      <c r="D710" s="316" t="s">
        <v>3430</v>
      </c>
      <c r="E710" s="318">
        <v>1.96</v>
      </c>
      <c r="F710" s="318" t="s">
        <v>395</v>
      </c>
      <c r="G710" s="318" t="s">
        <v>395</v>
      </c>
      <c r="H710" s="318" t="s">
        <v>395</v>
      </c>
      <c r="I710" s="318" t="s">
        <v>406</v>
      </c>
      <c r="J710" s="318">
        <v>48</v>
      </c>
      <c r="K710" s="317" t="s">
        <v>410</v>
      </c>
      <c r="L710" s="317">
        <v>47.48319</v>
      </c>
      <c r="M710" s="317">
        <v>40.09178</v>
      </c>
    </row>
    <row r="711" spans="1:13" ht="45" hidden="1" x14ac:dyDescent="0.25">
      <c r="A711" s="313">
        <f t="shared" si="11"/>
        <v>710</v>
      </c>
      <c r="B711" s="314" t="s">
        <v>3433</v>
      </c>
      <c r="C711" s="315" t="s">
        <v>412</v>
      </c>
      <c r="D711" s="316" t="s">
        <v>3434</v>
      </c>
      <c r="E711" s="318">
        <v>1.86</v>
      </c>
      <c r="F711" s="318" t="s">
        <v>395</v>
      </c>
      <c r="G711" s="318" t="s">
        <v>395</v>
      </c>
      <c r="H711" s="318" t="s">
        <v>395</v>
      </c>
      <c r="I711" s="318" t="s">
        <v>406</v>
      </c>
      <c r="J711" s="318">
        <v>43</v>
      </c>
      <c r="K711" s="317" t="s">
        <v>410</v>
      </c>
      <c r="L711" s="317">
        <v>47.45147</v>
      </c>
      <c r="M711" s="317">
        <v>40.104439999999997</v>
      </c>
    </row>
    <row r="712" spans="1:13" ht="45" hidden="1" x14ac:dyDescent="0.25">
      <c r="A712" s="313">
        <f t="shared" si="11"/>
        <v>711</v>
      </c>
      <c r="B712" s="314" t="s">
        <v>3437</v>
      </c>
      <c r="C712" s="315" t="s">
        <v>412</v>
      </c>
      <c r="D712" s="316" t="s">
        <v>3438</v>
      </c>
      <c r="E712" s="318">
        <v>2.2599999999999998</v>
      </c>
      <c r="F712" s="318" t="s">
        <v>395</v>
      </c>
      <c r="G712" s="318" t="s">
        <v>395</v>
      </c>
      <c r="H712" s="318" t="s">
        <v>395</v>
      </c>
      <c r="I712" s="318" t="s">
        <v>406</v>
      </c>
      <c r="J712" s="318">
        <v>63</v>
      </c>
      <c r="K712" s="317" t="s">
        <v>410</v>
      </c>
      <c r="L712" s="317">
        <v>47.400779999999997</v>
      </c>
      <c r="M712" s="317">
        <v>40.337829999999997</v>
      </c>
    </row>
    <row r="713" spans="1:13" ht="45" hidden="1" x14ac:dyDescent="0.25">
      <c r="A713" s="313">
        <f t="shared" si="11"/>
        <v>712</v>
      </c>
      <c r="B713" s="314" t="s">
        <v>3441</v>
      </c>
      <c r="C713" s="315" t="s">
        <v>393</v>
      </c>
      <c r="D713" s="316" t="s">
        <v>3442</v>
      </c>
      <c r="E713" s="318">
        <v>1.9</v>
      </c>
      <c r="F713" s="318" t="s">
        <v>395</v>
      </c>
      <c r="G713" s="318" t="s">
        <v>395</v>
      </c>
      <c r="H713" s="318" t="s">
        <v>395</v>
      </c>
      <c r="I713" s="318" t="s">
        <v>406</v>
      </c>
      <c r="J713" s="318">
        <v>45</v>
      </c>
      <c r="K713" s="317" t="s">
        <v>410</v>
      </c>
      <c r="L713" s="317">
        <v>47.484859999999998</v>
      </c>
      <c r="M713" s="317">
        <v>40.061219999999999</v>
      </c>
    </row>
    <row r="714" spans="1:13" ht="45" hidden="1" x14ac:dyDescent="0.25">
      <c r="A714" s="313">
        <f t="shared" si="11"/>
        <v>713</v>
      </c>
      <c r="B714" s="314" t="s">
        <v>3445</v>
      </c>
      <c r="C714" s="315" t="s">
        <v>393</v>
      </c>
      <c r="D714" s="316" t="s">
        <v>3446</v>
      </c>
      <c r="E714" s="318">
        <v>1.72</v>
      </c>
      <c r="F714" s="318" t="s">
        <v>395</v>
      </c>
      <c r="G714" s="318" t="s">
        <v>395</v>
      </c>
      <c r="H714" s="318" t="s">
        <v>395</v>
      </c>
      <c r="I714" s="318" t="s">
        <v>406</v>
      </c>
      <c r="J714" s="318">
        <v>36</v>
      </c>
      <c r="K714" s="317" t="s">
        <v>410</v>
      </c>
      <c r="L714" s="317">
        <v>47.424109999999999</v>
      </c>
      <c r="M714" s="317">
        <v>40.054940000000002</v>
      </c>
    </row>
    <row r="715" spans="1:13" ht="45" hidden="1" x14ac:dyDescent="0.25">
      <c r="A715" s="313">
        <f t="shared" si="11"/>
        <v>714</v>
      </c>
      <c r="B715" s="314" t="s">
        <v>3449</v>
      </c>
      <c r="C715" s="315" t="s">
        <v>412</v>
      </c>
      <c r="D715" s="316" t="s">
        <v>3450</v>
      </c>
      <c r="E715" s="318">
        <v>1.78</v>
      </c>
      <c r="F715" s="318" t="s">
        <v>395</v>
      </c>
      <c r="G715" s="318" t="s">
        <v>395</v>
      </c>
      <c r="H715" s="318" t="s">
        <v>395</v>
      </c>
      <c r="I715" s="318" t="s">
        <v>406</v>
      </c>
      <c r="J715" s="318">
        <v>39</v>
      </c>
      <c r="K715" s="317" t="s">
        <v>410</v>
      </c>
      <c r="L715" s="317">
        <v>47.421750000000003</v>
      </c>
      <c r="M715" s="317">
        <v>40.088560000000001</v>
      </c>
    </row>
    <row r="716" spans="1:13" ht="45" hidden="1" x14ac:dyDescent="0.25">
      <c r="A716" s="313">
        <f t="shared" si="11"/>
        <v>715</v>
      </c>
      <c r="B716" s="314" t="s">
        <v>3453</v>
      </c>
      <c r="C716" s="315" t="s">
        <v>393</v>
      </c>
      <c r="D716" s="316" t="s">
        <v>3454</v>
      </c>
      <c r="E716" s="318">
        <v>1.96</v>
      </c>
      <c r="F716" s="318" t="s">
        <v>395</v>
      </c>
      <c r="G716" s="318" t="s">
        <v>395</v>
      </c>
      <c r="H716" s="318" t="s">
        <v>395</v>
      </c>
      <c r="I716" s="318" t="s">
        <v>406</v>
      </c>
      <c r="J716" s="318">
        <v>48</v>
      </c>
      <c r="K716" s="317" t="s">
        <v>410</v>
      </c>
      <c r="L716" s="317">
        <v>47.479599999999998</v>
      </c>
      <c r="M716" s="317">
        <v>40.071739999999998</v>
      </c>
    </row>
    <row r="717" spans="1:13" ht="75" hidden="1" x14ac:dyDescent="0.25">
      <c r="A717" s="313">
        <f t="shared" si="11"/>
        <v>716</v>
      </c>
      <c r="B717" s="314" t="s">
        <v>3457</v>
      </c>
      <c r="C717" s="315" t="s">
        <v>428</v>
      </c>
      <c r="D717" s="316" t="s">
        <v>3458</v>
      </c>
      <c r="E717" s="318">
        <v>1.82</v>
      </c>
      <c r="F717" s="318" t="s">
        <v>395</v>
      </c>
      <c r="G717" s="318" t="s">
        <v>395</v>
      </c>
      <c r="H717" s="318" t="s">
        <v>395</v>
      </c>
      <c r="I717" s="318" t="s">
        <v>406</v>
      </c>
      <c r="J717" s="318">
        <v>41</v>
      </c>
      <c r="K717" s="317" t="s">
        <v>410</v>
      </c>
      <c r="L717" s="317">
        <v>47.406559999999999</v>
      </c>
      <c r="M717" s="317">
        <v>40.09581</v>
      </c>
    </row>
    <row r="718" spans="1:13" ht="75" hidden="1" x14ac:dyDescent="0.25">
      <c r="A718" s="313">
        <f t="shared" si="11"/>
        <v>717</v>
      </c>
      <c r="B718" s="314" t="s">
        <v>3461</v>
      </c>
      <c r="C718" s="315" t="s">
        <v>428</v>
      </c>
      <c r="D718" s="316" t="s">
        <v>3462</v>
      </c>
      <c r="E718" s="318">
        <v>1.78</v>
      </c>
      <c r="F718" s="318" t="s">
        <v>395</v>
      </c>
      <c r="G718" s="318" t="s">
        <v>395</v>
      </c>
      <c r="H718" s="318" t="s">
        <v>395</v>
      </c>
      <c r="I718" s="318" t="s">
        <v>406</v>
      </c>
      <c r="J718" s="318">
        <v>39</v>
      </c>
      <c r="K718" s="317" t="s">
        <v>410</v>
      </c>
      <c r="L718" s="317">
        <v>47.398560000000003</v>
      </c>
      <c r="M718" s="317">
        <v>40.066470000000002</v>
      </c>
    </row>
    <row r="719" spans="1:13" ht="30" hidden="1" x14ac:dyDescent="0.25">
      <c r="A719" s="313">
        <f t="shared" si="11"/>
        <v>718</v>
      </c>
      <c r="B719" s="314" t="s">
        <v>3465</v>
      </c>
      <c r="C719" s="315" t="s">
        <v>399</v>
      </c>
      <c r="D719" s="316" t="s">
        <v>3466</v>
      </c>
      <c r="E719" s="318">
        <v>2.02</v>
      </c>
      <c r="F719" s="318" t="s">
        <v>395</v>
      </c>
      <c r="G719" s="318" t="s">
        <v>395</v>
      </c>
      <c r="H719" s="318" t="s">
        <v>395</v>
      </c>
      <c r="I719" s="318" t="s">
        <v>406</v>
      </c>
      <c r="J719" s="318">
        <v>51</v>
      </c>
      <c r="K719" s="317" t="s">
        <v>410</v>
      </c>
      <c r="L719" s="317">
        <v>47.41236</v>
      </c>
      <c r="M719" s="317">
        <v>40.103029999999997</v>
      </c>
    </row>
    <row r="720" spans="1:13" ht="45" hidden="1" x14ac:dyDescent="0.25">
      <c r="A720" s="313">
        <f t="shared" si="11"/>
        <v>719</v>
      </c>
      <c r="B720" s="314" t="s">
        <v>3469</v>
      </c>
      <c r="C720" s="315" t="s">
        <v>412</v>
      </c>
      <c r="D720" s="316" t="s">
        <v>3470</v>
      </c>
      <c r="E720" s="318">
        <v>2.14</v>
      </c>
      <c r="F720" s="318" t="s">
        <v>395</v>
      </c>
      <c r="G720" s="318" t="s">
        <v>395</v>
      </c>
      <c r="H720" s="318" t="s">
        <v>395</v>
      </c>
      <c r="I720" s="318" t="s">
        <v>406</v>
      </c>
      <c r="J720" s="318">
        <v>57</v>
      </c>
      <c r="K720" s="317" t="s">
        <v>410</v>
      </c>
      <c r="L720" s="317">
        <v>47.409100000000002</v>
      </c>
      <c r="M720" s="317">
        <v>40.253509999999999</v>
      </c>
    </row>
    <row r="721" spans="1:13" ht="60" hidden="1" x14ac:dyDescent="0.25">
      <c r="A721" s="313">
        <f t="shared" si="11"/>
        <v>720</v>
      </c>
      <c r="B721" s="314" t="s">
        <v>3473</v>
      </c>
      <c r="C721" s="315" t="s">
        <v>408</v>
      </c>
      <c r="D721" s="316" t="s">
        <v>3474</v>
      </c>
      <c r="E721" s="318">
        <v>1.8</v>
      </c>
      <c r="F721" s="318" t="s">
        <v>395</v>
      </c>
      <c r="G721" s="318" t="s">
        <v>395</v>
      </c>
      <c r="H721" s="318" t="s">
        <v>395</v>
      </c>
      <c r="I721" s="318" t="s">
        <v>406</v>
      </c>
      <c r="J721" s="318">
        <v>40</v>
      </c>
      <c r="K721" s="317" t="s">
        <v>410</v>
      </c>
      <c r="L721" s="317">
        <v>47.418939999999999</v>
      </c>
      <c r="M721" s="317">
        <v>40.095390000000002</v>
      </c>
    </row>
    <row r="722" spans="1:13" ht="75" hidden="1" x14ac:dyDescent="0.25">
      <c r="A722" s="313">
        <f t="shared" si="11"/>
        <v>721</v>
      </c>
      <c r="B722" s="314" t="s">
        <v>3477</v>
      </c>
      <c r="C722" s="315" t="s">
        <v>428</v>
      </c>
      <c r="D722" s="316" t="s">
        <v>3478</v>
      </c>
      <c r="E722" s="318">
        <v>1.84</v>
      </c>
      <c r="F722" s="318" t="s">
        <v>395</v>
      </c>
      <c r="G722" s="318" t="s">
        <v>395</v>
      </c>
      <c r="H722" s="318" t="s">
        <v>395</v>
      </c>
      <c r="I722" s="318" t="s">
        <v>406</v>
      </c>
      <c r="J722" s="318">
        <v>42</v>
      </c>
      <c r="K722" s="317" t="s">
        <v>410</v>
      </c>
      <c r="L722" s="317">
        <v>47.444690000000001</v>
      </c>
      <c r="M722" s="317">
        <v>40.099809999999998</v>
      </c>
    </row>
    <row r="723" spans="1:13" ht="75" hidden="1" x14ac:dyDescent="0.25">
      <c r="A723" s="313">
        <f t="shared" si="11"/>
        <v>722</v>
      </c>
      <c r="B723" s="314" t="s">
        <v>3481</v>
      </c>
      <c r="C723" s="315" t="s">
        <v>428</v>
      </c>
      <c r="D723" s="316" t="s">
        <v>3482</v>
      </c>
      <c r="E723" s="318">
        <v>1.74</v>
      </c>
      <c r="F723" s="318" t="s">
        <v>395</v>
      </c>
      <c r="G723" s="318" t="s">
        <v>395</v>
      </c>
      <c r="H723" s="318" t="s">
        <v>395</v>
      </c>
      <c r="I723" s="318" t="s">
        <v>406</v>
      </c>
      <c r="J723" s="318">
        <v>37</v>
      </c>
      <c r="K723" s="317" t="s">
        <v>410</v>
      </c>
      <c r="L723" s="317">
        <v>47.425919999999998</v>
      </c>
      <c r="M723" s="317">
        <v>40.063720000000004</v>
      </c>
    </row>
    <row r="724" spans="1:13" ht="75" hidden="1" x14ac:dyDescent="0.25">
      <c r="A724" s="313">
        <f t="shared" si="11"/>
        <v>723</v>
      </c>
      <c r="B724" s="314" t="s">
        <v>3485</v>
      </c>
      <c r="C724" s="315" t="s">
        <v>428</v>
      </c>
      <c r="D724" s="316" t="s">
        <v>3486</v>
      </c>
      <c r="E724" s="318">
        <v>1.96</v>
      </c>
      <c r="F724" s="318" t="s">
        <v>395</v>
      </c>
      <c r="G724" s="318" t="s">
        <v>395</v>
      </c>
      <c r="H724" s="318" t="s">
        <v>395</v>
      </c>
      <c r="I724" s="318" t="s">
        <v>406</v>
      </c>
      <c r="J724" s="318">
        <v>48</v>
      </c>
      <c r="K724" s="317" t="s">
        <v>410</v>
      </c>
      <c r="L724" s="317">
        <v>47.487690000000001</v>
      </c>
      <c r="M724" s="317">
        <v>40.088720000000002</v>
      </c>
    </row>
    <row r="725" spans="1:13" ht="30" hidden="1" x14ac:dyDescent="0.25">
      <c r="A725" s="313">
        <f t="shared" si="11"/>
        <v>724</v>
      </c>
      <c r="B725" s="314" t="s">
        <v>3489</v>
      </c>
      <c r="C725" s="315" t="s">
        <v>399</v>
      </c>
      <c r="D725" s="316" t="s">
        <v>3490</v>
      </c>
      <c r="E725" s="318">
        <v>1.78</v>
      </c>
      <c r="F725" s="318" t="s">
        <v>395</v>
      </c>
      <c r="G725" s="318" t="s">
        <v>395</v>
      </c>
      <c r="H725" s="318" t="s">
        <v>395</v>
      </c>
      <c r="I725" s="318" t="s">
        <v>406</v>
      </c>
      <c r="J725" s="318">
        <v>39</v>
      </c>
      <c r="K725" s="317" t="s">
        <v>410</v>
      </c>
      <c r="L725" s="317">
        <v>47.423310000000001</v>
      </c>
      <c r="M725" s="317">
        <v>40.08211</v>
      </c>
    </row>
    <row r="726" spans="1:13" ht="75" hidden="1" x14ac:dyDescent="0.25">
      <c r="A726" s="313">
        <f t="shared" si="11"/>
        <v>725</v>
      </c>
      <c r="B726" s="314" t="s">
        <v>3493</v>
      </c>
      <c r="C726" s="315" t="s">
        <v>428</v>
      </c>
      <c r="D726" s="316" t="s">
        <v>3494</v>
      </c>
      <c r="E726" s="318">
        <v>1.82</v>
      </c>
      <c r="F726" s="318" t="s">
        <v>395</v>
      </c>
      <c r="G726" s="318" t="s">
        <v>395</v>
      </c>
      <c r="H726" s="318" t="s">
        <v>395</v>
      </c>
      <c r="I726" s="318" t="s">
        <v>406</v>
      </c>
      <c r="J726" s="318">
        <v>41</v>
      </c>
      <c r="K726" s="317" t="s">
        <v>410</v>
      </c>
      <c r="L726" s="317">
        <v>47.40531</v>
      </c>
      <c r="M726" s="317">
        <v>40.113219999999998</v>
      </c>
    </row>
    <row r="727" spans="1:13" ht="45" hidden="1" x14ac:dyDescent="0.25">
      <c r="A727" s="313">
        <f t="shared" si="11"/>
        <v>726</v>
      </c>
      <c r="B727" s="314" t="s">
        <v>3497</v>
      </c>
      <c r="C727" s="315" t="s">
        <v>393</v>
      </c>
      <c r="D727" s="316" t="s">
        <v>3498</v>
      </c>
      <c r="E727" s="318">
        <v>1.78</v>
      </c>
      <c r="F727" s="318" t="s">
        <v>395</v>
      </c>
      <c r="G727" s="318" t="s">
        <v>395</v>
      </c>
      <c r="H727" s="318" t="s">
        <v>395</v>
      </c>
      <c r="I727" s="318" t="s">
        <v>406</v>
      </c>
      <c r="J727" s="318">
        <v>39</v>
      </c>
      <c r="K727" s="317" t="s">
        <v>410</v>
      </c>
      <c r="L727" s="317">
        <v>47.414439999999999</v>
      </c>
      <c r="M727" s="317">
        <v>40.082749999999997</v>
      </c>
    </row>
    <row r="728" spans="1:13" ht="75" hidden="1" x14ac:dyDescent="0.25">
      <c r="A728" s="313">
        <f t="shared" si="11"/>
        <v>727</v>
      </c>
      <c r="B728" s="314" t="s">
        <v>3501</v>
      </c>
      <c r="C728" s="315" t="s">
        <v>428</v>
      </c>
      <c r="D728" s="316" t="s">
        <v>3502</v>
      </c>
      <c r="E728" s="318">
        <v>1.94</v>
      </c>
      <c r="F728" s="318" t="s">
        <v>395</v>
      </c>
      <c r="G728" s="318" t="s">
        <v>395</v>
      </c>
      <c r="H728" s="318" t="s">
        <v>395</v>
      </c>
      <c r="I728" s="318" t="s">
        <v>406</v>
      </c>
      <c r="J728" s="318">
        <v>47</v>
      </c>
      <c r="K728" s="317" t="s">
        <v>410</v>
      </c>
      <c r="L728" s="317">
        <v>47.47128</v>
      </c>
      <c r="M728" s="317">
        <v>40.081420000000001</v>
      </c>
    </row>
    <row r="729" spans="1:13" ht="75" hidden="1" x14ac:dyDescent="0.25">
      <c r="A729" s="313">
        <f t="shared" si="11"/>
        <v>728</v>
      </c>
      <c r="B729" s="314" t="s">
        <v>3505</v>
      </c>
      <c r="C729" s="315" t="s">
        <v>428</v>
      </c>
      <c r="D729" s="316" t="s">
        <v>3506</v>
      </c>
      <c r="E729" s="318">
        <v>2</v>
      </c>
      <c r="F729" s="318" t="s">
        <v>395</v>
      </c>
      <c r="G729" s="318" t="s">
        <v>395</v>
      </c>
      <c r="H729" s="318" t="s">
        <v>395</v>
      </c>
      <c r="I729" s="318" t="s">
        <v>406</v>
      </c>
      <c r="J729" s="318">
        <v>50</v>
      </c>
      <c r="K729" s="317" t="s">
        <v>410</v>
      </c>
      <c r="L729" s="317">
        <v>47.492190000000001</v>
      </c>
      <c r="M729" s="317">
        <v>40.081189999999999</v>
      </c>
    </row>
    <row r="730" spans="1:13" ht="75" hidden="1" x14ac:dyDescent="0.25">
      <c r="A730" s="313">
        <f t="shared" si="11"/>
        <v>729</v>
      </c>
      <c r="B730" s="314" t="s">
        <v>3509</v>
      </c>
      <c r="C730" s="315" t="s">
        <v>428</v>
      </c>
      <c r="D730" s="316" t="s">
        <v>3510</v>
      </c>
      <c r="E730" s="318">
        <v>2.1</v>
      </c>
      <c r="F730" s="318" t="s">
        <v>395</v>
      </c>
      <c r="G730" s="318" t="s">
        <v>395</v>
      </c>
      <c r="H730" s="318" t="s">
        <v>395</v>
      </c>
      <c r="I730" s="318" t="s">
        <v>406</v>
      </c>
      <c r="J730" s="318">
        <v>55</v>
      </c>
      <c r="K730" s="317" t="s">
        <v>410</v>
      </c>
      <c r="L730" s="317">
        <v>47.543889999999998</v>
      </c>
      <c r="M730" s="317">
        <v>40.112780000000001</v>
      </c>
    </row>
    <row r="731" spans="1:13" ht="75" hidden="1" x14ac:dyDescent="0.25">
      <c r="A731" s="313">
        <f t="shared" si="11"/>
        <v>730</v>
      </c>
      <c r="B731" s="314" t="s">
        <v>3513</v>
      </c>
      <c r="C731" s="315" t="s">
        <v>428</v>
      </c>
      <c r="D731" s="316" t="s">
        <v>3514</v>
      </c>
      <c r="E731" s="318">
        <v>1.7</v>
      </c>
      <c r="F731" s="318" t="s">
        <v>395</v>
      </c>
      <c r="G731" s="318" t="s">
        <v>395</v>
      </c>
      <c r="H731" s="318" t="s">
        <v>395</v>
      </c>
      <c r="I731" s="318" t="s">
        <v>406</v>
      </c>
      <c r="J731" s="318">
        <v>35</v>
      </c>
      <c r="K731" s="317" t="s">
        <v>410</v>
      </c>
      <c r="L731" s="317">
        <v>47.421419999999998</v>
      </c>
      <c r="M731" s="317">
        <v>40.040030000000002</v>
      </c>
    </row>
    <row r="732" spans="1:13" ht="75" hidden="1" x14ac:dyDescent="0.25">
      <c r="A732" s="313">
        <f t="shared" si="11"/>
        <v>731</v>
      </c>
      <c r="B732" s="314" t="s">
        <v>3517</v>
      </c>
      <c r="C732" s="315" t="s">
        <v>428</v>
      </c>
      <c r="D732" s="316" t="s">
        <v>3518</v>
      </c>
      <c r="E732" s="318">
        <v>2.16</v>
      </c>
      <c r="F732" s="318" t="s">
        <v>395</v>
      </c>
      <c r="G732" s="318" t="s">
        <v>395</v>
      </c>
      <c r="H732" s="318" t="s">
        <v>395</v>
      </c>
      <c r="I732" s="318" t="s">
        <v>406</v>
      </c>
      <c r="J732" s="318">
        <v>58</v>
      </c>
      <c r="K732" s="317" t="s">
        <v>410</v>
      </c>
      <c r="L732" s="317">
        <v>47.415219999999998</v>
      </c>
      <c r="M732" s="317">
        <v>40.258470000000003</v>
      </c>
    </row>
    <row r="733" spans="1:13" ht="75" hidden="1" x14ac:dyDescent="0.25">
      <c r="A733" s="313">
        <f t="shared" si="11"/>
        <v>732</v>
      </c>
      <c r="B733" s="314" t="s">
        <v>3521</v>
      </c>
      <c r="C733" s="315" t="s">
        <v>428</v>
      </c>
      <c r="D733" s="316" t="s">
        <v>3522</v>
      </c>
      <c r="E733" s="318">
        <v>2.02</v>
      </c>
      <c r="F733" s="318" t="s">
        <v>395</v>
      </c>
      <c r="G733" s="318" t="s">
        <v>395</v>
      </c>
      <c r="H733" s="318" t="s">
        <v>395</v>
      </c>
      <c r="I733" s="318" t="s">
        <v>406</v>
      </c>
      <c r="J733" s="318">
        <v>51</v>
      </c>
      <c r="K733" s="317" t="s">
        <v>410</v>
      </c>
      <c r="L733" s="317">
        <v>47.527810000000002</v>
      </c>
      <c r="M733" s="317">
        <v>40.088059999999999</v>
      </c>
    </row>
    <row r="734" spans="1:13" ht="75" hidden="1" x14ac:dyDescent="0.25">
      <c r="A734" s="313">
        <f t="shared" si="11"/>
        <v>733</v>
      </c>
      <c r="B734" s="314" t="s">
        <v>3525</v>
      </c>
      <c r="C734" s="315" t="s">
        <v>428</v>
      </c>
      <c r="D734" s="316" t="s">
        <v>3526</v>
      </c>
      <c r="E734" s="318">
        <v>1.94</v>
      </c>
      <c r="F734" s="318" t="s">
        <v>395</v>
      </c>
      <c r="G734" s="318" t="s">
        <v>395</v>
      </c>
      <c r="H734" s="318" t="s">
        <v>395</v>
      </c>
      <c r="I734" s="318" t="s">
        <v>406</v>
      </c>
      <c r="J734" s="318">
        <v>47</v>
      </c>
      <c r="K734" s="317" t="s">
        <v>410</v>
      </c>
      <c r="L734" s="317">
        <v>47.473439999999997</v>
      </c>
      <c r="M734" s="317">
        <v>40.060830000000003</v>
      </c>
    </row>
    <row r="735" spans="1:13" ht="75" hidden="1" x14ac:dyDescent="0.25">
      <c r="A735" s="313">
        <f t="shared" si="11"/>
        <v>734</v>
      </c>
      <c r="B735" s="314" t="s">
        <v>3529</v>
      </c>
      <c r="C735" s="315" t="s">
        <v>428</v>
      </c>
      <c r="D735" s="316" t="s">
        <v>3530</v>
      </c>
      <c r="E735" s="318">
        <v>1.9</v>
      </c>
      <c r="F735" s="318" t="s">
        <v>395</v>
      </c>
      <c r="G735" s="318" t="s">
        <v>395</v>
      </c>
      <c r="H735" s="318" t="s">
        <v>395</v>
      </c>
      <c r="I735" s="318" t="s">
        <v>406</v>
      </c>
      <c r="J735" s="318">
        <v>45</v>
      </c>
      <c r="K735" s="317" t="s">
        <v>410</v>
      </c>
      <c r="L735" s="317">
        <v>47.451529999999998</v>
      </c>
      <c r="M735" s="317">
        <v>40.126170000000002</v>
      </c>
    </row>
    <row r="736" spans="1:13" ht="75" hidden="1" x14ac:dyDescent="0.25">
      <c r="A736" s="313">
        <f t="shared" si="11"/>
        <v>735</v>
      </c>
      <c r="B736" s="314" t="s">
        <v>3533</v>
      </c>
      <c r="C736" s="315" t="s">
        <v>428</v>
      </c>
      <c r="D736" s="316" t="s">
        <v>3535</v>
      </c>
      <c r="E736" s="318">
        <v>1.78</v>
      </c>
      <c r="F736" s="318" t="s">
        <v>395</v>
      </c>
      <c r="G736" s="318" t="s">
        <v>395</v>
      </c>
      <c r="H736" s="318" t="s">
        <v>395</v>
      </c>
      <c r="I736" s="318" t="s">
        <v>406</v>
      </c>
      <c r="J736" s="318">
        <v>39</v>
      </c>
      <c r="K736" s="317" t="s">
        <v>410</v>
      </c>
      <c r="L736" s="317">
        <v>47.418889999999998</v>
      </c>
      <c r="M736" s="317">
        <v>40.068170000000002</v>
      </c>
    </row>
    <row r="737" spans="1:13" ht="75" hidden="1" x14ac:dyDescent="0.25">
      <c r="A737" s="313">
        <f t="shared" si="11"/>
        <v>736</v>
      </c>
      <c r="B737" s="314" t="s">
        <v>3538</v>
      </c>
      <c r="C737" s="315" t="s">
        <v>428</v>
      </c>
      <c r="D737" s="316" t="s">
        <v>3539</v>
      </c>
      <c r="E737" s="318">
        <v>1.96</v>
      </c>
      <c r="F737" s="318" t="s">
        <v>395</v>
      </c>
      <c r="G737" s="318" t="s">
        <v>395</v>
      </c>
      <c r="H737" s="318" t="s">
        <v>395</v>
      </c>
      <c r="I737" s="318" t="s">
        <v>406</v>
      </c>
      <c r="J737" s="318">
        <v>48</v>
      </c>
      <c r="K737" s="317" t="s">
        <v>410</v>
      </c>
      <c r="L737" s="317">
        <v>47.487180000000002</v>
      </c>
      <c r="M737" s="317">
        <v>40.098149999999997</v>
      </c>
    </row>
    <row r="738" spans="1:13" ht="75" hidden="1" x14ac:dyDescent="0.25">
      <c r="A738" s="313">
        <f t="shared" si="11"/>
        <v>737</v>
      </c>
      <c r="B738" s="314" t="s">
        <v>3542</v>
      </c>
      <c r="C738" s="315" t="s">
        <v>428</v>
      </c>
      <c r="D738" s="316" t="s">
        <v>3543</v>
      </c>
      <c r="E738" s="318">
        <v>2.1</v>
      </c>
      <c r="F738" s="318" t="s">
        <v>395</v>
      </c>
      <c r="G738" s="318" t="s">
        <v>395</v>
      </c>
      <c r="H738" s="318" t="s">
        <v>395</v>
      </c>
      <c r="I738" s="318" t="s">
        <v>406</v>
      </c>
      <c r="J738" s="318">
        <v>55</v>
      </c>
      <c r="K738" s="317" t="s">
        <v>410</v>
      </c>
      <c r="L738" s="317">
        <v>47.390529999999998</v>
      </c>
      <c r="M738" s="317">
        <v>40.16225</v>
      </c>
    </row>
    <row r="739" spans="1:13" ht="75" hidden="1" x14ac:dyDescent="0.25">
      <c r="A739" s="313">
        <f t="shared" si="11"/>
        <v>738</v>
      </c>
      <c r="B739" s="314" t="s">
        <v>3546</v>
      </c>
      <c r="C739" s="315" t="s">
        <v>428</v>
      </c>
      <c r="D739" s="316" t="s">
        <v>3547</v>
      </c>
      <c r="E739" s="318">
        <v>1.86</v>
      </c>
      <c r="F739" s="318" t="s">
        <v>395</v>
      </c>
      <c r="G739" s="318" t="s">
        <v>395</v>
      </c>
      <c r="H739" s="318" t="s">
        <v>395</v>
      </c>
      <c r="I739" s="318" t="s">
        <v>406</v>
      </c>
      <c r="J739" s="318">
        <v>43</v>
      </c>
      <c r="K739" s="317" t="s">
        <v>410</v>
      </c>
      <c r="L739" s="317">
        <v>47.475059999999999</v>
      </c>
      <c r="M739" s="317">
        <v>40.100639999999999</v>
      </c>
    </row>
    <row r="740" spans="1:13" ht="75" hidden="1" x14ac:dyDescent="0.25">
      <c r="A740" s="313">
        <f t="shared" si="11"/>
        <v>739</v>
      </c>
      <c r="B740" s="314" t="s">
        <v>3548</v>
      </c>
      <c r="C740" s="315" t="s">
        <v>428</v>
      </c>
      <c r="D740" s="316" t="s">
        <v>3549</v>
      </c>
      <c r="E740" s="318">
        <v>1.96</v>
      </c>
      <c r="F740" s="318" t="s">
        <v>395</v>
      </c>
      <c r="G740" s="318" t="s">
        <v>395</v>
      </c>
      <c r="H740" s="318" t="s">
        <v>395</v>
      </c>
      <c r="I740" s="318" t="s">
        <v>406</v>
      </c>
      <c r="J740" s="318">
        <v>48</v>
      </c>
      <c r="K740" s="317" t="s">
        <v>410</v>
      </c>
      <c r="L740" s="317">
        <v>47.484029999999997</v>
      </c>
      <c r="M740" s="317">
        <v>40.080829999999999</v>
      </c>
    </row>
    <row r="741" spans="1:13" ht="45" hidden="1" x14ac:dyDescent="0.25">
      <c r="A741" s="313">
        <f t="shared" si="11"/>
        <v>740</v>
      </c>
      <c r="B741" s="314" t="s">
        <v>3552</v>
      </c>
      <c r="C741" s="315" t="s">
        <v>412</v>
      </c>
      <c r="D741" s="316" t="s">
        <v>3553</v>
      </c>
      <c r="E741" s="318">
        <v>1.82</v>
      </c>
      <c r="F741" s="318" t="s">
        <v>395</v>
      </c>
      <c r="G741" s="318" t="s">
        <v>395</v>
      </c>
      <c r="H741" s="318" t="s">
        <v>395</v>
      </c>
      <c r="I741" s="318" t="s">
        <v>406</v>
      </c>
      <c r="J741" s="318">
        <v>41</v>
      </c>
      <c r="K741" s="317" t="s">
        <v>410</v>
      </c>
      <c r="L741" s="317">
        <v>47.41825</v>
      </c>
      <c r="M741" s="317">
        <v>40.105060000000002</v>
      </c>
    </row>
    <row r="742" spans="1:13" ht="75" hidden="1" x14ac:dyDescent="0.25">
      <c r="A742" s="313">
        <f t="shared" si="11"/>
        <v>741</v>
      </c>
      <c r="B742" s="314" t="s">
        <v>3555</v>
      </c>
      <c r="C742" s="315" t="s">
        <v>428</v>
      </c>
      <c r="D742" s="316" t="s">
        <v>3556</v>
      </c>
      <c r="E742" s="318">
        <v>1.78</v>
      </c>
      <c r="F742" s="318" t="s">
        <v>395</v>
      </c>
      <c r="G742" s="318" t="s">
        <v>395</v>
      </c>
      <c r="H742" s="318" t="s">
        <v>395</v>
      </c>
      <c r="I742" s="318" t="s">
        <v>406</v>
      </c>
      <c r="J742" s="318">
        <v>39</v>
      </c>
      <c r="K742" s="317" t="s">
        <v>410</v>
      </c>
      <c r="L742" s="317">
        <v>47.414169999999999</v>
      </c>
      <c r="M742" s="317">
        <v>40.091169999999998</v>
      </c>
    </row>
    <row r="743" spans="1:13" ht="75" hidden="1" x14ac:dyDescent="0.25">
      <c r="A743" s="313">
        <f t="shared" si="11"/>
        <v>742</v>
      </c>
      <c r="B743" s="314" t="s">
        <v>3559</v>
      </c>
      <c r="C743" s="315" t="s">
        <v>428</v>
      </c>
      <c r="D743" s="316" t="s">
        <v>3560</v>
      </c>
      <c r="E743" s="318">
        <v>1.8</v>
      </c>
      <c r="F743" s="318" t="s">
        <v>395</v>
      </c>
      <c r="G743" s="318" t="s">
        <v>395</v>
      </c>
      <c r="H743" s="318" t="s">
        <v>395</v>
      </c>
      <c r="I743" s="318" t="s">
        <v>406</v>
      </c>
      <c r="J743" s="318">
        <v>40</v>
      </c>
      <c r="K743" s="317" t="s">
        <v>410</v>
      </c>
      <c r="L743" s="317">
        <v>47.406390000000002</v>
      </c>
      <c r="M743" s="317">
        <v>40.084220000000002</v>
      </c>
    </row>
    <row r="744" spans="1:13" ht="75" hidden="1" x14ac:dyDescent="0.25">
      <c r="A744" s="313">
        <f t="shared" si="11"/>
        <v>743</v>
      </c>
      <c r="B744" s="314" t="s">
        <v>3563</v>
      </c>
      <c r="C744" s="315" t="s">
        <v>428</v>
      </c>
      <c r="D744" s="316" t="s">
        <v>3564</v>
      </c>
      <c r="E744" s="318">
        <v>1.56</v>
      </c>
      <c r="F744" s="318" t="s">
        <v>395</v>
      </c>
      <c r="G744" s="318" t="s">
        <v>395</v>
      </c>
      <c r="H744" s="318" t="s">
        <v>395</v>
      </c>
      <c r="I744" s="318" t="s">
        <v>406</v>
      </c>
      <c r="J744" s="318">
        <v>28</v>
      </c>
      <c r="K744" s="317" t="s">
        <v>410</v>
      </c>
      <c r="L744" s="317">
        <v>47.401719999999997</v>
      </c>
      <c r="M744" s="317">
        <v>39.938859999999998</v>
      </c>
    </row>
    <row r="745" spans="1:13" ht="45" hidden="1" x14ac:dyDescent="0.25">
      <c r="A745" s="313">
        <f t="shared" si="11"/>
        <v>744</v>
      </c>
      <c r="B745" s="314" t="s">
        <v>3567</v>
      </c>
      <c r="C745" s="315" t="s">
        <v>412</v>
      </c>
      <c r="D745" s="316" t="s">
        <v>3568</v>
      </c>
      <c r="E745" s="318">
        <v>1.8</v>
      </c>
      <c r="F745" s="318" t="s">
        <v>395</v>
      </c>
      <c r="G745" s="318" t="s">
        <v>395</v>
      </c>
      <c r="H745" s="318" t="s">
        <v>395</v>
      </c>
      <c r="I745" s="318" t="s">
        <v>406</v>
      </c>
      <c r="J745" s="318">
        <v>40</v>
      </c>
      <c r="K745" s="317" t="s">
        <v>410</v>
      </c>
      <c r="L745" s="317">
        <v>47.398269999999997</v>
      </c>
      <c r="M745" s="317">
        <v>40.074570000000001</v>
      </c>
    </row>
    <row r="746" spans="1:13" ht="30" hidden="1" x14ac:dyDescent="0.25">
      <c r="A746" s="313">
        <f t="shared" si="11"/>
        <v>745</v>
      </c>
      <c r="B746" s="314" t="s">
        <v>3571</v>
      </c>
      <c r="C746" s="315" t="s">
        <v>399</v>
      </c>
      <c r="D746" s="316" t="s">
        <v>3572</v>
      </c>
      <c r="E746" s="318">
        <v>1.94</v>
      </c>
      <c r="F746" s="318" t="s">
        <v>395</v>
      </c>
      <c r="G746" s="318" t="s">
        <v>395</v>
      </c>
      <c r="H746" s="318" t="s">
        <v>395</v>
      </c>
      <c r="I746" s="318" t="s">
        <v>406</v>
      </c>
      <c r="J746" s="318">
        <v>47</v>
      </c>
      <c r="K746" s="317" t="s">
        <v>410</v>
      </c>
      <c r="L746" s="317">
        <v>47.473080000000003</v>
      </c>
      <c r="M746" s="317">
        <v>40.070749999999997</v>
      </c>
    </row>
    <row r="747" spans="1:13" ht="45" hidden="1" x14ac:dyDescent="0.25">
      <c r="A747" s="313">
        <f t="shared" si="11"/>
        <v>746</v>
      </c>
      <c r="B747" s="314" t="s">
        <v>3575</v>
      </c>
      <c r="C747" s="315" t="s">
        <v>412</v>
      </c>
      <c r="D747" s="316" t="s">
        <v>3576</v>
      </c>
      <c r="E747" s="318">
        <v>1.94</v>
      </c>
      <c r="F747" s="318" t="s">
        <v>395</v>
      </c>
      <c r="G747" s="318" t="s">
        <v>395</v>
      </c>
      <c r="H747" s="318" t="s">
        <v>395</v>
      </c>
      <c r="I747" s="318" t="s">
        <v>406</v>
      </c>
      <c r="J747" s="318">
        <v>47</v>
      </c>
      <c r="K747" s="317" t="s">
        <v>410</v>
      </c>
      <c r="L747" s="317">
        <v>47.488889999999998</v>
      </c>
      <c r="M747" s="317">
        <v>40.066670000000002</v>
      </c>
    </row>
    <row r="748" spans="1:13" ht="75" hidden="1" x14ac:dyDescent="0.25">
      <c r="A748" s="313">
        <f t="shared" si="11"/>
        <v>747</v>
      </c>
      <c r="B748" s="314" t="s">
        <v>3579</v>
      </c>
      <c r="C748" s="315" t="s">
        <v>428</v>
      </c>
      <c r="D748" s="316" t="s">
        <v>3581</v>
      </c>
      <c r="E748" s="318">
        <v>2.2200000000000002</v>
      </c>
      <c r="F748" s="318" t="s">
        <v>395</v>
      </c>
      <c r="G748" s="318" t="s">
        <v>395</v>
      </c>
      <c r="H748" s="318" t="s">
        <v>395</v>
      </c>
      <c r="I748" s="318" t="s">
        <v>406</v>
      </c>
      <c r="J748" s="318">
        <v>61</v>
      </c>
      <c r="K748" s="317" t="s">
        <v>410</v>
      </c>
      <c r="L748" s="317">
        <v>47.409030000000001</v>
      </c>
      <c r="M748" s="317">
        <v>40.312339999999999</v>
      </c>
    </row>
    <row r="749" spans="1:13" ht="75" hidden="1" x14ac:dyDescent="0.25">
      <c r="A749" s="313">
        <f t="shared" si="11"/>
        <v>748</v>
      </c>
      <c r="B749" s="314" t="s">
        <v>3583</v>
      </c>
      <c r="C749" s="315" t="s">
        <v>428</v>
      </c>
      <c r="D749" s="316" t="s">
        <v>3585</v>
      </c>
      <c r="E749" s="318">
        <v>2.14</v>
      </c>
      <c r="F749" s="318" t="s">
        <v>395</v>
      </c>
      <c r="G749" s="318" t="s">
        <v>395</v>
      </c>
      <c r="H749" s="318" t="s">
        <v>395</v>
      </c>
      <c r="I749" s="318" t="s">
        <v>406</v>
      </c>
      <c r="J749" s="318">
        <v>57</v>
      </c>
      <c r="K749" s="317" t="s">
        <v>410</v>
      </c>
      <c r="L749" s="317">
        <v>47.409860000000002</v>
      </c>
      <c r="M749" s="317">
        <v>40.263219999999997</v>
      </c>
    </row>
    <row r="750" spans="1:13" ht="75" hidden="1" x14ac:dyDescent="0.25">
      <c r="A750" s="313">
        <f t="shared" si="11"/>
        <v>749</v>
      </c>
      <c r="B750" s="314" t="s">
        <v>3587</v>
      </c>
      <c r="C750" s="315" t="s">
        <v>428</v>
      </c>
      <c r="D750" s="316" t="s">
        <v>3589</v>
      </c>
      <c r="E750" s="318">
        <v>1.84</v>
      </c>
      <c r="F750" s="318" t="s">
        <v>395</v>
      </c>
      <c r="G750" s="318" t="s">
        <v>395</v>
      </c>
      <c r="H750" s="318" t="s">
        <v>395</v>
      </c>
      <c r="I750" s="318" t="s">
        <v>406</v>
      </c>
      <c r="J750" s="318">
        <v>42</v>
      </c>
      <c r="K750" s="317" t="s">
        <v>410</v>
      </c>
      <c r="L750" s="317">
        <v>47.411110000000001</v>
      </c>
      <c r="M750" s="317">
        <v>40.124720000000003</v>
      </c>
    </row>
    <row r="751" spans="1:13" ht="75" hidden="1" x14ac:dyDescent="0.25">
      <c r="A751" s="313">
        <f t="shared" si="11"/>
        <v>750</v>
      </c>
      <c r="B751" s="314" t="s">
        <v>3591</v>
      </c>
      <c r="C751" s="315" t="s">
        <v>428</v>
      </c>
      <c r="D751" s="316" t="s">
        <v>3593</v>
      </c>
      <c r="E751" s="318">
        <v>1.62</v>
      </c>
      <c r="F751" s="318" t="s">
        <v>395</v>
      </c>
      <c r="G751" s="318" t="s">
        <v>395</v>
      </c>
      <c r="H751" s="318" t="s">
        <v>395</v>
      </c>
      <c r="I751" s="318" t="s">
        <v>406</v>
      </c>
      <c r="J751" s="318">
        <v>31</v>
      </c>
      <c r="K751" s="317" t="s">
        <v>410</v>
      </c>
      <c r="L751" s="317">
        <v>47.36403</v>
      </c>
      <c r="M751" s="317">
        <v>40.034170000000003</v>
      </c>
    </row>
    <row r="752" spans="1:13" ht="75" hidden="1" x14ac:dyDescent="0.25">
      <c r="A752" s="313">
        <f t="shared" si="11"/>
        <v>751</v>
      </c>
      <c r="B752" s="314" t="s">
        <v>3595</v>
      </c>
      <c r="C752" s="315" t="s">
        <v>428</v>
      </c>
      <c r="D752" s="316" t="s">
        <v>3596</v>
      </c>
      <c r="E752" s="318">
        <v>2.04</v>
      </c>
      <c r="F752" s="318" t="s">
        <v>395</v>
      </c>
      <c r="G752" s="318" t="s">
        <v>395</v>
      </c>
      <c r="H752" s="318" t="s">
        <v>395</v>
      </c>
      <c r="I752" s="318" t="s">
        <v>406</v>
      </c>
      <c r="J752" s="318">
        <v>52</v>
      </c>
      <c r="K752" s="317" t="s">
        <v>410</v>
      </c>
      <c r="L752" s="317">
        <v>47.400889999999997</v>
      </c>
      <c r="M752" s="317">
        <v>40.191029999999998</v>
      </c>
    </row>
    <row r="753" spans="1:13" ht="60" hidden="1" x14ac:dyDescent="0.25">
      <c r="A753" s="313">
        <f t="shared" si="11"/>
        <v>752</v>
      </c>
      <c r="B753" s="314" t="s">
        <v>3600</v>
      </c>
      <c r="C753" s="315" t="s">
        <v>452</v>
      </c>
      <c r="D753" s="316" t="s">
        <v>3602</v>
      </c>
      <c r="E753" s="318">
        <v>1.76</v>
      </c>
      <c r="F753" s="318" t="s">
        <v>395</v>
      </c>
      <c r="G753" s="318" t="s">
        <v>395</v>
      </c>
      <c r="H753" s="318" t="s">
        <v>395</v>
      </c>
      <c r="I753" s="318" t="s">
        <v>406</v>
      </c>
      <c r="J753" s="318">
        <v>38</v>
      </c>
      <c r="K753" s="317" t="s">
        <v>410</v>
      </c>
      <c r="L753" s="317">
        <v>47.43844</v>
      </c>
      <c r="M753" s="317">
        <v>39.96508</v>
      </c>
    </row>
    <row r="754" spans="1:13" ht="45" hidden="1" x14ac:dyDescent="0.25">
      <c r="A754" s="313">
        <f t="shared" si="11"/>
        <v>753</v>
      </c>
      <c r="B754" s="314" t="s">
        <v>3604</v>
      </c>
      <c r="C754" s="315" t="s">
        <v>412</v>
      </c>
      <c r="D754" s="316" t="s">
        <v>3606</v>
      </c>
      <c r="E754" s="318">
        <v>2.54</v>
      </c>
      <c r="F754" s="318" t="s">
        <v>395</v>
      </c>
      <c r="G754" s="318" t="s">
        <v>395</v>
      </c>
      <c r="H754" s="318" t="s">
        <v>395</v>
      </c>
      <c r="I754" s="318" t="s">
        <v>406</v>
      </c>
      <c r="J754" s="318">
        <v>77</v>
      </c>
      <c r="K754" s="317" t="s">
        <v>410</v>
      </c>
      <c r="L754" s="317">
        <v>47.74577</v>
      </c>
      <c r="M754" s="317">
        <v>40.177729999999997</v>
      </c>
    </row>
    <row r="755" spans="1:13" ht="75" hidden="1" x14ac:dyDescent="0.25">
      <c r="A755" s="313">
        <f t="shared" si="11"/>
        <v>754</v>
      </c>
      <c r="B755" s="314" t="s">
        <v>3608</v>
      </c>
      <c r="C755" s="315" t="s">
        <v>428</v>
      </c>
      <c r="D755" s="316" t="s">
        <v>3610</v>
      </c>
      <c r="E755" s="318">
        <v>3.08</v>
      </c>
      <c r="F755" s="318" t="s">
        <v>395</v>
      </c>
      <c r="G755" s="318" t="s">
        <v>395</v>
      </c>
      <c r="H755" s="318" t="s">
        <v>395</v>
      </c>
      <c r="I755" s="318" t="s">
        <v>406</v>
      </c>
      <c r="J755" s="318">
        <v>104</v>
      </c>
      <c r="K755" s="317" t="s">
        <v>410</v>
      </c>
      <c r="L755" s="317">
        <v>47.94314</v>
      </c>
      <c r="M755" s="317">
        <v>40.055970000000002</v>
      </c>
    </row>
    <row r="756" spans="1:13" ht="60" hidden="1" x14ac:dyDescent="0.25">
      <c r="A756" s="313">
        <f t="shared" si="11"/>
        <v>755</v>
      </c>
      <c r="B756" s="314" t="s">
        <v>3613</v>
      </c>
      <c r="C756" s="315" t="s">
        <v>452</v>
      </c>
      <c r="D756" s="316" t="s">
        <v>3614</v>
      </c>
      <c r="E756" s="318">
        <v>1.76</v>
      </c>
      <c r="F756" s="318" t="s">
        <v>395</v>
      </c>
      <c r="G756" s="318" t="s">
        <v>395</v>
      </c>
      <c r="H756" s="318" t="s">
        <v>395</v>
      </c>
      <c r="I756" s="318" t="s">
        <v>406</v>
      </c>
      <c r="J756" s="318">
        <v>38</v>
      </c>
      <c r="K756" s="317" t="s">
        <v>410</v>
      </c>
      <c r="L756" s="317">
        <v>47.400280000000002</v>
      </c>
      <c r="M756" s="317">
        <v>40.028889999999997</v>
      </c>
    </row>
    <row r="757" spans="1:13" ht="45" hidden="1" x14ac:dyDescent="0.25">
      <c r="A757" s="313">
        <f t="shared" si="11"/>
        <v>756</v>
      </c>
      <c r="B757" s="314" t="s">
        <v>3616</v>
      </c>
      <c r="C757" s="315" t="s">
        <v>412</v>
      </c>
      <c r="D757" s="316" t="s">
        <v>3618</v>
      </c>
      <c r="E757" s="318">
        <v>1.9</v>
      </c>
      <c r="F757" s="318" t="s">
        <v>395</v>
      </c>
      <c r="G757" s="318" t="s">
        <v>395</v>
      </c>
      <c r="H757" s="318" t="s">
        <v>395</v>
      </c>
      <c r="I757" s="318" t="s">
        <v>406</v>
      </c>
      <c r="J757" s="318">
        <v>45</v>
      </c>
      <c r="K757" s="317" t="s">
        <v>410</v>
      </c>
      <c r="L757" s="317">
        <v>47.535919999999997</v>
      </c>
      <c r="M757" s="317">
        <v>39.957940000000001</v>
      </c>
    </row>
    <row r="758" spans="1:13" ht="75" hidden="1" x14ac:dyDescent="0.25">
      <c r="A758" s="313">
        <f t="shared" si="11"/>
        <v>757</v>
      </c>
      <c r="B758" s="314" t="s">
        <v>3621</v>
      </c>
      <c r="C758" s="315" t="s">
        <v>428</v>
      </c>
      <c r="D758" s="316" t="s">
        <v>3622</v>
      </c>
      <c r="E758" s="318">
        <v>2.2200000000000002</v>
      </c>
      <c r="F758" s="318" t="s">
        <v>395</v>
      </c>
      <c r="G758" s="318" t="s">
        <v>395</v>
      </c>
      <c r="H758" s="318" t="s">
        <v>395</v>
      </c>
      <c r="I758" s="318" t="s">
        <v>406</v>
      </c>
      <c r="J758" s="318">
        <v>61</v>
      </c>
      <c r="K758" s="317" t="s">
        <v>410</v>
      </c>
      <c r="L758" s="317">
        <v>47.594119999999997</v>
      </c>
      <c r="M758" s="317">
        <v>40.150120000000001</v>
      </c>
    </row>
    <row r="759" spans="1:13" ht="45" hidden="1" x14ac:dyDescent="0.25">
      <c r="A759" s="313">
        <f t="shared" si="11"/>
        <v>758</v>
      </c>
      <c r="B759" s="314" t="s">
        <v>3624</v>
      </c>
      <c r="C759" s="315" t="s">
        <v>412</v>
      </c>
      <c r="D759" s="316" t="s">
        <v>3626</v>
      </c>
      <c r="E759" s="318">
        <v>3.38</v>
      </c>
      <c r="F759" s="318" t="s">
        <v>395</v>
      </c>
      <c r="G759" s="318" t="s">
        <v>395</v>
      </c>
      <c r="H759" s="318" t="s">
        <v>395</v>
      </c>
      <c r="I759" s="318" t="s">
        <v>406</v>
      </c>
      <c r="J759" s="318">
        <v>119</v>
      </c>
      <c r="K759" s="317" t="s">
        <v>410</v>
      </c>
      <c r="L759" s="317">
        <v>47.763500000000001</v>
      </c>
      <c r="M759" s="317">
        <v>40.583559999999999</v>
      </c>
    </row>
    <row r="760" spans="1:13" ht="60" hidden="1" x14ac:dyDescent="0.25">
      <c r="A760" s="313">
        <f t="shared" si="11"/>
        <v>759</v>
      </c>
      <c r="B760" s="314" t="s">
        <v>3628</v>
      </c>
      <c r="C760" s="315" t="s">
        <v>447</v>
      </c>
      <c r="D760" s="316" t="s">
        <v>3630</v>
      </c>
      <c r="E760" s="318">
        <v>2.7</v>
      </c>
      <c r="F760" s="318" t="s">
        <v>395</v>
      </c>
      <c r="G760" s="318" t="s">
        <v>395</v>
      </c>
      <c r="H760" s="318" t="s">
        <v>395</v>
      </c>
      <c r="I760" s="318" t="s">
        <v>406</v>
      </c>
      <c r="J760" s="318">
        <v>85</v>
      </c>
      <c r="K760" s="317" t="s">
        <v>410</v>
      </c>
      <c r="L760" s="317">
        <v>47.768329999999999</v>
      </c>
      <c r="M760" s="317">
        <v>39.922190000000001</v>
      </c>
    </row>
    <row r="761" spans="1:13" ht="75" hidden="1" x14ac:dyDescent="0.25">
      <c r="A761" s="313">
        <f t="shared" si="11"/>
        <v>760</v>
      </c>
      <c r="B761" s="314" t="s">
        <v>3632</v>
      </c>
      <c r="C761" s="315" t="s">
        <v>428</v>
      </c>
      <c r="D761" s="316" t="s">
        <v>3634</v>
      </c>
      <c r="E761" s="318">
        <v>1.4</v>
      </c>
      <c r="F761" s="318" t="s">
        <v>395</v>
      </c>
      <c r="G761" s="318" t="s">
        <v>395</v>
      </c>
      <c r="H761" s="318" t="s">
        <v>395</v>
      </c>
      <c r="I761" s="318" t="s">
        <v>406</v>
      </c>
      <c r="J761" s="318">
        <v>20</v>
      </c>
      <c r="K761" s="317" t="s">
        <v>410</v>
      </c>
      <c r="L761" s="317">
        <v>47.377670000000002</v>
      </c>
      <c r="M761" s="317">
        <v>39.788440000000001</v>
      </c>
    </row>
    <row r="762" spans="1:13" ht="60" hidden="1" x14ac:dyDescent="0.25">
      <c r="A762" s="313">
        <f t="shared" si="11"/>
        <v>761</v>
      </c>
      <c r="B762" s="314" t="s">
        <v>3636</v>
      </c>
      <c r="C762" s="315" t="s">
        <v>408</v>
      </c>
      <c r="D762" s="316" t="s">
        <v>3638</v>
      </c>
      <c r="E762" s="318">
        <v>1.7</v>
      </c>
      <c r="F762" s="318" t="s">
        <v>395</v>
      </c>
      <c r="G762" s="318" t="s">
        <v>395</v>
      </c>
      <c r="H762" s="318" t="s">
        <v>395</v>
      </c>
      <c r="I762" s="318" t="s">
        <v>406</v>
      </c>
      <c r="J762" s="318">
        <v>35</v>
      </c>
      <c r="K762" s="317" t="s">
        <v>410</v>
      </c>
      <c r="L762" s="317">
        <v>47.408099999999997</v>
      </c>
      <c r="M762" s="317">
        <v>39.822139999999997</v>
      </c>
    </row>
    <row r="763" spans="1:13" ht="30" hidden="1" x14ac:dyDescent="0.25">
      <c r="A763" s="313">
        <f t="shared" si="11"/>
        <v>762</v>
      </c>
      <c r="B763" s="314" t="s">
        <v>3640</v>
      </c>
      <c r="C763" s="315" t="s">
        <v>503</v>
      </c>
      <c r="D763" s="316" t="s">
        <v>3642</v>
      </c>
      <c r="E763" s="318">
        <v>1.6</v>
      </c>
      <c r="F763" s="318" t="s">
        <v>395</v>
      </c>
      <c r="G763" s="318" t="s">
        <v>395</v>
      </c>
      <c r="H763" s="318" t="s">
        <v>395</v>
      </c>
      <c r="I763" s="318" t="s">
        <v>406</v>
      </c>
      <c r="J763" s="318">
        <v>30</v>
      </c>
      <c r="K763" s="317" t="s">
        <v>410</v>
      </c>
      <c r="L763" s="317">
        <v>47.374169999999999</v>
      </c>
      <c r="M763" s="317">
        <v>39.973610000000001</v>
      </c>
    </row>
    <row r="764" spans="1:13" ht="75" hidden="1" x14ac:dyDescent="0.25">
      <c r="A764" s="313">
        <f t="shared" si="11"/>
        <v>763</v>
      </c>
      <c r="B764" s="314" t="s">
        <v>3644</v>
      </c>
      <c r="C764" s="315" t="s">
        <v>428</v>
      </c>
      <c r="D764" s="316" t="s">
        <v>3646</v>
      </c>
      <c r="E764" s="318">
        <v>2.64</v>
      </c>
      <c r="F764" s="318" t="s">
        <v>395</v>
      </c>
      <c r="G764" s="318" t="s">
        <v>395</v>
      </c>
      <c r="H764" s="318" t="s">
        <v>395</v>
      </c>
      <c r="I764" s="318" t="s">
        <v>406</v>
      </c>
      <c r="J764" s="318">
        <v>82</v>
      </c>
      <c r="K764" s="317" t="s">
        <v>410</v>
      </c>
      <c r="L764" s="317">
        <v>47.744999999999997</v>
      </c>
      <c r="M764" s="317">
        <v>40.244169999999997</v>
      </c>
    </row>
    <row r="765" spans="1:13" ht="60" hidden="1" x14ac:dyDescent="0.25">
      <c r="A765" s="313">
        <f t="shared" si="11"/>
        <v>764</v>
      </c>
      <c r="B765" s="314" t="s">
        <v>3649</v>
      </c>
      <c r="C765" s="315" t="s">
        <v>677</v>
      </c>
      <c r="D765" s="316" t="s">
        <v>3650</v>
      </c>
      <c r="E765" s="318">
        <v>2.48</v>
      </c>
      <c r="F765" s="318" t="s">
        <v>395</v>
      </c>
      <c r="G765" s="318" t="s">
        <v>395</v>
      </c>
      <c r="H765" s="318" t="s">
        <v>395</v>
      </c>
      <c r="I765" s="318" t="s">
        <v>406</v>
      </c>
      <c r="J765" s="318">
        <v>74</v>
      </c>
      <c r="K765" s="317" t="s">
        <v>410</v>
      </c>
      <c r="L765" s="317">
        <v>47.687080000000002</v>
      </c>
      <c r="M765" s="317">
        <v>39.922269999999997</v>
      </c>
    </row>
    <row r="766" spans="1:13" ht="75" hidden="1" x14ac:dyDescent="0.25">
      <c r="A766" s="313">
        <f t="shared" si="11"/>
        <v>765</v>
      </c>
      <c r="B766" s="314" t="s">
        <v>3651</v>
      </c>
      <c r="C766" s="315" t="s">
        <v>428</v>
      </c>
      <c r="D766" s="316" t="s">
        <v>3652</v>
      </c>
      <c r="E766" s="318">
        <v>2.72</v>
      </c>
      <c r="F766" s="318" t="s">
        <v>395</v>
      </c>
      <c r="G766" s="318" t="s">
        <v>395</v>
      </c>
      <c r="H766" s="318" t="s">
        <v>395</v>
      </c>
      <c r="I766" s="318" t="s">
        <v>406</v>
      </c>
      <c r="J766" s="318">
        <v>86</v>
      </c>
      <c r="K766" s="317" t="s">
        <v>410</v>
      </c>
      <c r="L766" s="317">
        <v>47.728999999999999</v>
      </c>
      <c r="M766" s="317">
        <v>39.912219999999998</v>
      </c>
    </row>
    <row r="767" spans="1:13" ht="60" hidden="1" x14ac:dyDescent="0.25">
      <c r="A767" s="313">
        <f t="shared" si="11"/>
        <v>766</v>
      </c>
      <c r="B767" s="314" t="s">
        <v>3654</v>
      </c>
      <c r="C767" s="315" t="s">
        <v>447</v>
      </c>
      <c r="D767" s="316" t="s">
        <v>3656</v>
      </c>
      <c r="E767" s="318">
        <v>2</v>
      </c>
      <c r="F767" s="318" t="s">
        <v>395</v>
      </c>
      <c r="G767" s="318" t="s">
        <v>395</v>
      </c>
      <c r="H767" s="318" t="s">
        <v>395</v>
      </c>
      <c r="I767" s="318" t="s">
        <v>406</v>
      </c>
      <c r="J767" s="318">
        <v>50</v>
      </c>
      <c r="K767" s="317" t="s">
        <v>410</v>
      </c>
      <c r="L767" s="317">
        <v>47.469819999999999</v>
      </c>
      <c r="M767" s="317">
        <v>40.072569999999999</v>
      </c>
    </row>
    <row r="768" spans="1:13" ht="60" hidden="1" x14ac:dyDescent="0.25">
      <c r="A768" s="313">
        <f t="shared" si="11"/>
        <v>767</v>
      </c>
      <c r="B768" s="314" t="s">
        <v>3657</v>
      </c>
      <c r="C768" s="315" t="s">
        <v>452</v>
      </c>
      <c r="D768" s="316" t="s">
        <v>3659</v>
      </c>
      <c r="E768" s="318">
        <v>2.46</v>
      </c>
      <c r="F768" s="318" t="s">
        <v>395</v>
      </c>
      <c r="G768" s="318" t="s">
        <v>395</v>
      </c>
      <c r="H768" s="318" t="s">
        <v>395</v>
      </c>
      <c r="I768" s="318" t="s">
        <v>406</v>
      </c>
      <c r="J768" s="318">
        <v>73</v>
      </c>
      <c r="K768" s="317" t="s">
        <v>410</v>
      </c>
      <c r="L768" s="317">
        <v>47.222969999999997</v>
      </c>
      <c r="M768" s="317">
        <v>40.203580000000002</v>
      </c>
    </row>
    <row r="769" spans="1:13" ht="75" hidden="1" x14ac:dyDescent="0.25">
      <c r="A769" s="313">
        <f t="shared" si="11"/>
        <v>768</v>
      </c>
      <c r="B769" s="314" t="s">
        <v>3661</v>
      </c>
      <c r="C769" s="315" t="s">
        <v>428</v>
      </c>
      <c r="D769" s="316" t="s">
        <v>3663</v>
      </c>
      <c r="E769" s="318">
        <v>2.72</v>
      </c>
      <c r="F769" s="318" t="s">
        <v>395</v>
      </c>
      <c r="G769" s="318" t="s">
        <v>395</v>
      </c>
      <c r="H769" s="318" t="s">
        <v>395</v>
      </c>
      <c r="I769" s="318" t="s">
        <v>406</v>
      </c>
      <c r="J769" s="318">
        <v>86</v>
      </c>
      <c r="K769" s="317" t="s">
        <v>410</v>
      </c>
      <c r="L769" s="317">
        <v>47.312890000000003</v>
      </c>
      <c r="M769" s="317">
        <v>40.49944</v>
      </c>
    </row>
    <row r="770" spans="1:13" ht="45" hidden="1" x14ac:dyDescent="0.25">
      <c r="A770" s="313">
        <f t="shared" si="11"/>
        <v>769</v>
      </c>
      <c r="B770" s="314" t="s">
        <v>3665</v>
      </c>
      <c r="C770" s="315" t="s">
        <v>412</v>
      </c>
      <c r="D770" s="316" t="s">
        <v>3667</v>
      </c>
      <c r="E770" s="318">
        <v>3</v>
      </c>
      <c r="F770" s="318" t="s">
        <v>395</v>
      </c>
      <c r="G770" s="318" t="s">
        <v>395</v>
      </c>
      <c r="H770" s="318" t="s">
        <v>395</v>
      </c>
      <c r="I770" s="318" t="s">
        <v>406</v>
      </c>
      <c r="J770" s="318">
        <v>100</v>
      </c>
      <c r="K770" s="317" t="s">
        <v>410</v>
      </c>
      <c r="L770" s="317">
        <v>47.586109999999998</v>
      </c>
      <c r="M770" s="317">
        <v>40.45917</v>
      </c>
    </row>
    <row r="771" spans="1:13" ht="75" hidden="1" x14ac:dyDescent="0.25">
      <c r="A771" s="313">
        <f t="shared" si="11"/>
        <v>770</v>
      </c>
      <c r="B771" s="314" t="s">
        <v>3557</v>
      </c>
      <c r="C771" s="315" t="s">
        <v>428</v>
      </c>
      <c r="D771" s="316" t="s">
        <v>3558</v>
      </c>
      <c r="E771" s="318">
        <v>2.08</v>
      </c>
      <c r="F771" s="318" t="s">
        <v>395</v>
      </c>
      <c r="G771" s="318" t="s">
        <v>395</v>
      </c>
      <c r="H771" s="318" t="s">
        <v>395</v>
      </c>
      <c r="I771" s="318" t="s">
        <v>406</v>
      </c>
      <c r="J771" s="318">
        <v>54</v>
      </c>
      <c r="K771" s="317" t="s">
        <v>410</v>
      </c>
      <c r="L771" s="317">
        <v>47.528530000000003</v>
      </c>
      <c r="M771" s="317">
        <v>40.115600000000001</v>
      </c>
    </row>
    <row r="772" spans="1:13" ht="75" hidden="1" x14ac:dyDescent="0.25">
      <c r="A772" s="313">
        <f t="shared" ref="A772:A835" si="12">A771+1</f>
        <v>771</v>
      </c>
      <c r="B772" s="314" t="s">
        <v>3561</v>
      </c>
      <c r="C772" s="315" t="s">
        <v>428</v>
      </c>
      <c r="D772" s="316" t="s">
        <v>3562</v>
      </c>
      <c r="E772" s="318">
        <v>3.1</v>
      </c>
      <c r="F772" s="318" t="s">
        <v>395</v>
      </c>
      <c r="G772" s="318" t="s">
        <v>395</v>
      </c>
      <c r="H772" s="318" t="s">
        <v>395</v>
      </c>
      <c r="I772" s="318" t="s">
        <v>406</v>
      </c>
      <c r="J772" s="318">
        <v>105</v>
      </c>
      <c r="K772" s="317" t="s">
        <v>410</v>
      </c>
      <c r="L772" s="317">
        <v>47.670560000000002</v>
      </c>
      <c r="M772" s="317">
        <v>40.426670000000001</v>
      </c>
    </row>
    <row r="773" spans="1:13" ht="60" hidden="1" x14ac:dyDescent="0.25">
      <c r="A773" s="313">
        <f t="shared" si="12"/>
        <v>772</v>
      </c>
      <c r="B773" s="314" t="s">
        <v>3565</v>
      </c>
      <c r="C773" s="315" t="s">
        <v>677</v>
      </c>
      <c r="D773" s="316" t="s">
        <v>3566</v>
      </c>
      <c r="E773" s="318">
        <v>2.5</v>
      </c>
      <c r="F773" s="318" t="s">
        <v>395</v>
      </c>
      <c r="G773" s="318" t="s">
        <v>395</v>
      </c>
      <c r="H773" s="318" t="s">
        <v>395</v>
      </c>
      <c r="I773" s="318" t="s">
        <v>406</v>
      </c>
      <c r="J773" s="318">
        <v>75</v>
      </c>
      <c r="K773" s="317" t="s">
        <v>410</v>
      </c>
      <c r="L773" s="317">
        <v>47.699330000000003</v>
      </c>
      <c r="M773" s="317">
        <v>40.037779999999998</v>
      </c>
    </row>
    <row r="774" spans="1:13" ht="75" hidden="1" x14ac:dyDescent="0.25">
      <c r="A774" s="313">
        <f t="shared" si="12"/>
        <v>773</v>
      </c>
      <c r="B774" s="314" t="s">
        <v>3569</v>
      </c>
      <c r="C774" s="315" t="s">
        <v>428</v>
      </c>
      <c r="D774" s="316" t="s">
        <v>3570</v>
      </c>
      <c r="E774" s="318">
        <v>2.7</v>
      </c>
      <c r="F774" s="318" t="s">
        <v>395</v>
      </c>
      <c r="G774" s="318" t="s">
        <v>395</v>
      </c>
      <c r="H774" s="318" t="s">
        <v>395</v>
      </c>
      <c r="I774" s="318" t="s">
        <v>406</v>
      </c>
      <c r="J774" s="318">
        <v>85</v>
      </c>
      <c r="K774" s="317" t="s">
        <v>410</v>
      </c>
      <c r="L774" s="317">
        <v>47.752339999999997</v>
      </c>
      <c r="M774" s="317">
        <v>39.896320000000003</v>
      </c>
    </row>
    <row r="775" spans="1:13" ht="60" hidden="1" x14ac:dyDescent="0.25">
      <c r="A775" s="313">
        <f t="shared" si="12"/>
        <v>774</v>
      </c>
      <c r="B775" s="314" t="s">
        <v>3573</v>
      </c>
      <c r="C775" s="315" t="s">
        <v>452</v>
      </c>
      <c r="D775" s="316" t="s">
        <v>3574</v>
      </c>
      <c r="E775" s="318">
        <v>2.64</v>
      </c>
      <c r="F775" s="318" t="s">
        <v>395</v>
      </c>
      <c r="G775" s="318" t="s">
        <v>395</v>
      </c>
      <c r="H775" s="318" t="s">
        <v>395</v>
      </c>
      <c r="I775" s="318" t="s">
        <v>406</v>
      </c>
      <c r="J775" s="318">
        <v>82</v>
      </c>
      <c r="K775" s="317" t="s">
        <v>410</v>
      </c>
      <c r="L775" s="317">
        <v>47.768940000000001</v>
      </c>
      <c r="M775" s="317">
        <v>39.940829999999998</v>
      </c>
    </row>
    <row r="776" spans="1:13" ht="60" hidden="1" x14ac:dyDescent="0.25">
      <c r="A776" s="313">
        <f t="shared" si="12"/>
        <v>775</v>
      </c>
      <c r="B776" s="314" t="s">
        <v>3577</v>
      </c>
      <c r="C776" s="315" t="s">
        <v>452</v>
      </c>
      <c r="D776" s="316" t="s">
        <v>3578</v>
      </c>
      <c r="E776" s="318">
        <v>2.96</v>
      </c>
      <c r="F776" s="318" t="s">
        <v>395</v>
      </c>
      <c r="G776" s="318" t="s">
        <v>395</v>
      </c>
      <c r="H776" s="318" t="s">
        <v>395</v>
      </c>
      <c r="I776" s="318" t="s">
        <v>406</v>
      </c>
      <c r="J776" s="318">
        <v>98</v>
      </c>
      <c r="K776" s="317" t="s">
        <v>410</v>
      </c>
      <c r="L776" s="317">
        <v>47.689439999999998</v>
      </c>
      <c r="M776" s="317">
        <v>40.346670000000003</v>
      </c>
    </row>
    <row r="777" spans="1:13" ht="75" hidden="1" x14ac:dyDescent="0.25">
      <c r="A777" s="313">
        <f t="shared" si="12"/>
        <v>776</v>
      </c>
      <c r="B777" s="314" t="s">
        <v>3580</v>
      </c>
      <c r="C777" s="315" t="s">
        <v>428</v>
      </c>
      <c r="D777" s="316" t="s">
        <v>3582</v>
      </c>
      <c r="E777" s="318">
        <v>2.8</v>
      </c>
      <c r="F777" s="318" t="s">
        <v>395</v>
      </c>
      <c r="G777" s="318" t="s">
        <v>395</v>
      </c>
      <c r="H777" s="318" t="s">
        <v>395</v>
      </c>
      <c r="I777" s="318" t="s">
        <v>406</v>
      </c>
      <c r="J777" s="318">
        <v>90</v>
      </c>
      <c r="K777" s="317" t="s">
        <v>410</v>
      </c>
      <c r="L777" s="317">
        <v>47.812280000000001</v>
      </c>
      <c r="M777" s="317">
        <v>39.848640000000003</v>
      </c>
    </row>
    <row r="778" spans="1:13" ht="75" hidden="1" x14ac:dyDescent="0.25">
      <c r="A778" s="313">
        <f t="shared" si="12"/>
        <v>777</v>
      </c>
      <c r="B778" s="314" t="s">
        <v>3584</v>
      </c>
      <c r="C778" s="315" t="s">
        <v>428</v>
      </c>
      <c r="D778" s="316" t="s">
        <v>3586</v>
      </c>
      <c r="E778" s="318">
        <v>2.4</v>
      </c>
      <c r="F778" s="318" t="s">
        <v>395</v>
      </c>
      <c r="G778" s="318" t="s">
        <v>395</v>
      </c>
      <c r="H778" s="318" t="s">
        <v>395</v>
      </c>
      <c r="I778" s="318" t="s">
        <v>406</v>
      </c>
      <c r="J778" s="318">
        <v>70</v>
      </c>
      <c r="K778" s="317" t="s">
        <v>410</v>
      </c>
      <c r="L778" s="317">
        <v>47.710090000000001</v>
      </c>
      <c r="M778" s="317">
        <v>40.145330000000001</v>
      </c>
    </row>
    <row r="779" spans="1:13" ht="60" hidden="1" x14ac:dyDescent="0.25">
      <c r="A779" s="313">
        <f t="shared" si="12"/>
        <v>778</v>
      </c>
      <c r="B779" s="314" t="s">
        <v>3588</v>
      </c>
      <c r="C779" s="315" t="s">
        <v>1188</v>
      </c>
      <c r="D779" s="316" t="s">
        <v>3590</v>
      </c>
      <c r="E779" s="318">
        <v>2.5</v>
      </c>
      <c r="F779" s="318" t="s">
        <v>395</v>
      </c>
      <c r="G779" s="318" t="s">
        <v>395</v>
      </c>
      <c r="H779" s="318" t="s">
        <v>395</v>
      </c>
      <c r="I779" s="318" t="s">
        <v>406</v>
      </c>
      <c r="J779" s="318">
        <v>75</v>
      </c>
      <c r="K779" s="317" t="s">
        <v>410</v>
      </c>
      <c r="L779" s="317">
        <v>47.698639999999997</v>
      </c>
      <c r="M779" s="317">
        <v>40.184780000000003</v>
      </c>
    </row>
    <row r="780" spans="1:13" ht="75" hidden="1" x14ac:dyDescent="0.25">
      <c r="A780" s="313">
        <f t="shared" si="12"/>
        <v>779</v>
      </c>
      <c r="B780" s="314" t="s">
        <v>3592</v>
      </c>
      <c r="C780" s="315" t="s">
        <v>428</v>
      </c>
      <c r="D780" s="316" t="s">
        <v>3594</v>
      </c>
      <c r="E780" s="318">
        <v>2.76</v>
      </c>
      <c r="F780" s="318" t="s">
        <v>395</v>
      </c>
      <c r="G780" s="318" t="s">
        <v>395</v>
      </c>
      <c r="H780" s="318" t="s">
        <v>395</v>
      </c>
      <c r="I780" s="318" t="s">
        <v>406</v>
      </c>
      <c r="J780" s="318">
        <v>88</v>
      </c>
      <c r="K780" s="317" t="s">
        <v>410</v>
      </c>
      <c r="L780" s="317">
        <v>47.687220000000003</v>
      </c>
      <c r="M780" s="317">
        <v>40.26361</v>
      </c>
    </row>
    <row r="781" spans="1:13" ht="45" hidden="1" x14ac:dyDescent="0.25">
      <c r="A781" s="313">
        <f t="shared" si="12"/>
        <v>780</v>
      </c>
      <c r="B781" s="314" t="s">
        <v>3597</v>
      </c>
      <c r="C781" s="315" t="s">
        <v>412</v>
      </c>
      <c r="D781" s="316" t="s">
        <v>3598</v>
      </c>
      <c r="E781" s="318">
        <v>2.66</v>
      </c>
      <c r="F781" s="318" t="s">
        <v>395</v>
      </c>
      <c r="G781" s="318" t="s">
        <v>395</v>
      </c>
      <c r="H781" s="318" t="s">
        <v>395</v>
      </c>
      <c r="I781" s="318" t="s">
        <v>406</v>
      </c>
      <c r="J781" s="318">
        <v>83</v>
      </c>
      <c r="K781" s="317" t="s">
        <v>410</v>
      </c>
      <c r="L781" s="317">
        <v>47.817309999999999</v>
      </c>
      <c r="M781" s="317">
        <v>40.201189999999997</v>
      </c>
    </row>
    <row r="782" spans="1:13" ht="45" hidden="1" x14ac:dyDescent="0.25">
      <c r="A782" s="313">
        <f t="shared" si="12"/>
        <v>781</v>
      </c>
      <c r="B782" s="314" t="s">
        <v>3599</v>
      </c>
      <c r="C782" s="315" t="s">
        <v>412</v>
      </c>
      <c r="D782" s="316" t="s">
        <v>3601</v>
      </c>
      <c r="E782" s="318">
        <v>2.88</v>
      </c>
      <c r="F782" s="318" t="s">
        <v>395</v>
      </c>
      <c r="G782" s="318" t="s">
        <v>395</v>
      </c>
      <c r="H782" s="318" t="s">
        <v>395</v>
      </c>
      <c r="I782" s="318" t="s">
        <v>406</v>
      </c>
      <c r="J782" s="318">
        <v>94</v>
      </c>
      <c r="K782" s="317" t="s">
        <v>410</v>
      </c>
      <c r="L782" s="317">
        <v>47.881549999999997</v>
      </c>
      <c r="M782" s="317">
        <v>40.098979999999997</v>
      </c>
    </row>
    <row r="783" spans="1:13" ht="75" hidden="1" x14ac:dyDescent="0.25">
      <c r="A783" s="313">
        <f t="shared" si="12"/>
        <v>782</v>
      </c>
      <c r="B783" s="314" t="s">
        <v>3603</v>
      </c>
      <c r="C783" s="315" t="s">
        <v>428</v>
      </c>
      <c r="D783" s="316" t="s">
        <v>3605</v>
      </c>
      <c r="E783" s="318">
        <v>2.66</v>
      </c>
      <c r="F783" s="318" t="s">
        <v>395</v>
      </c>
      <c r="G783" s="318" t="s">
        <v>395</v>
      </c>
      <c r="H783" s="318" t="s">
        <v>395</v>
      </c>
      <c r="I783" s="318" t="s">
        <v>406</v>
      </c>
      <c r="J783" s="318">
        <v>83</v>
      </c>
      <c r="K783" s="317" t="s">
        <v>410</v>
      </c>
      <c r="L783" s="317">
        <v>47.696860000000001</v>
      </c>
      <c r="M783" s="317">
        <v>40.273809999999997</v>
      </c>
    </row>
    <row r="784" spans="1:13" ht="45" hidden="1" x14ac:dyDescent="0.25">
      <c r="A784" s="313">
        <f t="shared" si="12"/>
        <v>783</v>
      </c>
      <c r="B784" s="314" t="s">
        <v>3607</v>
      </c>
      <c r="C784" s="315" t="s">
        <v>393</v>
      </c>
      <c r="D784" s="316" t="s">
        <v>3609</v>
      </c>
      <c r="E784" s="318">
        <v>1.52</v>
      </c>
      <c r="F784" s="318" t="s">
        <v>395</v>
      </c>
      <c r="G784" s="318" t="s">
        <v>395</v>
      </c>
      <c r="H784" s="318" t="s">
        <v>395</v>
      </c>
      <c r="I784" s="318" t="s">
        <v>406</v>
      </c>
      <c r="J784" s="318">
        <v>26</v>
      </c>
      <c r="K784" s="317" t="s">
        <v>410</v>
      </c>
      <c r="L784" s="317">
        <v>47.36403</v>
      </c>
      <c r="M784" s="317">
        <v>39.887189999999997</v>
      </c>
    </row>
    <row r="785" spans="1:13" ht="60" hidden="1" x14ac:dyDescent="0.25">
      <c r="A785" s="313">
        <f t="shared" si="12"/>
        <v>784</v>
      </c>
      <c r="B785" s="314" t="s">
        <v>3611</v>
      </c>
      <c r="C785" s="315" t="s">
        <v>452</v>
      </c>
      <c r="D785" s="316" t="s">
        <v>3612</v>
      </c>
      <c r="E785" s="318">
        <v>2.1</v>
      </c>
      <c r="F785" s="318" t="s">
        <v>395</v>
      </c>
      <c r="G785" s="318" t="s">
        <v>395</v>
      </c>
      <c r="H785" s="318" t="s">
        <v>395</v>
      </c>
      <c r="I785" s="318" t="s">
        <v>406</v>
      </c>
      <c r="J785" s="318">
        <v>55</v>
      </c>
      <c r="K785" s="317" t="s">
        <v>410</v>
      </c>
      <c r="L785" s="317">
        <v>47.634169999999997</v>
      </c>
      <c r="M785" s="317">
        <v>40.00056</v>
      </c>
    </row>
    <row r="786" spans="1:13" ht="45" hidden="1" x14ac:dyDescent="0.25">
      <c r="A786" s="313">
        <f t="shared" si="12"/>
        <v>785</v>
      </c>
      <c r="B786" s="314" t="s">
        <v>3615</v>
      </c>
      <c r="C786" s="315" t="s">
        <v>412</v>
      </c>
      <c r="D786" s="316" t="s">
        <v>3617</v>
      </c>
      <c r="E786" s="318">
        <v>2.36</v>
      </c>
      <c r="F786" s="318" t="s">
        <v>395</v>
      </c>
      <c r="G786" s="318" t="s">
        <v>395</v>
      </c>
      <c r="H786" s="318" t="s">
        <v>395</v>
      </c>
      <c r="I786" s="318" t="s">
        <v>406</v>
      </c>
      <c r="J786" s="318">
        <v>68</v>
      </c>
      <c r="K786" s="317" t="s">
        <v>410</v>
      </c>
      <c r="L786" s="317">
        <v>47.744280000000003</v>
      </c>
      <c r="M786" s="317">
        <v>39.830919999999999</v>
      </c>
    </row>
    <row r="787" spans="1:13" ht="75" hidden="1" x14ac:dyDescent="0.25">
      <c r="A787" s="313">
        <f t="shared" si="12"/>
        <v>786</v>
      </c>
      <c r="B787" s="314" t="s">
        <v>3619</v>
      </c>
      <c r="C787" s="315" t="s">
        <v>428</v>
      </c>
      <c r="D787" s="316" t="s">
        <v>3620</v>
      </c>
      <c r="E787" s="318">
        <v>2.94</v>
      </c>
      <c r="F787" s="318" t="s">
        <v>395</v>
      </c>
      <c r="G787" s="318" t="s">
        <v>395</v>
      </c>
      <c r="H787" s="318" t="s">
        <v>395</v>
      </c>
      <c r="I787" s="318" t="s">
        <v>406</v>
      </c>
      <c r="J787" s="318">
        <v>97</v>
      </c>
      <c r="K787" s="317" t="s">
        <v>410</v>
      </c>
      <c r="L787" s="317">
        <v>47.899749999999997</v>
      </c>
      <c r="M787" s="317">
        <v>40.080750000000002</v>
      </c>
    </row>
    <row r="788" spans="1:13" ht="75" hidden="1" x14ac:dyDescent="0.25">
      <c r="A788" s="313">
        <f t="shared" si="12"/>
        <v>787</v>
      </c>
      <c r="B788" s="314" t="s">
        <v>3623</v>
      </c>
      <c r="C788" s="315" t="s">
        <v>428</v>
      </c>
      <c r="D788" s="316" t="s">
        <v>3625</v>
      </c>
      <c r="E788" s="318">
        <v>2.92</v>
      </c>
      <c r="F788" s="318" t="s">
        <v>395</v>
      </c>
      <c r="G788" s="318" t="s">
        <v>395</v>
      </c>
      <c r="H788" s="318" t="s">
        <v>395</v>
      </c>
      <c r="I788" s="318" t="s">
        <v>406</v>
      </c>
      <c r="J788" s="318">
        <v>96</v>
      </c>
      <c r="K788" s="317" t="s">
        <v>410</v>
      </c>
      <c r="L788" s="317">
        <v>47.766109999999998</v>
      </c>
      <c r="M788" s="317">
        <v>40.310560000000002</v>
      </c>
    </row>
    <row r="789" spans="1:13" ht="75" hidden="1" x14ac:dyDescent="0.25">
      <c r="A789" s="313">
        <f t="shared" si="12"/>
        <v>788</v>
      </c>
      <c r="B789" s="314" t="s">
        <v>3627</v>
      </c>
      <c r="C789" s="315" t="s">
        <v>428</v>
      </c>
      <c r="D789" s="316" t="s">
        <v>3629</v>
      </c>
      <c r="E789" s="318">
        <v>2.66</v>
      </c>
      <c r="F789" s="318" t="s">
        <v>395</v>
      </c>
      <c r="G789" s="318" t="s">
        <v>395</v>
      </c>
      <c r="H789" s="318" t="s">
        <v>395</v>
      </c>
      <c r="I789" s="318" t="s">
        <v>406</v>
      </c>
      <c r="J789" s="318">
        <v>83</v>
      </c>
      <c r="K789" s="317" t="s">
        <v>410</v>
      </c>
      <c r="L789" s="317">
        <v>47.726309999999998</v>
      </c>
      <c r="M789" s="317">
        <v>40.298310000000001</v>
      </c>
    </row>
    <row r="790" spans="1:13" ht="45" hidden="1" x14ac:dyDescent="0.25">
      <c r="A790" s="313">
        <f t="shared" si="12"/>
        <v>789</v>
      </c>
      <c r="B790" s="314" t="s">
        <v>3631</v>
      </c>
      <c r="C790" s="315" t="s">
        <v>412</v>
      </c>
      <c r="D790" s="316" t="s">
        <v>3633</v>
      </c>
      <c r="E790" s="318">
        <v>2.56</v>
      </c>
      <c r="F790" s="318" t="s">
        <v>395</v>
      </c>
      <c r="G790" s="318" t="s">
        <v>395</v>
      </c>
      <c r="H790" s="318" t="s">
        <v>395</v>
      </c>
      <c r="I790" s="318" t="s">
        <v>406</v>
      </c>
      <c r="J790" s="318">
        <v>78</v>
      </c>
      <c r="K790" s="317" t="s">
        <v>410</v>
      </c>
      <c r="L790" s="317">
        <v>47.706650000000003</v>
      </c>
      <c r="M790" s="317">
        <v>40.220759999999999</v>
      </c>
    </row>
    <row r="791" spans="1:13" ht="45" hidden="1" x14ac:dyDescent="0.25">
      <c r="A791" s="313">
        <f t="shared" si="12"/>
        <v>790</v>
      </c>
      <c r="B791" s="314" t="s">
        <v>3635</v>
      </c>
      <c r="C791" s="315" t="s">
        <v>412</v>
      </c>
      <c r="D791" s="316" t="s">
        <v>3637</v>
      </c>
      <c r="E791" s="318">
        <v>2.54</v>
      </c>
      <c r="F791" s="318" t="s">
        <v>395</v>
      </c>
      <c r="G791" s="318" t="s">
        <v>395</v>
      </c>
      <c r="H791" s="318" t="s">
        <v>395</v>
      </c>
      <c r="I791" s="318" t="s">
        <v>406</v>
      </c>
      <c r="J791" s="318">
        <v>77</v>
      </c>
      <c r="K791" s="317" t="s">
        <v>410</v>
      </c>
      <c r="L791" s="317">
        <v>47.712110000000003</v>
      </c>
      <c r="M791" s="317">
        <v>40.220829999999999</v>
      </c>
    </row>
    <row r="792" spans="1:13" ht="60" hidden="1" x14ac:dyDescent="0.25">
      <c r="A792" s="313">
        <f t="shared" si="12"/>
        <v>791</v>
      </c>
      <c r="B792" s="314" t="s">
        <v>3639</v>
      </c>
      <c r="C792" s="315" t="s">
        <v>447</v>
      </c>
      <c r="D792" s="316" t="s">
        <v>3641</v>
      </c>
      <c r="E792" s="318">
        <v>2.5</v>
      </c>
      <c r="F792" s="318" t="s">
        <v>395</v>
      </c>
      <c r="G792" s="318" t="s">
        <v>395</v>
      </c>
      <c r="H792" s="318" t="s">
        <v>395</v>
      </c>
      <c r="I792" s="318" t="s">
        <v>406</v>
      </c>
      <c r="J792" s="318">
        <v>75</v>
      </c>
      <c r="K792" s="317" t="s">
        <v>410</v>
      </c>
      <c r="L792" s="317">
        <v>47.715609999999998</v>
      </c>
      <c r="M792" s="317">
        <v>40.195810000000002</v>
      </c>
    </row>
    <row r="793" spans="1:13" ht="30" hidden="1" x14ac:dyDescent="0.25">
      <c r="A793" s="313">
        <f t="shared" si="12"/>
        <v>792</v>
      </c>
      <c r="B793" s="314" t="s">
        <v>3643</v>
      </c>
      <c r="C793" s="315" t="s">
        <v>399</v>
      </c>
      <c r="D793" s="316" t="s">
        <v>3645</v>
      </c>
      <c r="E793" s="318">
        <v>2.74</v>
      </c>
      <c r="F793" s="318" t="s">
        <v>395</v>
      </c>
      <c r="G793" s="318" t="s">
        <v>395</v>
      </c>
      <c r="H793" s="318" t="s">
        <v>395</v>
      </c>
      <c r="I793" s="318" t="s">
        <v>406</v>
      </c>
      <c r="J793" s="318">
        <v>87</v>
      </c>
      <c r="K793" s="317" t="s">
        <v>410</v>
      </c>
      <c r="L793" s="317">
        <v>47.748750000000001</v>
      </c>
      <c r="M793" s="317">
        <v>40.329079999999998</v>
      </c>
    </row>
    <row r="794" spans="1:13" ht="45" hidden="1" x14ac:dyDescent="0.25">
      <c r="A794" s="313">
        <f t="shared" si="12"/>
        <v>793</v>
      </c>
      <c r="B794" s="314" t="s">
        <v>3647</v>
      </c>
      <c r="C794" s="315" t="s">
        <v>393</v>
      </c>
      <c r="D794" s="316" t="s">
        <v>3648</v>
      </c>
      <c r="E794" s="318">
        <v>2.6</v>
      </c>
      <c r="F794" s="318" t="s">
        <v>395</v>
      </c>
      <c r="G794" s="318" t="s">
        <v>395</v>
      </c>
      <c r="H794" s="318" t="s">
        <v>395</v>
      </c>
      <c r="I794" s="318" t="s">
        <v>406</v>
      </c>
      <c r="J794" s="318">
        <v>80</v>
      </c>
      <c r="K794" s="317" t="s">
        <v>410</v>
      </c>
      <c r="L794" s="317">
        <v>47.730580000000003</v>
      </c>
      <c r="M794" s="317">
        <v>40.249940000000002</v>
      </c>
    </row>
    <row r="795" spans="1:13" ht="75" hidden="1" x14ac:dyDescent="0.25">
      <c r="A795" s="313">
        <f t="shared" si="12"/>
        <v>794</v>
      </c>
      <c r="B795" s="314" t="s">
        <v>3653</v>
      </c>
      <c r="C795" s="315" t="s">
        <v>428</v>
      </c>
      <c r="D795" s="316" t="s">
        <v>3655</v>
      </c>
      <c r="E795" s="318">
        <v>2.56</v>
      </c>
      <c r="F795" s="318" t="s">
        <v>395</v>
      </c>
      <c r="G795" s="318" t="s">
        <v>395</v>
      </c>
      <c r="H795" s="318" t="s">
        <v>395</v>
      </c>
      <c r="I795" s="318" t="s">
        <v>406</v>
      </c>
      <c r="J795" s="318">
        <v>78</v>
      </c>
      <c r="K795" s="317" t="s">
        <v>410</v>
      </c>
      <c r="L795" s="317">
        <v>47.736220000000003</v>
      </c>
      <c r="M795" s="317">
        <v>40.191000000000003</v>
      </c>
    </row>
    <row r="796" spans="1:13" ht="75" hidden="1" x14ac:dyDescent="0.25">
      <c r="A796" s="313">
        <f t="shared" si="12"/>
        <v>795</v>
      </c>
      <c r="B796" s="314" t="s">
        <v>3658</v>
      </c>
      <c r="C796" s="315" t="s">
        <v>428</v>
      </c>
      <c r="D796" s="316" t="s">
        <v>3660</v>
      </c>
      <c r="E796" s="318">
        <v>2.56</v>
      </c>
      <c r="F796" s="318" t="s">
        <v>395</v>
      </c>
      <c r="G796" s="318" t="s">
        <v>395</v>
      </c>
      <c r="H796" s="318" t="s">
        <v>395</v>
      </c>
      <c r="I796" s="318" t="s">
        <v>406</v>
      </c>
      <c r="J796" s="318">
        <v>78</v>
      </c>
      <c r="K796" s="317" t="s">
        <v>410</v>
      </c>
      <c r="L796" s="317">
        <v>47.673029999999997</v>
      </c>
      <c r="M796" s="317">
        <v>40.216529999999999</v>
      </c>
    </row>
    <row r="797" spans="1:13" ht="45" hidden="1" x14ac:dyDescent="0.25">
      <c r="A797" s="313">
        <f t="shared" si="12"/>
        <v>796</v>
      </c>
      <c r="B797" s="314" t="s">
        <v>3662</v>
      </c>
      <c r="C797" s="315" t="s">
        <v>412</v>
      </c>
      <c r="D797" s="316" t="s">
        <v>3664</v>
      </c>
      <c r="E797" s="318">
        <v>2.62</v>
      </c>
      <c r="F797" s="318" t="s">
        <v>395</v>
      </c>
      <c r="G797" s="318" t="s">
        <v>395</v>
      </c>
      <c r="H797" s="318" t="s">
        <v>395</v>
      </c>
      <c r="I797" s="318" t="s">
        <v>406</v>
      </c>
      <c r="J797" s="318">
        <v>81</v>
      </c>
      <c r="K797" s="317" t="s">
        <v>410</v>
      </c>
      <c r="L797" s="317">
        <v>47.754890000000003</v>
      </c>
      <c r="M797" s="317">
        <v>39.935420000000001</v>
      </c>
    </row>
    <row r="798" spans="1:13" ht="45" hidden="1" x14ac:dyDescent="0.25">
      <c r="A798" s="313">
        <f t="shared" si="12"/>
        <v>797</v>
      </c>
      <c r="B798" s="314" t="s">
        <v>3666</v>
      </c>
      <c r="C798" s="315" t="s">
        <v>393</v>
      </c>
      <c r="D798" s="316" t="s">
        <v>3668</v>
      </c>
      <c r="E798" s="318">
        <v>2.36</v>
      </c>
      <c r="F798" s="318" t="s">
        <v>395</v>
      </c>
      <c r="G798" s="318" t="s">
        <v>395</v>
      </c>
      <c r="H798" s="318" t="s">
        <v>395</v>
      </c>
      <c r="I798" s="318" t="s">
        <v>406</v>
      </c>
      <c r="J798" s="318">
        <v>68</v>
      </c>
      <c r="K798" s="317" t="s">
        <v>410</v>
      </c>
      <c r="L798" s="317">
        <v>47.693469999999998</v>
      </c>
      <c r="M798" s="317">
        <v>40.109529999999999</v>
      </c>
    </row>
    <row r="799" spans="1:13" ht="60" hidden="1" x14ac:dyDescent="0.25">
      <c r="A799" s="313">
        <f t="shared" si="12"/>
        <v>798</v>
      </c>
      <c r="B799" s="314" t="s">
        <v>3669</v>
      </c>
      <c r="C799" s="315" t="s">
        <v>408</v>
      </c>
      <c r="D799" s="316" t="s">
        <v>3671</v>
      </c>
      <c r="E799" s="318">
        <v>2.8</v>
      </c>
      <c r="F799" s="318" t="s">
        <v>395</v>
      </c>
      <c r="G799" s="318" t="s">
        <v>395</v>
      </c>
      <c r="H799" s="318" t="s">
        <v>395</v>
      </c>
      <c r="I799" s="318" t="s">
        <v>406</v>
      </c>
      <c r="J799" s="318">
        <v>90</v>
      </c>
      <c r="K799" s="317" t="s">
        <v>410</v>
      </c>
      <c r="L799" s="317">
        <v>47.67756</v>
      </c>
      <c r="M799" s="317">
        <v>40.280140000000003</v>
      </c>
    </row>
    <row r="800" spans="1:13" ht="60" hidden="1" x14ac:dyDescent="0.25">
      <c r="A800" s="313">
        <f t="shared" si="12"/>
        <v>799</v>
      </c>
      <c r="B800" s="314" t="s">
        <v>3673</v>
      </c>
      <c r="C800" s="315" t="s">
        <v>408</v>
      </c>
      <c r="D800" s="316" t="s">
        <v>3675</v>
      </c>
      <c r="E800" s="318">
        <v>2.72</v>
      </c>
      <c r="F800" s="318" t="s">
        <v>395</v>
      </c>
      <c r="G800" s="318" t="s">
        <v>395</v>
      </c>
      <c r="H800" s="318" t="s">
        <v>395</v>
      </c>
      <c r="I800" s="318" t="s">
        <v>406</v>
      </c>
      <c r="J800" s="318">
        <v>86</v>
      </c>
      <c r="K800" s="317" t="s">
        <v>410</v>
      </c>
      <c r="L800" s="317">
        <v>47.775060000000003</v>
      </c>
      <c r="M800" s="317">
        <v>39.86889</v>
      </c>
    </row>
    <row r="801" spans="1:13" ht="45" hidden="1" x14ac:dyDescent="0.25">
      <c r="A801" s="313">
        <f t="shared" si="12"/>
        <v>800</v>
      </c>
      <c r="B801" s="314" t="s">
        <v>3677</v>
      </c>
      <c r="C801" s="315" t="s">
        <v>412</v>
      </c>
      <c r="D801" s="316" t="s">
        <v>3679</v>
      </c>
      <c r="E801" s="318">
        <v>2.74</v>
      </c>
      <c r="F801" s="318" t="s">
        <v>395</v>
      </c>
      <c r="G801" s="318" t="s">
        <v>395</v>
      </c>
      <c r="H801" s="318" t="s">
        <v>395</v>
      </c>
      <c r="I801" s="318" t="s">
        <v>406</v>
      </c>
      <c r="J801" s="318">
        <v>87</v>
      </c>
      <c r="K801" s="317" t="s">
        <v>410</v>
      </c>
      <c r="L801" s="317">
        <v>47.815190000000001</v>
      </c>
      <c r="M801" s="317">
        <v>39.900219999999997</v>
      </c>
    </row>
    <row r="802" spans="1:13" ht="45" hidden="1" x14ac:dyDescent="0.25">
      <c r="A802" s="313">
        <f t="shared" si="12"/>
        <v>801</v>
      </c>
      <c r="B802" s="314" t="s">
        <v>3681</v>
      </c>
      <c r="C802" s="315" t="s">
        <v>412</v>
      </c>
      <c r="D802" s="316" t="s">
        <v>3683</v>
      </c>
      <c r="E802" s="318">
        <v>2.7</v>
      </c>
      <c r="F802" s="318" t="s">
        <v>395</v>
      </c>
      <c r="G802" s="318" t="s">
        <v>395</v>
      </c>
      <c r="H802" s="318" t="s">
        <v>395</v>
      </c>
      <c r="I802" s="318" t="s">
        <v>406</v>
      </c>
      <c r="J802" s="318">
        <v>85</v>
      </c>
      <c r="K802" s="317" t="s">
        <v>410</v>
      </c>
      <c r="L802" s="317">
        <v>47.791139999999999</v>
      </c>
      <c r="M802" s="317">
        <v>39.900080000000003</v>
      </c>
    </row>
    <row r="803" spans="1:13" ht="45" hidden="1" x14ac:dyDescent="0.25">
      <c r="A803" s="313">
        <f t="shared" si="12"/>
        <v>802</v>
      </c>
      <c r="B803" s="314" t="s">
        <v>3685</v>
      </c>
      <c r="C803" s="315" t="s">
        <v>412</v>
      </c>
      <c r="D803" s="316" t="s">
        <v>3687</v>
      </c>
      <c r="E803" s="318">
        <v>2.9</v>
      </c>
      <c r="F803" s="318" t="s">
        <v>395</v>
      </c>
      <c r="G803" s="318" t="s">
        <v>395</v>
      </c>
      <c r="H803" s="318" t="s">
        <v>395</v>
      </c>
      <c r="I803" s="318" t="s">
        <v>406</v>
      </c>
      <c r="J803" s="318">
        <v>95</v>
      </c>
      <c r="K803" s="317" t="s">
        <v>410</v>
      </c>
      <c r="L803" s="317">
        <v>47.857559999999999</v>
      </c>
      <c r="M803" s="317">
        <v>40.025750000000002</v>
      </c>
    </row>
    <row r="804" spans="1:13" ht="45" hidden="1" x14ac:dyDescent="0.25">
      <c r="A804" s="313">
        <f t="shared" si="12"/>
        <v>803</v>
      </c>
      <c r="B804" s="314" t="s">
        <v>3689</v>
      </c>
      <c r="C804" s="315" t="s">
        <v>412</v>
      </c>
      <c r="D804" s="316" t="s">
        <v>3690</v>
      </c>
      <c r="E804" s="318">
        <v>3.08</v>
      </c>
      <c r="F804" s="318" t="s">
        <v>395</v>
      </c>
      <c r="G804" s="318" t="s">
        <v>395</v>
      </c>
      <c r="H804" s="318" t="s">
        <v>395</v>
      </c>
      <c r="I804" s="318" t="s">
        <v>406</v>
      </c>
      <c r="J804" s="318">
        <v>104</v>
      </c>
      <c r="K804" s="317" t="s">
        <v>410</v>
      </c>
      <c r="L804" s="317">
        <v>47.889780000000002</v>
      </c>
      <c r="M804" s="317">
        <v>40.04569</v>
      </c>
    </row>
    <row r="805" spans="1:13" ht="45" hidden="1" x14ac:dyDescent="0.25">
      <c r="A805" s="313">
        <f t="shared" si="12"/>
        <v>804</v>
      </c>
      <c r="B805" s="314" t="s">
        <v>3692</v>
      </c>
      <c r="C805" s="315" t="s">
        <v>393</v>
      </c>
      <c r="D805" s="316" t="s">
        <v>3694</v>
      </c>
      <c r="E805" s="318">
        <v>2.52</v>
      </c>
      <c r="F805" s="318" t="s">
        <v>395</v>
      </c>
      <c r="G805" s="318" t="s">
        <v>395</v>
      </c>
      <c r="H805" s="318" t="s">
        <v>395</v>
      </c>
      <c r="I805" s="318" t="s">
        <v>406</v>
      </c>
      <c r="J805" s="318">
        <v>76</v>
      </c>
      <c r="K805" s="317" t="s">
        <v>410</v>
      </c>
      <c r="L805" s="317">
        <v>47.700389999999999</v>
      </c>
      <c r="M805" s="317">
        <v>40.21058</v>
      </c>
    </row>
    <row r="806" spans="1:13" ht="75" hidden="1" x14ac:dyDescent="0.25">
      <c r="A806" s="313">
        <f t="shared" si="12"/>
        <v>805</v>
      </c>
      <c r="B806" s="314" t="s">
        <v>3696</v>
      </c>
      <c r="C806" s="315" t="s">
        <v>428</v>
      </c>
      <c r="D806" s="316" t="s">
        <v>3698</v>
      </c>
      <c r="E806" s="318">
        <v>2.68</v>
      </c>
      <c r="F806" s="318" t="s">
        <v>395</v>
      </c>
      <c r="G806" s="318" t="s">
        <v>395</v>
      </c>
      <c r="H806" s="318" t="s">
        <v>395</v>
      </c>
      <c r="I806" s="318" t="s">
        <v>406</v>
      </c>
      <c r="J806" s="318">
        <v>84</v>
      </c>
      <c r="K806" s="317" t="s">
        <v>410</v>
      </c>
      <c r="L806" s="317">
        <v>47.736190000000001</v>
      </c>
      <c r="M806" s="317">
        <v>40.305999999999997</v>
      </c>
    </row>
    <row r="807" spans="1:13" ht="45" hidden="1" x14ac:dyDescent="0.25">
      <c r="A807" s="313">
        <f t="shared" si="12"/>
        <v>806</v>
      </c>
      <c r="B807" s="314" t="s">
        <v>3700</v>
      </c>
      <c r="C807" s="315" t="s">
        <v>412</v>
      </c>
      <c r="D807" s="316" t="s">
        <v>3702</v>
      </c>
      <c r="E807" s="318">
        <v>2.94</v>
      </c>
      <c r="F807" s="318" t="s">
        <v>395</v>
      </c>
      <c r="G807" s="318" t="s">
        <v>395</v>
      </c>
      <c r="H807" s="318" t="s">
        <v>395</v>
      </c>
      <c r="I807" s="318" t="s">
        <v>406</v>
      </c>
      <c r="J807" s="318">
        <v>97</v>
      </c>
      <c r="K807" s="317" t="s">
        <v>410</v>
      </c>
      <c r="L807" s="317">
        <v>47.900640000000003</v>
      </c>
      <c r="M807" s="317">
        <v>40.093940000000003</v>
      </c>
    </row>
    <row r="808" spans="1:13" ht="75" hidden="1" x14ac:dyDescent="0.25">
      <c r="A808" s="313">
        <f t="shared" si="12"/>
        <v>807</v>
      </c>
      <c r="B808" s="314" t="s">
        <v>3704</v>
      </c>
      <c r="C808" s="315" t="s">
        <v>428</v>
      </c>
      <c r="D808" s="316" t="s">
        <v>3706</v>
      </c>
      <c r="E808" s="318">
        <v>2.36</v>
      </c>
      <c r="F808" s="318" t="s">
        <v>395</v>
      </c>
      <c r="G808" s="318" t="s">
        <v>395</v>
      </c>
      <c r="H808" s="318" t="s">
        <v>395</v>
      </c>
      <c r="I808" s="318" t="s">
        <v>406</v>
      </c>
      <c r="J808" s="318">
        <v>68</v>
      </c>
      <c r="K808" s="317" t="s">
        <v>410</v>
      </c>
      <c r="L808" s="317">
        <v>47.698140000000002</v>
      </c>
      <c r="M808" s="317">
        <v>40.110140000000001</v>
      </c>
    </row>
    <row r="809" spans="1:13" ht="75" hidden="1" x14ac:dyDescent="0.25">
      <c r="A809" s="313">
        <f t="shared" si="12"/>
        <v>808</v>
      </c>
      <c r="B809" s="314" t="s">
        <v>3708</v>
      </c>
      <c r="C809" s="315" t="s">
        <v>428</v>
      </c>
      <c r="D809" s="316" t="s">
        <v>3710</v>
      </c>
      <c r="E809" s="318">
        <v>2.6</v>
      </c>
      <c r="F809" s="318" t="s">
        <v>395</v>
      </c>
      <c r="G809" s="318" t="s">
        <v>395</v>
      </c>
      <c r="H809" s="318" t="s">
        <v>395</v>
      </c>
      <c r="I809" s="318" t="s">
        <v>406</v>
      </c>
      <c r="J809" s="318">
        <v>80</v>
      </c>
      <c r="K809" s="317" t="s">
        <v>410</v>
      </c>
      <c r="L809" s="317">
        <v>47.731639999999999</v>
      </c>
      <c r="M809" s="317">
        <v>40.220419999999997</v>
      </c>
    </row>
    <row r="810" spans="1:13" ht="75" hidden="1" x14ac:dyDescent="0.25">
      <c r="A810" s="313">
        <f t="shared" si="12"/>
        <v>809</v>
      </c>
      <c r="B810" s="314" t="s">
        <v>3712</v>
      </c>
      <c r="C810" s="315" t="s">
        <v>428</v>
      </c>
      <c r="D810" s="316" t="s">
        <v>3714</v>
      </c>
      <c r="E810" s="318">
        <v>2.62</v>
      </c>
      <c r="F810" s="318" t="s">
        <v>395</v>
      </c>
      <c r="G810" s="318" t="s">
        <v>395</v>
      </c>
      <c r="H810" s="318" t="s">
        <v>395</v>
      </c>
      <c r="I810" s="318" t="s">
        <v>406</v>
      </c>
      <c r="J810" s="318">
        <v>81</v>
      </c>
      <c r="K810" s="317" t="s">
        <v>410</v>
      </c>
      <c r="L810" s="317">
        <v>47.700920000000004</v>
      </c>
      <c r="M810" s="317">
        <v>40.258560000000003</v>
      </c>
    </row>
    <row r="811" spans="1:13" ht="45" hidden="1" x14ac:dyDescent="0.25">
      <c r="A811" s="313">
        <f t="shared" si="12"/>
        <v>810</v>
      </c>
      <c r="B811" s="314" t="s">
        <v>3716</v>
      </c>
      <c r="C811" s="315" t="s">
        <v>412</v>
      </c>
      <c r="D811" s="316" t="s">
        <v>3718</v>
      </c>
      <c r="E811" s="318">
        <v>2.66</v>
      </c>
      <c r="F811" s="318" t="s">
        <v>395</v>
      </c>
      <c r="G811" s="318" t="s">
        <v>395</v>
      </c>
      <c r="H811" s="318" t="s">
        <v>395</v>
      </c>
      <c r="I811" s="318" t="s">
        <v>406</v>
      </c>
      <c r="J811" s="318">
        <v>83</v>
      </c>
      <c r="K811" s="317" t="s">
        <v>410</v>
      </c>
      <c r="L811" s="317">
        <v>47.812280000000001</v>
      </c>
      <c r="M811" s="317">
        <v>40.101939999999999</v>
      </c>
    </row>
    <row r="812" spans="1:13" ht="75" hidden="1" x14ac:dyDescent="0.25">
      <c r="A812" s="313">
        <f t="shared" si="12"/>
        <v>811</v>
      </c>
      <c r="B812" s="314" t="s">
        <v>3720</v>
      </c>
      <c r="C812" s="315" t="s">
        <v>428</v>
      </c>
      <c r="D812" s="316" t="s">
        <v>3722</v>
      </c>
      <c r="E812" s="318">
        <v>2.78</v>
      </c>
      <c r="F812" s="318" t="s">
        <v>395</v>
      </c>
      <c r="G812" s="318" t="s">
        <v>395</v>
      </c>
      <c r="H812" s="318" t="s">
        <v>395</v>
      </c>
      <c r="I812" s="318" t="s">
        <v>406</v>
      </c>
      <c r="J812" s="318">
        <v>89</v>
      </c>
      <c r="K812" s="317" t="s">
        <v>410</v>
      </c>
      <c r="L812" s="317">
        <v>47.731859999999998</v>
      </c>
      <c r="M812" s="317">
        <v>40.33822</v>
      </c>
    </row>
    <row r="813" spans="1:13" ht="30" hidden="1" x14ac:dyDescent="0.25">
      <c r="A813" s="313">
        <f t="shared" si="12"/>
        <v>812</v>
      </c>
      <c r="B813" s="314" t="s">
        <v>3724</v>
      </c>
      <c r="C813" s="315" t="s">
        <v>399</v>
      </c>
      <c r="D813" s="316" t="s">
        <v>3726</v>
      </c>
      <c r="E813" s="318">
        <v>2.64</v>
      </c>
      <c r="F813" s="318" t="s">
        <v>395</v>
      </c>
      <c r="G813" s="318" t="s">
        <v>395</v>
      </c>
      <c r="H813" s="318" t="s">
        <v>395</v>
      </c>
      <c r="I813" s="318" t="s">
        <v>406</v>
      </c>
      <c r="J813" s="318">
        <v>82</v>
      </c>
      <c r="K813" s="317" t="s">
        <v>410</v>
      </c>
      <c r="L813" s="317">
        <v>47.776580000000003</v>
      </c>
      <c r="M813" s="317">
        <v>39.927329999999998</v>
      </c>
    </row>
    <row r="814" spans="1:13" ht="75" hidden="1" x14ac:dyDescent="0.25">
      <c r="A814" s="313">
        <f t="shared" si="12"/>
        <v>813</v>
      </c>
      <c r="B814" s="314" t="s">
        <v>3728</v>
      </c>
      <c r="C814" s="315" t="s">
        <v>428</v>
      </c>
      <c r="D814" s="316" t="s">
        <v>3730</v>
      </c>
      <c r="E814" s="318">
        <v>2.52</v>
      </c>
      <c r="F814" s="318" t="s">
        <v>395</v>
      </c>
      <c r="G814" s="318" t="s">
        <v>395</v>
      </c>
      <c r="H814" s="318" t="s">
        <v>395</v>
      </c>
      <c r="I814" s="318" t="s">
        <v>406</v>
      </c>
      <c r="J814" s="318">
        <v>76</v>
      </c>
      <c r="K814" s="317" t="s">
        <v>410</v>
      </c>
      <c r="L814" s="317">
        <v>47.692779999999999</v>
      </c>
      <c r="M814" s="317">
        <v>40.206670000000003</v>
      </c>
    </row>
    <row r="815" spans="1:13" ht="75" hidden="1" x14ac:dyDescent="0.25">
      <c r="A815" s="313">
        <f t="shared" si="12"/>
        <v>814</v>
      </c>
      <c r="B815" s="314" t="s">
        <v>3732</v>
      </c>
      <c r="C815" s="315" t="s">
        <v>428</v>
      </c>
      <c r="D815" s="316" t="s">
        <v>3734</v>
      </c>
      <c r="E815" s="318">
        <v>2.66</v>
      </c>
      <c r="F815" s="318" t="s">
        <v>395</v>
      </c>
      <c r="G815" s="318" t="s">
        <v>395</v>
      </c>
      <c r="H815" s="318" t="s">
        <v>395</v>
      </c>
      <c r="I815" s="318" t="s">
        <v>406</v>
      </c>
      <c r="J815" s="318">
        <v>83</v>
      </c>
      <c r="K815" s="317" t="s">
        <v>410</v>
      </c>
      <c r="L815" s="317">
        <v>47.733469999999997</v>
      </c>
      <c r="M815" s="317">
        <v>40.285640000000001</v>
      </c>
    </row>
    <row r="816" spans="1:13" ht="75" hidden="1" x14ac:dyDescent="0.25">
      <c r="A816" s="313">
        <f t="shared" si="12"/>
        <v>815</v>
      </c>
      <c r="B816" s="314" t="s">
        <v>3735</v>
      </c>
      <c r="C816" s="315" t="s">
        <v>428</v>
      </c>
      <c r="D816" s="316" t="s">
        <v>3737</v>
      </c>
      <c r="E816" s="318">
        <v>2.7</v>
      </c>
      <c r="F816" s="318" t="s">
        <v>395</v>
      </c>
      <c r="G816" s="318" t="s">
        <v>395</v>
      </c>
      <c r="H816" s="318" t="s">
        <v>395</v>
      </c>
      <c r="I816" s="318" t="s">
        <v>406</v>
      </c>
      <c r="J816" s="318">
        <v>85</v>
      </c>
      <c r="K816" s="317" t="s">
        <v>410</v>
      </c>
      <c r="L816" s="317">
        <v>47.774000000000001</v>
      </c>
      <c r="M816" s="317">
        <v>39.894419999999997</v>
      </c>
    </row>
    <row r="817" spans="1:13" ht="60" hidden="1" x14ac:dyDescent="0.25">
      <c r="A817" s="313">
        <f t="shared" si="12"/>
        <v>816</v>
      </c>
      <c r="B817" s="314" t="s">
        <v>3739</v>
      </c>
      <c r="C817" s="315" t="s">
        <v>447</v>
      </c>
      <c r="D817" s="316" t="s">
        <v>3741</v>
      </c>
      <c r="E817" s="318">
        <v>3.02</v>
      </c>
      <c r="F817" s="318" t="s">
        <v>395</v>
      </c>
      <c r="G817" s="318" t="s">
        <v>395</v>
      </c>
      <c r="H817" s="318" t="s">
        <v>395</v>
      </c>
      <c r="I817" s="318" t="s">
        <v>406</v>
      </c>
      <c r="J817" s="318">
        <v>101</v>
      </c>
      <c r="K817" s="317" t="s">
        <v>410</v>
      </c>
      <c r="L817" s="317">
        <v>47.90925</v>
      </c>
      <c r="M817" s="317">
        <v>40.050330000000002</v>
      </c>
    </row>
    <row r="818" spans="1:13" ht="75" hidden="1" x14ac:dyDescent="0.25">
      <c r="A818" s="313">
        <f t="shared" si="12"/>
        <v>817</v>
      </c>
      <c r="B818" s="314" t="s">
        <v>3743</v>
      </c>
      <c r="C818" s="315" t="s">
        <v>428</v>
      </c>
      <c r="D818" s="316" t="s">
        <v>3745</v>
      </c>
      <c r="E818" s="318">
        <v>2.9</v>
      </c>
      <c r="F818" s="318" t="s">
        <v>395</v>
      </c>
      <c r="G818" s="318" t="s">
        <v>395</v>
      </c>
      <c r="H818" s="318" t="s">
        <v>395</v>
      </c>
      <c r="I818" s="318" t="s">
        <v>406</v>
      </c>
      <c r="J818" s="318">
        <v>95</v>
      </c>
      <c r="K818" s="317" t="s">
        <v>410</v>
      </c>
      <c r="L818" s="317">
        <v>47.89058</v>
      </c>
      <c r="M818" s="317">
        <v>40.072560000000003</v>
      </c>
    </row>
    <row r="819" spans="1:13" ht="75" hidden="1" x14ac:dyDescent="0.25">
      <c r="A819" s="313">
        <f t="shared" si="12"/>
        <v>818</v>
      </c>
      <c r="B819" s="314" t="s">
        <v>3747</v>
      </c>
      <c r="C819" s="315" t="s">
        <v>428</v>
      </c>
      <c r="D819" s="316" t="s">
        <v>3749</v>
      </c>
      <c r="E819" s="318">
        <v>2.42</v>
      </c>
      <c r="F819" s="318" t="s">
        <v>395</v>
      </c>
      <c r="G819" s="318" t="s">
        <v>395</v>
      </c>
      <c r="H819" s="318" t="s">
        <v>395</v>
      </c>
      <c r="I819" s="318" t="s">
        <v>406</v>
      </c>
      <c r="J819" s="318">
        <v>71</v>
      </c>
      <c r="K819" s="317" t="s">
        <v>410</v>
      </c>
      <c r="L819" s="317">
        <v>47.763919999999999</v>
      </c>
      <c r="M819" s="317">
        <v>39.820169999999997</v>
      </c>
    </row>
    <row r="820" spans="1:13" ht="75" hidden="1" x14ac:dyDescent="0.25">
      <c r="A820" s="313">
        <f t="shared" si="12"/>
        <v>819</v>
      </c>
      <c r="B820" s="314" t="s">
        <v>3751</v>
      </c>
      <c r="C820" s="315" t="s">
        <v>428</v>
      </c>
      <c r="D820" s="316" t="s">
        <v>3753</v>
      </c>
      <c r="E820" s="318">
        <v>2.76</v>
      </c>
      <c r="F820" s="318" t="s">
        <v>395</v>
      </c>
      <c r="G820" s="318" t="s">
        <v>395</v>
      </c>
      <c r="H820" s="318" t="s">
        <v>395</v>
      </c>
      <c r="I820" s="318" t="s">
        <v>406</v>
      </c>
      <c r="J820" s="318">
        <v>88</v>
      </c>
      <c r="K820" s="317" t="s">
        <v>410</v>
      </c>
      <c r="L820" s="317">
        <v>47.783360000000002</v>
      </c>
      <c r="M820" s="317">
        <v>39.863939999999999</v>
      </c>
    </row>
    <row r="821" spans="1:13" ht="75" hidden="1" x14ac:dyDescent="0.25">
      <c r="A821" s="313">
        <f t="shared" si="12"/>
        <v>820</v>
      </c>
      <c r="B821" s="314" t="s">
        <v>3757</v>
      </c>
      <c r="C821" s="315" t="s">
        <v>428</v>
      </c>
      <c r="D821" s="316" t="s">
        <v>3758</v>
      </c>
      <c r="E821" s="318">
        <v>2.68</v>
      </c>
      <c r="F821" s="318" t="s">
        <v>395</v>
      </c>
      <c r="G821" s="318" t="s">
        <v>395</v>
      </c>
      <c r="H821" s="318" t="s">
        <v>395</v>
      </c>
      <c r="I821" s="318" t="s">
        <v>406</v>
      </c>
      <c r="J821" s="318">
        <v>84</v>
      </c>
      <c r="K821" s="317" t="s">
        <v>410</v>
      </c>
      <c r="L821" s="317">
        <v>47.752890000000001</v>
      </c>
      <c r="M821" s="317">
        <v>39.911000000000001</v>
      </c>
    </row>
    <row r="822" spans="1:13" ht="75" hidden="1" x14ac:dyDescent="0.25">
      <c r="A822" s="313">
        <f t="shared" si="12"/>
        <v>821</v>
      </c>
      <c r="B822" s="314" t="s">
        <v>3761</v>
      </c>
      <c r="C822" s="315" t="s">
        <v>428</v>
      </c>
      <c r="D822" s="316" t="s">
        <v>3762</v>
      </c>
      <c r="E822" s="318">
        <v>2.72</v>
      </c>
      <c r="F822" s="318" t="s">
        <v>395</v>
      </c>
      <c r="G822" s="318" t="s">
        <v>395</v>
      </c>
      <c r="H822" s="318" t="s">
        <v>395</v>
      </c>
      <c r="I822" s="318" t="s">
        <v>406</v>
      </c>
      <c r="J822" s="318">
        <v>86</v>
      </c>
      <c r="K822" s="317" t="s">
        <v>410</v>
      </c>
      <c r="L822" s="317">
        <v>47.804670000000002</v>
      </c>
      <c r="M822" s="317">
        <v>39.904029999999999</v>
      </c>
    </row>
    <row r="823" spans="1:13" ht="75" hidden="1" x14ac:dyDescent="0.25">
      <c r="A823" s="313">
        <f t="shared" si="12"/>
        <v>822</v>
      </c>
      <c r="B823" s="314" t="s">
        <v>3765</v>
      </c>
      <c r="C823" s="315" t="s">
        <v>428</v>
      </c>
      <c r="D823" s="316" t="s">
        <v>3766</v>
      </c>
      <c r="E823" s="318">
        <v>2.6</v>
      </c>
      <c r="F823" s="318" t="s">
        <v>395</v>
      </c>
      <c r="G823" s="318" t="s">
        <v>395</v>
      </c>
      <c r="H823" s="318" t="s">
        <v>395</v>
      </c>
      <c r="I823" s="318" t="s">
        <v>406</v>
      </c>
      <c r="J823" s="318">
        <v>80</v>
      </c>
      <c r="K823" s="317" t="s">
        <v>410</v>
      </c>
      <c r="L823" s="317">
        <v>47.740690000000001</v>
      </c>
      <c r="M823" s="317">
        <v>39.953809999999997</v>
      </c>
    </row>
    <row r="824" spans="1:13" ht="75" hidden="1" x14ac:dyDescent="0.25">
      <c r="A824" s="313">
        <f t="shared" si="12"/>
        <v>823</v>
      </c>
      <c r="B824" s="314" t="s">
        <v>3769</v>
      </c>
      <c r="C824" s="315" t="s">
        <v>428</v>
      </c>
      <c r="D824" s="316" t="s">
        <v>3770</v>
      </c>
      <c r="E824" s="318">
        <v>2.56</v>
      </c>
      <c r="F824" s="318" t="s">
        <v>395</v>
      </c>
      <c r="G824" s="318" t="s">
        <v>395</v>
      </c>
      <c r="H824" s="318" t="s">
        <v>395</v>
      </c>
      <c r="I824" s="318" t="s">
        <v>406</v>
      </c>
      <c r="J824" s="318">
        <v>78</v>
      </c>
      <c r="K824" s="317" t="s">
        <v>410</v>
      </c>
      <c r="L824" s="317">
        <v>47.706119999999999</v>
      </c>
      <c r="M824" s="317">
        <v>40.199719999999999</v>
      </c>
    </row>
    <row r="825" spans="1:13" ht="30" hidden="1" x14ac:dyDescent="0.25">
      <c r="A825" s="313">
        <f t="shared" si="12"/>
        <v>824</v>
      </c>
      <c r="B825" s="314" t="s">
        <v>3772</v>
      </c>
      <c r="C825" s="315" t="s">
        <v>399</v>
      </c>
      <c r="D825" s="316" t="s">
        <v>3774</v>
      </c>
      <c r="E825" s="318">
        <v>2.6</v>
      </c>
      <c r="F825" s="318" t="s">
        <v>395</v>
      </c>
      <c r="G825" s="318" t="s">
        <v>395</v>
      </c>
      <c r="H825" s="318" t="s">
        <v>395</v>
      </c>
      <c r="I825" s="318" t="s">
        <v>406</v>
      </c>
      <c r="J825" s="318">
        <v>80</v>
      </c>
      <c r="K825" s="317" t="s">
        <v>410</v>
      </c>
      <c r="L825" s="317">
        <v>47.716140000000003</v>
      </c>
      <c r="M825" s="317">
        <v>40.242640000000002</v>
      </c>
    </row>
    <row r="826" spans="1:13" ht="75" hidden="1" x14ac:dyDescent="0.25">
      <c r="A826" s="313">
        <f t="shared" si="12"/>
        <v>825</v>
      </c>
      <c r="B826" s="314" t="s">
        <v>3670</v>
      </c>
      <c r="C826" s="315" t="s">
        <v>428</v>
      </c>
      <c r="D826" s="316" t="s">
        <v>3672</v>
      </c>
      <c r="E826" s="318">
        <v>2.76</v>
      </c>
      <c r="F826" s="318" t="s">
        <v>395</v>
      </c>
      <c r="G826" s="318" t="s">
        <v>395</v>
      </c>
      <c r="H826" s="318" t="s">
        <v>395</v>
      </c>
      <c r="I826" s="318" t="s">
        <v>406</v>
      </c>
      <c r="J826" s="318">
        <v>88</v>
      </c>
      <c r="K826" s="317" t="s">
        <v>410</v>
      </c>
      <c r="L826" s="317">
        <v>47.81306</v>
      </c>
      <c r="M826" s="317">
        <v>39.885829999999999</v>
      </c>
    </row>
    <row r="827" spans="1:13" ht="75" hidden="1" x14ac:dyDescent="0.25">
      <c r="A827" s="313">
        <f t="shared" si="12"/>
        <v>826</v>
      </c>
      <c r="B827" s="314" t="s">
        <v>3674</v>
      </c>
      <c r="C827" s="315" t="s">
        <v>428</v>
      </c>
      <c r="D827" s="316" t="s">
        <v>3676</v>
      </c>
      <c r="E827" s="318">
        <v>2.6</v>
      </c>
      <c r="F827" s="318" t="s">
        <v>395</v>
      </c>
      <c r="G827" s="318" t="s">
        <v>395</v>
      </c>
      <c r="H827" s="318" t="s">
        <v>395</v>
      </c>
      <c r="I827" s="318" t="s">
        <v>406</v>
      </c>
      <c r="J827" s="318">
        <v>80</v>
      </c>
      <c r="K827" s="317" t="s">
        <v>410</v>
      </c>
      <c r="L827" s="317">
        <v>47.733829999999998</v>
      </c>
      <c r="M827" s="317">
        <v>40.237780000000001</v>
      </c>
    </row>
    <row r="828" spans="1:13" ht="75" hidden="1" x14ac:dyDescent="0.25">
      <c r="A828" s="313">
        <f t="shared" si="12"/>
        <v>827</v>
      </c>
      <c r="B828" s="314" t="s">
        <v>3678</v>
      </c>
      <c r="C828" s="315" t="s">
        <v>428</v>
      </c>
      <c r="D828" s="316" t="s">
        <v>3680</v>
      </c>
      <c r="E828" s="318">
        <v>2.52</v>
      </c>
      <c r="F828" s="318" t="s">
        <v>395</v>
      </c>
      <c r="G828" s="318" t="s">
        <v>395</v>
      </c>
      <c r="H828" s="318" t="s">
        <v>395</v>
      </c>
      <c r="I828" s="318" t="s">
        <v>406</v>
      </c>
      <c r="J828" s="318">
        <v>76</v>
      </c>
      <c r="K828" s="317" t="s">
        <v>410</v>
      </c>
      <c r="L828" s="317">
        <v>47.727530000000002</v>
      </c>
      <c r="M828" s="317">
        <v>40.195779999999999</v>
      </c>
    </row>
    <row r="829" spans="1:13" ht="45" hidden="1" x14ac:dyDescent="0.25">
      <c r="A829" s="313">
        <f t="shared" si="12"/>
        <v>828</v>
      </c>
      <c r="B829" s="314" t="s">
        <v>3682</v>
      </c>
      <c r="C829" s="315" t="s">
        <v>393</v>
      </c>
      <c r="D829" s="316" t="s">
        <v>3684</v>
      </c>
      <c r="E829" s="318">
        <v>2.54</v>
      </c>
      <c r="F829" s="318" t="s">
        <v>395</v>
      </c>
      <c r="G829" s="318" t="s">
        <v>395</v>
      </c>
      <c r="H829" s="318" t="s">
        <v>395</v>
      </c>
      <c r="I829" s="318" t="s">
        <v>406</v>
      </c>
      <c r="J829" s="318">
        <v>77</v>
      </c>
      <c r="K829" s="317" t="s">
        <v>410</v>
      </c>
      <c r="L829" s="317">
        <v>47.710279999999997</v>
      </c>
      <c r="M829" s="317">
        <v>40.208829999999999</v>
      </c>
    </row>
    <row r="830" spans="1:13" ht="75" hidden="1" x14ac:dyDescent="0.25">
      <c r="A830" s="313">
        <f t="shared" si="12"/>
        <v>829</v>
      </c>
      <c r="B830" s="314" t="s">
        <v>3686</v>
      </c>
      <c r="C830" s="315" t="s">
        <v>428</v>
      </c>
      <c r="D830" s="316" t="s">
        <v>3688</v>
      </c>
      <c r="E830" s="318">
        <v>2.78</v>
      </c>
      <c r="F830" s="318" t="s">
        <v>395</v>
      </c>
      <c r="G830" s="318" t="s">
        <v>395</v>
      </c>
      <c r="H830" s="318" t="s">
        <v>395</v>
      </c>
      <c r="I830" s="318" t="s">
        <v>406</v>
      </c>
      <c r="J830" s="318">
        <v>89</v>
      </c>
      <c r="K830" s="317" t="s">
        <v>410</v>
      </c>
      <c r="L830" s="317">
        <v>47.821489999999997</v>
      </c>
      <c r="M830" s="317">
        <v>39.885649999999998</v>
      </c>
    </row>
    <row r="831" spans="1:13" ht="75" hidden="1" x14ac:dyDescent="0.25">
      <c r="A831" s="313">
        <f t="shared" si="12"/>
        <v>830</v>
      </c>
      <c r="B831" s="314" t="s">
        <v>3691</v>
      </c>
      <c r="C831" s="315" t="s">
        <v>428</v>
      </c>
      <c r="D831" s="316" t="s">
        <v>3693</v>
      </c>
      <c r="E831" s="318">
        <v>2.58</v>
      </c>
      <c r="F831" s="318" t="s">
        <v>395</v>
      </c>
      <c r="G831" s="318" t="s">
        <v>395</v>
      </c>
      <c r="H831" s="318" t="s">
        <v>395</v>
      </c>
      <c r="I831" s="318" t="s">
        <v>406</v>
      </c>
      <c r="J831" s="318">
        <v>79</v>
      </c>
      <c r="K831" s="317" t="s">
        <v>410</v>
      </c>
      <c r="L831" s="317">
        <v>47.64669</v>
      </c>
      <c r="M831" s="317">
        <v>40.196579999999997</v>
      </c>
    </row>
    <row r="832" spans="1:13" ht="75" hidden="1" x14ac:dyDescent="0.25">
      <c r="A832" s="313">
        <f t="shared" si="12"/>
        <v>831</v>
      </c>
      <c r="B832" s="314" t="s">
        <v>3695</v>
      </c>
      <c r="C832" s="315" t="s">
        <v>428</v>
      </c>
      <c r="D832" s="316" t="s">
        <v>3697</v>
      </c>
      <c r="E832" s="318">
        <v>2.44</v>
      </c>
      <c r="F832" s="318" t="s">
        <v>395</v>
      </c>
      <c r="G832" s="318" t="s">
        <v>395</v>
      </c>
      <c r="H832" s="318" t="s">
        <v>395</v>
      </c>
      <c r="I832" s="318" t="s">
        <v>406</v>
      </c>
      <c r="J832" s="318">
        <v>72</v>
      </c>
      <c r="K832" s="317" t="s">
        <v>410</v>
      </c>
      <c r="L832" s="317">
        <v>47.70908</v>
      </c>
      <c r="M832" s="317">
        <v>40.163559999999997</v>
      </c>
    </row>
    <row r="833" spans="1:13" ht="75" hidden="1" x14ac:dyDescent="0.25">
      <c r="A833" s="313">
        <f t="shared" si="12"/>
        <v>832</v>
      </c>
      <c r="B833" s="314" t="s">
        <v>3699</v>
      </c>
      <c r="C833" s="315" t="s">
        <v>428</v>
      </c>
      <c r="D833" s="316" t="s">
        <v>3701</v>
      </c>
      <c r="E833" s="318">
        <v>2.68</v>
      </c>
      <c r="F833" s="318" t="s">
        <v>395</v>
      </c>
      <c r="G833" s="318" t="s">
        <v>395</v>
      </c>
      <c r="H833" s="318" t="s">
        <v>395</v>
      </c>
      <c r="I833" s="318" t="s">
        <v>406</v>
      </c>
      <c r="J833" s="318">
        <v>84</v>
      </c>
      <c r="K833" s="317" t="s">
        <v>410</v>
      </c>
      <c r="L833" s="317">
        <v>47.683720000000001</v>
      </c>
      <c r="M833" s="317">
        <v>40.240580000000001</v>
      </c>
    </row>
    <row r="834" spans="1:13" ht="75" hidden="1" x14ac:dyDescent="0.25">
      <c r="A834" s="313">
        <f t="shared" si="12"/>
        <v>833</v>
      </c>
      <c r="B834" s="314" t="s">
        <v>3703</v>
      </c>
      <c r="C834" s="315" t="s">
        <v>428</v>
      </c>
      <c r="D834" s="316" t="s">
        <v>3705</v>
      </c>
      <c r="E834" s="318">
        <v>2.56</v>
      </c>
      <c r="F834" s="318" t="s">
        <v>395</v>
      </c>
      <c r="G834" s="318" t="s">
        <v>395</v>
      </c>
      <c r="H834" s="318" t="s">
        <v>395</v>
      </c>
      <c r="I834" s="318" t="s">
        <v>406</v>
      </c>
      <c r="J834" s="318">
        <v>78</v>
      </c>
      <c r="K834" s="317" t="s">
        <v>410</v>
      </c>
      <c r="L834" s="317">
        <v>47.722920000000002</v>
      </c>
      <c r="M834" s="317">
        <v>40.208559999999999</v>
      </c>
    </row>
    <row r="835" spans="1:13" ht="75" hidden="1" x14ac:dyDescent="0.25">
      <c r="A835" s="313">
        <f t="shared" si="12"/>
        <v>834</v>
      </c>
      <c r="B835" s="314" t="s">
        <v>3707</v>
      </c>
      <c r="C835" s="315" t="s">
        <v>428</v>
      </c>
      <c r="D835" s="316" t="s">
        <v>3709</v>
      </c>
      <c r="E835" s="318">
        <v>2.74</v>
      </c>
      <c r="F835" s="318" t="s">
        <v>395</v>
      </c>
      <c r="G835" s="318" t="s">
        <v>395</v>
      </c>
      <c r="H835" s="318" t="s">
        <v>395</v>
      </c>
      <c r="I835" s="318" t="s">
        <v>406</v>
      </c>
      <c r="J835" s="318">
        <v>87</v>
      </c>
      <c r="K835" s="317" t="s">
        <v>410</v>
      </c>
      <c r="L835" s="317">
        <v>47.796390000000002</v>
      </c>
      <c r="M835" s="317">
        <v>39.88111</v>
      </c>
    </row>
    <row r="836" spans="1:13" ht="75" hidden="1" x14ac:dyDescent="0.25">
      <c r="A836" s="313">
        <f t="shared" ref="A836:A899" si="13">A835+1</f>
        <v>835</v>
      </c>
      <c r="B836" s="314" t="s">
        <v>3711</v>
      </c>
      <c r="C836" s="315" t="s">
        <v>428</v>
      </c>
      <c r="D836" s="316" t="s">
        <v>3713</v>
      </c>
      <c r="E836" s="318">
        <v>2.66</v>
      </c>
      <c r="F836" s="318" t="s">
        <v>395</v>
      </c>
      <c r="G836" s="318" t="s">
        <v>395</v>
      </c>
      <c r="H836" s="318" t="s">
        <v>395</v>
      </c>
      <c r="I836" s="318" t="s">
        <v>406</v>
      </c>
      <c r="J836" s="318">
        <v>83</v>
      </c>
      <c r="K836" s="317" t="s">
        <v>410</v>
      </c>
      <c r="L836" s="317">
        <v>47.760559999999998</v>
      </c>
      <c r="M836" s="317">
        <v>39.926110000000001</v>
      </c>
    </row>
    <row r="837" spans="1:13" ht="75" hidden="1" x14ac:dyDescent="0.25">
      <c r="A837" s="313">
        <f t="shared" si="13"/>
        <v>836</v>
      </c>
      <c r="B837" s="314" t="s">
        <v>3715</v>
      </c>
      <c r="C837" s="315" t="s">
        <v>428</v>
      </c>
      <c r="D837" s="316" t="s">
        <v>3717</v>
      </c>
      <c r="E837" s="318">
        <v>2.52</v>
      </c>
      <c r="F837" s="318" t="s">
        <v>395</v>
      </c>
      <c r="G837" s="318" t="s">
        <v>395</v>
      </c>
      <c r="H837" s="318" t="s">
        <v>395</v>
      </c>
      <c r="I837" s="318" t="s">
        <v>406</v>
      </c>
      <c r="J837" s="318">
        <v>76</v>
      </c>
      <c r="K837" s="317" t="s">
        <v>410</v>
      </c>
      <c r="L837" s="317">
        <v>47.735309999999998</v>
      </c>
      <c r="M837" s="317">
        <v>40.002310000000001</v>
      </c>
    </row>
    <row r="838" spans="1:13" ht="75" hidden="1" x14ac:dyDescent="0.25">
      <c r="A838" s="313">
        <f t="shared" si="13"/>
        <v>837</v>
      </c>
      <c r="B838" s="314" t="s">
        <v>3719</v>
      </c>
      <c r="C838" s="315" t="s">
        <v>428</v>
      </c>
      <c r="D838" s="316" t="s">
        <v>3721</v>
      </c>
      <c r="E838" s="318">
        <v>2.98</v>
      </c>
      <c r="F838" s="318" t="s">
        <v>395</v>
      </c>
      <c r="G838" s="318" t="s">
        <v>395</v>
      </c>
      <c r="H838" s="318" t="s">
        <v>395</v>
      </c>
      <c r="I838" s="318" t="s">
        <v>406</v>
      </c>
      <c r="J838" s="318">
        <v>99</v>
      </c>
      <c r="K838" s="317" t="s">
        <v>410</v>
      </c>
      <c r="L838" s="317">
        <v>47.867780000000003</v>
      </c>
      <c r="M838" s="317">
        <v>40.025750000000002</v>
      </c>
    </row>
    <row r="839" spans="1:13" ht="75" hidden="1" x14ac:dyDescent="0.25">
      <c r="A839" s="313">
        <f t="shared" si="13"/>
        <v>838</v>
      </c>
      <c r="B839" s="314" t="s">
        <v>3723</v>
      </c>
      <c r="C839" s="315" t="s">
        <v>428</v>
      </c>
      <c r="D839" s="316" t="s">
        <v>3725</v>
      </c>
      <c r="E839" s="318">
        <v>2.86</v>
      </c>
      <c r="F839" s="318" t="s">
        <v>395</v>
      </c>
      <c r="G839" s="318" t="s">
        <v>395</v>
      </c>
      <c r="H839" s="318" t="s">
        <v>395</v>
      </c>
      <c r="I839" s="318" t="s">
        <v>406</v>
      </c>
      <c r="J839" s="318">
        <v>93</v>
      </c>
      <c r="K839" s="317" t="s">
        <v>410</v>
      </c>
      <c r="L839" s="317">
        <v>47.838169999999998</v>
      </c>
      <c r="M839" s="317">
        <v>39.954360000000001</v>
      </c>
    </row>
    <row r="840" spans="1:13" ht="75" hidden="1" x14ac:dyDescent="0.25">
      <c r="A840" s="313">
        <f t="shared" si="13"/>
        <v>839</v>
      </c>
      <c r="B840" s="314" t="s">
        <v>3727</v>
      </c>
      <c r="C840" s="315" t="s">
        <v>428</v>
      </c>
      <c r="D840" s="316" t="s">
        <v>3729</v>
      </c>
      <c r="E840" s="318">
        <v>2.94</v>
      </c>
      <c r="F840" s="318" t="s">
        <v>395</v>
      </c>
      <c r="G840" s="318" t="s">
        <v>395</v>
      </c>
      <c r="H840" s="318" t="s">
        <v>395</v>
      </c>
      <c r="I840" s="318" t="s">
        <v>406</v>
      </c>
      <c r="J840" s="318">
        <v>97</v>
      </c>
      <c r="K840" s="317" t="s">
        <v>410</v>
      </c>
      <c r="L840" s="317">
        <v>47.894440000000003</v>
      </c>
      <c r="M840" s="317">
        <v>40.064169999999997</v>
      </c>
    </row>
    <row r="841" spans="1:13" ht="45" hidden="1" x14ac:dyDescent="0.25">
      <c r="A841" s="313">
        <f t="shared" si="13"/>
        <v>840</v>
      </c>
      <c r="B841" s="314" t="s">
        <v>3731</v>
      </c>
      <c r="C841" s="315" t="s">
        <v>412</v>
      </c>
      <c r="D841" s="316" t="s">
        <v>3733</v>
      </c>
      <c r="E841" s="318">
        <v>2.52</v>
      </c>
      <c r="F841" s="318" t="s">
        <v>395</v>
      </c>
      <c r="G841" s="318" t="s">
        <v>395</v>
      </c>
      <c r="H841" s="318" t="s">
        <v>395</v>
      </c>
      <c r="I841" s="318" t="s">
        <v>406</v>
      </c>
      <c r="J841" s="318">
        <v>76</v>
      </c>
      <c r="K841" s="317" t="s">
        <v>410</v>
      </c>
      <c r="L841" s="317">
        <v>47.778530000000003</v>
      </c>
      <c r="M841" s="317">
        <v>40.153500000000001</v>
      </c>
    </row>
    <row r="842" spans="1:13" ht="60" hidden="1" x14ac:dyDescent="0.25">
      <c r="A842" s="313">
        <f t="shared" si="13"/>
        <v>841</v>
      </c>
      <c r="B842" s="314" t="s">
        <v>3736</v>
      </c>
      <c r="C842" s="315" t="s">
        <v>452</v>
      </c>
      <c r="D842" s="316" t="s">
        <v>3738</v>
      </c>
      <c r="E842" s="318">
        <v>1.64</v>
      </c>
      <c r="F842" s="318" t="s">
        <v>395</v>
      </c>
      <c r="G842" s="318" t="s">
        <v>395</v>
      </c>
      <c r="H842" s="318" t="s">
        <v>395</v>
      </c>
      <c r="I842" s="318" t="s">
        <v>406</v>
      </c>
      <c r="J842" s="318">
        <v>32</v>
      </c>
      <c r="K842" s="317" t="s">
        <v>410</v>
      </c>
      <c r="L842" s="317">
        <v>47.253610000000002</v>
      </c>
      <c r="M842" s="317">
        <v>40.04636</v>
      </c>
    </row>
    <row r="843" spans="1:13" ht="60" hidden="1" x14ac:dyDescent="0.25">
      <c r="A843" s="313">
        <f t="shared" si="13"/>
        <v>842</v>
      </c>
      <c r="B843" s="314" t="s">
        <v>3740</v>
      </c>
      <c r="C843" s="315" t="s">
        <v>452</v>
      </c>
      <c r="D843" s="316" t="s">
        <v>3742</v>
      </c>
      <c r="E843" s="318">
        <v>1.44</v>
      </c>
      <c r="F843" s="318" t="s">
        <v>395</v>
      </c>
      <c r="G843" s="318" t="s">
        <v>395</v>
      </c>
      <c r="H843" s="318" t="s">
        <v>395</v>
      </c>
      <c r="I843" s="318" t="s">
        <v>406</v>
      </c>
      <c r="J843" s="318">
        <v>22</v>
      </c>
      <c r="K843" s="317" t="s">
        <v>410</v>
      </c>
      <c r="L843" s="317">
        <v>47.186419999999998</v>
      </c>
      <c r="M843" s="317">
        <v>39.949689999999997</v>
      </c>
    </row>
    <row r="844" spans="1:13" ht="75" hidden="1" x14ac:dyDescent="0.25">
      <c r="A844" s="313">
        <f t="shared" si="13"/>
        <v>843</v>
      </c>
      <c r="B844" s="314" t="s">
        <v>3744</v>
      </c>
      <c r="C844" s="315" t="s">
        <v>428</v>
      </c>
      <c r="D844" s="316" t="s">
        <v>3746</v>
      </c>
      <c r="E844" s="318">
        <v>2.58</v>
      </c>
      <c r="F844" s="318" t="s">
        <v>395</v>
      </c>
      <c r="G844" s="318" t="s">
        <v>395</v>
      </c>
      <c r="H844" s="318" t="s">
        <v>395</v>
      </c>
      <c r="I844" s="318" t="s">
        <v>406</v>
      </c>
      <c r="J844" s="318">
        <v>79</v>
      </c>
      <c r="K844" s="317" t="s">
        <v>410</v>
      </c>
      <c r="L844" s="317">
        <v>47.322780000000002</v>
      </c>
      <c r="M844" s="317">
        <v>40.375830000000001</v>
      </c>
    </row>
    <row r="845" spans="1:13" ht="75" hidden="1" x14ac:dyDescent="0.25">
      <c r="A845" s="313">
        <f t="shared" si="13"/>
        <v>844</v>
      </c>
      <c r="B845" s="314" t="s">
        <v>3748</v>
      </c>
      <c r="C845" s="315" t="s">
        <v>428</v>
      </c>
      <c r="D845" s="316" t="s">
        <v>3750</v>
      </c>
      <c r="E845" s="318">
        <v>2.64</v>
      </c>
      <c r="F845" s="318" t="s">
        <v>395</v>
      </c>
      <c r="G845" s="318" t="s">
        <v>395</v>
      </c>
      <c r="H845" s="318" t="s">
        <v>395</v>
      </c>
      <c r="I845" s="318" t="s">
        <v>406</v>
      </c>
      <c r="J845" s="318">
        <v>82</v>
      </c>
      <c r="K845" s="317" t="s">
        <v>410</v>
      </c>
      <c r="L845" s="317">
        <v>47.326560000000001</v>
      </c>
      <c r="M845" s="317">
        <v>40.400889999999997</v>
      </c>
    </row>
    <row r="846" spans="1:13" ht="45" hidden="1" x14ac:dyDescent="0.25">
      <c r="A846" s="313">
        <f t="shared" si="13"/>
        <v>845</v>
      </c>
      <c r="B846" s="314" t="s">
        <v>3752</v>
      </c>
      <c r="C846" s="315" t="s">
        <v>393</v>
      </c>
      <c r="D846" s="316" t="s">
        <v>3754</v>
      </c>
      <c r="E846" s="318">
        <v>3.52</v>
      </c>
      <c r="F846" s="318" t="s">
        <v>395</v>
      </c>
      <c r="G846" s="318" t="s">
        <v>395</v>
      </c>
      <c r="H846" s="318" t="s">
        <v>395</v>
      </c>
      <c r="I846" s="318" t="s">
        <v>406</v>
      </c>
      <c r="J846" s="318">
        <v>126</v>
      </c>
      <c r="K846" s="317" t="s">
        <v>410</v>
      </c>
      <c r="L846" s="317">
        <v>47.639890000000001</v>
      </c>
      <c r="M846" s="317">
        <v>40.866280000000003</v>
      </c>
    </row>
    <row r="847" spans="1:13" ht="60" hidden="1" x14ac:dyDescent="0.25">
      <c r="A847" s="313">
        <f t="shared" si="13"/>
        <v>846</v>
      </c>
      <c r="B847" s="314" t="s">
        <v>3755</v>
      </c>
      <c r="C847" s="315" t="s">
        <v>452</v>
      </c>
      <c r="D847" s="316" t="s">
        <v>3756</v>
      </c>
      <c r="E847" s="318">
        <v>3.08</v>
      </c>
      <c r="F847" s="318" t="s">
        <v>395</v>
      </c>
      <c r="G847" s="318" t="s">
        <v>395</v>
      </c>
      <c r="H847" s="318" t="s">
        <v>395</v>
      </c>
      <c r="I847" s="318" t="s">
        <v>406</v>
      </c>
      <c r="J847" s="318">
        <v>104</v>
      </c>
      <c r="K847" s="317" t="s">
        <v>410</v>
      </c>
      <c r="L847" s="317">
        <v>47.425609999999999</v>
      </c>
      <c r="M847" s="317">
        <v>40.703919999999997</v>
      </c>
    </row>
    <row r="848" spans="1:13" ht="45" hidden="1" x14ac:dyDescent="0.25">
      <c r="A848" s="313">
        <f t="shared" si="13"/>
        <v>847</v>
      </c>
      <c r="B848" s="314" t="s">
        <v>3759</v>
      </c>
      <c r="C848" s="315" t="s">
        <v>412</v>
      </c>
      <c r="D848" s="316" t="s">
        <v>3760</v>
      </c>
      <c r="E848" s="318">
        <v>2.3199999999999998</v>
      </c>
      <c r="F848" s="318" t="s">
        <v>395</v>
      </c>
      <c r="G848" s="318" t="s">
        <v>395</v>
      </c>
      <c r="H848" s="318" t="s">
        <v>395</v>
      </c>
      <c r="I848" s="318" t="s">
        <v>406</v>
      </c>
      <c r="J848" s="318">
        <v>66</v>
      </c>
      <c r="K848" s="317" t="s">
        <v>410</v>
      </c>
      <c r="L848" s="317">
        <v>47.202970000000001</v>
      </c>
      <c r="M848" s="317">
        <v>40.350749999999998</v>
      </c>
    </row>
    <row r="849" spans="1:13" ht="60" hidden="1" x14ac:dyDescent="0.25">
      <c r="A849" s="313">
        <f t="shared" si="13"/>
        <v>848</v>
      </c>
      <c r="B849" s="314" t="s">
        <v>3763</v>
      </c>
      <c r="C849" s="315" t="s">
        <v>452</v>
      </c>
      <c r="D849" s="316" t="s">
        <v>3764</v>
      </c>
      <c r="E849" s="318">
        <v>2.74</v>
      </c>
      <c r="F849" s="318" t="s">
        <v>395</v>
      </c>
      <c r="G849" s="318" t="s">
        <v>395</v>
      </c>
      <c r="H849" s="318" t="s">
        <v>395</v>
      </c>
      <c r="I849" s="318" t="s">
        <v>406</v>
      </c>
      <c r="J849" s="318">
        <v>87</v>
      </c>
      <c r="K849" s="317" t="s">
        <v>410</v>
      </c>
      <c r="L849" s="317">
        <v>47.320419999999999</v>
      </c>
      <c r="M849" s="317">
        <v>40.541060000000002</v>
      </c>
    </row>
    <row r="850" spans="1:13" ht="45" hidden="1" x14ac:dyDescent="0.25">
      <c r="A850" s="313">
        <f t="shared" si="13"/>
        <v>849</v>
      </c>
      <c r="B850" s="314" t="s">
        <v>3767</v>
      </c>
      <c r="C850" s="315" t="s">
        <v>412</v>
      </c>
      <c r="D850" s="316" t="s">
        <v>3768</v>
      </c>
      <c r="E850" s="318">
        <v>3.26</v>
      </c>
      <c r="F850" s="318" t="s">
        <v>395</v>
      </c>
      <c r="G850" s="318" t="s">
        <v>395</v>
      </c>
      <c r="H850" s="318" t="s">
        <v>395</v>
      </c>
      <c r="I850" s="318" t="s">
        <v>406</v>
      </c>
      <c r="J850" s="318">
        <v>113</v>
      </c>
      <c r="K850" s="317" t="s">
        <v>410</v>
      </c>
      <c r="L850" s="317">
        <v>47.52084</v>
      </c>
      <c r="M850" s="317">
        <v>40.578850000000003</v>
      </c>
    </row>
    <row r="851" spans="1:13" ht="45" hidden="1" x14ac:dyDescent="0.25">
      <c r="A851" s="313">
        <f t="shared" si="13"/>
        <v>850</v>
      </c>
      <c r="B851" s="314" t="s">
        <v>3771</v>
      </c>
      <c r="C851" s="315" t="s">
        <v>412</v>
      </c>
      <c r="D851" s="316" t="s">
        <v>3773</v>
      </c>
      <c r="E851" s="318">
        <v>3.28</v>
      </c>
      <c r="F851" s="318" t="s">
        <v>395</v>
      </c>
      <c r="G851" s="318" t="s">
        <v>395</v>
      </c>
      <c r="H851" s="318" t="s">
        <v>395</v>
      </c>
      <c r="I851" s="318" t="s">
        <v>406</v>
      </c>
      <c r="J851" s="318">
        <v>114</v>
      </c>
      <c r="K851" s="317" t="s">
        <v>410</v>
      </c>
      <c r="L851" s="317">
        <v>47.483220000000003</v>
      </c>
      <c r="M851" s="317">
        <v>40.518560000000001</v>
      </c>
    </row>
    <row r="852" spans="1:13" ht="75" hidden="1" x14ac:dyDescent="0.25">
      <c r="A852" s="313">
        <f t="shared" si="13"/>
        <v>851</v>
      </c>
      <c r="B852" s="314" t="s">
        <v>3775</v>
      </c>
      <c r="C852" s="315" t="s">
        <v>428</v>
      </c>
      <c r="D852" s="316" t="s">
        <v>3777</v>
      </c>
      <c r="E852" s="318">
        <v>2.56</v>
      </c>
      <c r="F852" s="318" t="s">
        <v>395</v>
      </c>
      <c r="G852" s="318" t="s">
        <v>395</v>
      </c>
      <c r="H852" s="318" t="s">
        <v>395</v>
      </c>
      <c r="I852" s="318" t="s">
        <v>406</v>
      </c>
      <c r="J852" s="318">
        <v>78</v>
      </c>
      <c r="K852" s="317" t="s">
        <v>410</v>
      </c>
      <c r="L852" s="317">
        <v>47.310809999999996</v>
      </c>
      <c r="M852" s="317">
        <v>40.388280000000002</v>
      </c>
    </row>
    <row r="853" spans="1:13" ht="45" hidden="1" x14ac:dyDescent="0.25">
      <c r="A853" s="313">
        <f t="shared" si="13"/>
        <v>852</v>
      </c>
      <c r="B853" s="314" t="s">
        <v>3776</v>
      </c>
      <c r="C853" s="315" t="s">
        <v>412</v>
      </c>
      <c r="D853" s="316" t="s">
        <v>3778</v>
      </c>
      <c r="E853" s="318">
        <v>3.84</v>
      </c>
      <c r="F853" s="318" t="s">
        <v>395</v>
      </c>
      <c r="G853" s="318" t="s">
        <v>395</v>
      </c>
      <c r="H853" s="318" t="s">
        <v>395</v>
      </c>
      <c r="I853" s="318" t="s">
        <v>406</v>
      </c>
      <c r="J853" s="318">
        <v>142</v>
      </c>
      <c r="K853" s="317" t="s">
        <v>410</v>
      </c>
      <c r="L853" s="317">
        <v>47.39622</v>
      </c>
      <c r="M853" s="317">
        <v>41.030810000000002</v>
      </c>
    </row>
    <row r="854" spans="1:13" ht="45" hidden="1" x14ac:dyDescent="0.25">
      <c r="A854" s="313">
        <f t="shared" si="13"/>
        <v>853</v>
      </c>
      <c r="B854" s="314" t="s">
        <v>3780</v>
      </c>
      <c r="C854" s="315" t="s">
        <v>412</v>
      </c>
      <c r="D854" s="316" t="s">
        <v>3782</v>
      </c>
      <c r="E854" s="318">
        <v>3.86</v>
      </c>
      <c r="F854" s="318" t="s">
        <v>395</v>
      </c>
      <c r="G854" s="318" t="s">
        <v>395</v>
      </c>
      <c r="H854" s="318" t="s">
        <v>395</v>
      </c>
      <c r="I854" s="318" t="s">
        <v>406</v>
      </c>
      <c r="J854" s="318">
        <v>143</v>
      </c>
      <c r="K854" s="317" t="s">
        <v>410</v>
      </c>
      <c r="L854" s="317">
        <v>47.67306</v>
      </c>
      <c r="M854" s="317">
        <v>40.919170000000001</v>
      </c>
    </row>
    <row r="855" spans="1:13" ht="45" hidden="1" x14ac:dyDescent="0.25">
      <c r="A855" s="313">
        <f t="shared" si="13"/>
        <v>854</v>
      </c>
      <c r="B855" s="314" t="s">
        <v>3784</v>
      </c>
      <c r="C855" s="315" t="s">
        <v>412</v>
      </c>
      <c r="D855" s="316" t="s">
        <v>3786</v>
      </c>
      <c r="E855" s="318">
        <v>4.18</v>
      </c>
      <c r="F855" s="318" t="s">
        <v>395</v>
      </c>
      <c r="G855" s="318" t="s">
        <v>395</v>
      </c>
      <c r="H855" s="318" t="s">
        <v>395</v>
      </c>
      <c r="I855" s="318" t="s">
        <v>406</v>
      </c>
      <c r="J855" s="318">
        <v>159</v>
      </c>
      <c r="K855" s="317" t="s">
        <v>410</v>
      </c>
      <c r="L855" s="317">
        <v>47.786670000000001</v>
      </c>
      <c r="M855" s="317">
        <v>40.821669999999997</v>
      </c>
    </row>
    <row r="856" spans="1:13" ht="45" hidden="1" x14ac:dyDescent="0.25">
      <c r="A856" s="313">
        <f t="shared" si="13"/>
        <v>855</v>
      </c>
      <c r="B856" s="314" t="s">
        <v>3788</v>
      </c>
      <c r="C856" s="315" t="s">
        <v>412</v>
      </c>
      <c r="D856" s="316" t="s">
        <v>3790</v>
      </c>
      <c r="E856" s="318">
        <v>1.46</v>
      </c>
      <c r="F856" s="318" t="s">
        <v>395</v>
      </c>
      <c r="G856" s="318" t="s">
        <v>395</v>
      </c>
      <c r="H856" s="318" t="s">
        <v>395</v>
      </c>
      <c r="I856" s="318" t="s">
        <v>406</v>
      </c>
      <c r="J856" s="318">
        <v>23</v>
      </c>
      <c r="K856" s="317" t="s">
        <v>410</v>
      </c>
      <c r="L856" s="317">
        <v>47.287399999999998</v>
      </c>
      <c r="M856" s="317">
        <v>39.908760000000001</v>
      </c>
    </row>
    <row r="857" spans="1:13" ht="75" hidden="1" x14ac:dyDescent="0.25">
      <c r="A857" s="313">
        <f t="shared" si="13"/>
        <v>856</v>
      </c>
      <c r="B857" s="314" t="s">
        <v>3792</v>
      </c>
      <c r="C857" s="315" t="s">
        <v>428</v>
      </c>
      <c r="D857" s="316" t="s">
        <v>3794</v>
      </c>
      <c r="E857" s="318">
        <v>1.4</v>
      </c>
      <c r="F857" s="318" t="s">
        <v>395</v>
      </c>
      <c r="G857" s="318" t="s">
        <v>395</v>
      </c>
      <c r="H857" s="318" t="s">
        <v>395</v>
      </c>
      <c r="I857" s="318" t="s">
        <v>406</v>
      </c>
      <c r="J857" s="318">
        <v>20</v>
      </c>
      <c r="K857" s="317" t="s">
        <v>410</v>
      </c>
      <c r="L857" s="317">
        <v>47.32123</v>
      </c>
      <c r="M857" s="317">
        <v>39.791379999999997</v>
      </c>
    </row>
    <row r="858" spans="1:13" ht="45" hidden="1" x14ac:dyDescent="0.25">
      <c r="A858" s="313">
        <f t="shared" si="13"/>
        <v>857</v>
      </c>
      <c r="B858" s="314" t="s">
        <v>3796</v>
      </c>
      <c r="C858" s="315" t="s">
        <v>412</v>
      </c>
      <c r="D858" s="316" t="s">
        <v>3798</v>
      </c>
      <c r="E858" s="318">
        <v>1.46</v>
      </c>
      <c r="F858" s="318" t="s">
        <v>395</v>
      </c>
      <c r="G858" s="318" t="s">
        <v>395</v>
      </c>
      <c r="H858" s="318" t="s">
        <v>395</v>
      </c>
      <c r="I858" s="318" t="s">
        <v>406</v>
      </c>
      <c r="J858" s="318">
        <v>23</v>
      </c>
      <c r="K858" s="317" t="s">
        <v>410</v>
      </c>
      <c r="L858" s="317">
        <v>47.346409999999999</v>
      </c>
      <c r="M858" s="317">
        <v>39.788879999999999</v>
      </c>
    </row>
    <row r="859" spans="1:13" ht="45" hidden="1" x14ac:dyDescent="0.25">
      <c r="A859" s="313">
        <f t="shared" si="13"/>
        <v>858</v>
      </c>
      <c r="B859" s="314" t="s">
        <v>3801</v>
      </c>
      <c r="C859" s="315" t="s">
        <v>412</v>
      </c>
      <c r="D859" s="316" t="s">
        <v>3802</v>
      </c>
      <c r="E859" s="318">
        <v>2.16</v>
      </c>
      <c r="F859" s="318" t="s">
        <v>395</v>
      </c>
      <c r="G859" s="318" t="s">
        <v>395</v>
      </c>
      <c r="H859" s="318" t="s">
        <v>395</v>
      </c>
      <c r="I859" s="318" t="s">
        <v>406</v>
      </c>
      <c r="J859" s="318">
        <v>58</v>
      </c>
      <c r="K859" s="317" t="s">
        <v>410</v>
      </c>
      <c r="L859" s="317">
        <v>47.532559999999997</v>
      </c>
      <c r="M859" s="317">
        <v>40.237000000000002</v>
      </c>
    </row>
    <row r="860" spans="1:13" ht="60" hidden="1" x14ac:dyDescent="0.25">
      <c r="A860" s="313">
        <f t="shared" si="13"/>
        <v>859</v>
      </c>
      <c r="B860" s="314" t="s">
        <v>3805</v>
      </c>
      <c r="C860" s="315" t="s">
        <v>447</v>
      </c>
      <c r="D860" s="316" t="s">
        <v>3806</v>
      </c>
      <c r="E860" s="318">
        <v>1.1599999999999999</v>
      </c>
      <c r="F860" s="318" t="s">
        <v>395</v>
      </c>
      <c r="G860" s="318" t="s">
        <v>395</v>
      </c>
      <c r="H860" s="318" t="s">
        <v>395</v>
      </c>
      <c r="I860" s="318" t="s">
        <v>406</v>
      </c>
      <c r="J860" s="318">
        <v>8</v>
      </c>
      <c r="K860" s="317" t="s">
        <v>410</v>
      </c>
      <c r="L860" s="317">
        <v>47.224530000000001</v>
      </c>
      <c r="M860" s="317">
        <v>39.7744</v>
      </c>
    </row>
    <row r="861" spans="1:13" ht="45" hidden="1" x14ac:dyDescent="0.25">
      <c r="A861" s="313">
        <f t="shared" si="13"/>
        <v>860</v>
      </c>
      <c r="B861" s="314" t="s">
        <v>3809</v>
      </c>
      <c r="C861" s="315" t="s">
        <v>412</v>
      </c>
      <c r="D861" s="316" t="s">
        <v>3810</v>
      </c>
      <c r="E861" s="318">
        <v>3.68</v>
      </c>
      <c r="F861" s="318" t="s">
        <v>395</v>
      </c>
      <c r="G861" s="318" t="s">
        <v>395</v>
      </c>
      <c r="H861" s="318" t="s">
        <v>395</v>
      </c>
      <c r="I861" s="318" t="s">
        <v>406</v>
      </c>
      <c r="J861" s="318">
        <v>134</v>
      </c>
      <c r="K861" s="317" t="s">
        <v>410</v>
      </c>
      <c r="L861" s="317">
        <v>47.674970000000002</v>
      </c>
      <c r="M861" s="317">
        <v>40.771929999999998</v>
      </c>
    </row>
    <row r="862" spans="1:13" ht="45" hidden="1" x14ac:dyDescent="0.25">
      <c r="A862" s="313">
        <f t="shared" si="13"/>
        <v>861</v>
      </c>
      <c r="B862" s="314" t="s">
        <v>3813</v>
      </c>
      <c r="C862" s="315" t="s">
        <v>412</v>
      </c>
      <c r="D862" s="316" t="s">
        <v>3814</v>
      </c>
      <c r="E862" s="318">
        <v>2</v>
      </c>
      <c r="F862" s="318" t="s">
        <v>395</v>
      </c>
      <c r="G862" s="318" t="s">
        <v>395</v>
      </c>
      <c r="H862" s="318" t="s">
        <v>395</v>
      </c>
      <c r="I862" s="318" t="s">
        <v>406</v>
      </c>
      <c r="J862" s="318">
        <v>50</v>
      </c>
      <c r="K862" s="317" t="s">
        <v>410</v>
      </c>
      <c r="L862" s="317">
        <v>47.462719999999997</v>
      </c>
      <c r="M862" s="317">
        <v>40.099290000000003</v>
      </c>
    </row>
    <row r="863" spans="1:13" ht="45" hidden="1" x14ac:dyDescent="0.25">
      <c r="A863" s="313">
        <f t="shared" si="13"/>
        <v>862</v>
      </c>
      <c r="B863" s="314" t="s">
        <v>3817</v>
      </c>
      <c r="C863" s="315" t="s">
        <v>412</v>
      </c>
      <c r="D863" s="316" t="s">
        <v>3818</v>
      </c>
      <c r="E863" s="318">
        <v>1.84</v>
      </c>
      <c r="F863" s="318" t="s">
        <v>395</v>
      </c>
      <c r="G863" s="318" t="s">
        <v>395</v>
      </c>
      <c r="H863" s="318" t="s">
        <v>395</v>
      </c>
      <c r="I863" s="318" t="s">
        <v>406</v>
      </c>
      <c r="J863" s="318">
        <v>42</v>
      </c>
      <c r="K863" s="317" t="s">
        <v>410</v>
      </c>
      <c r="L863" s="317">
        <v>47.415410000000001</v>
      </c>
      <c r="M863" s="317">
        <v>40.03257</v>
      </c>
    </row>
    <row r="864" spans="1:13" ht="75" hidden="1" x14ac:dyDescent="0.25">
      <c r="A864" s="313">
        <f t="shared" si="13"/>
        <v>863</v>
      </c>
      <c r="B864" s="314" t="s">
        <v>3821</v>
      </c>
      <c r="C864" s="315" t="s">
        <v>428</v>
      </c>
      <c r="D864" s="316" t="s">
        <v>3822</v>
      </c>
      <c r="E864" s="318">
        <v>2.7</v>
      </c>
      <c r="F864" s="318" t="s">
        <v>395</v>
      </c>
      <c r="G864" s="318" t="s">
        <v>395</v>
      </c>
      <c r="H864" s="318" t="s">
        <v>395</v>
      </c>
      <c r="I864" s="318" t="s">
        <v>406</v>
      </c>
      <c r="J864" s="318">
        <v>85</v>
      </c>
      <c r="K864" s="317" t="s">
        <v>410</v>
      </c>
      <c r="L864" s="317">
        <v>47.380899999999997</v>
      </c>
      <c r="M864" s="317">
        <v>40.425890000000003</v>
      </c>
    </row>
    <row r="865" spans="1:13" ht="45" hidden="1" x14ac:dyDescent="0.25">
      <c r="A865" s="313">
        <f t="shared" si="13"/>
        <v>864</v>
      </c>
      <c r="B865" s="314" t="s">
        <v>3824</v>
      </c>
      <c r="C865" s="315" t="s">
        <v>412</v>
      </c>
      <c r="D865" s="316" t="s">
        <v>3826</v>
      </c>
      <c r="E865" s="318">
        <v>1.32</v>
      </c>
      <c r="F865" s="318" t="s">
        <v>395</v>
      </c>
      <c r="G865" s="318" t="s">
        <v>395</v>
      </c>
      <c r="H865" s="318" t="s">
        <v>395</v>
      </c>
      <c r="I865" s="318" t="s">
        <v>406</v>
      </c>
      <c r="J865" s="318">
        <v>16</v>
      </c>
      <c r="K865" s="317" t="s">
        <v>410</v>
      </c>
      <c r="L865" s="317">
        <v>47.110349999999997</v>
      </c>
      <c r="M865" s="317">
        <v>39.740079999999999</v>
      </c>
    </row>
    <row r="866" spans="1:13" ht="30" hidden="1" x14ac:dyDescent="0.25">
      <c r="A866" s="313">
        <f t="shared" si="13"/>
        <v>865</v>
      </c>
      <c r="B866" s="314" t="s">
        <v>3828</v>
      </c>
      <c r="C866" s="315" t="s">
        <v>399</v>
      </c>
      <c r="D866" s="316" t="s">
        <v>3830</v>
      </c>
      <c r="E866" s="318">
        <v>1.3</v>
      </c>
      <c r="F866" s="318" t="s">
        <v>395</v>
      </c>
      <c r="G866" s="318" t="s">
        <v>395</v>
      </c>
      <c r="H866" s="318" t="s">
        <v>395</v>
      </c>
      <c r="I866" s="318" t="s">
        <v>406</v>
      </c>
      <c r="J866" s="318">
        <v>15</v>
      </c>
      <c r="K866" s="317" t="s">
        <v>410</v>
      </c>
      <c r="L866" s="317">
        <v>47.133659999999999</v>
      </c>
      <c r="M866" s="317">
        <v>39.76388</v>
      </c>
    </row>
    <row r="867" spans="1:13" ht="45" hidden="1" x14ac:dyDescent="0.25">
      <c r="A867" s="313">
        <f t="shared" si="13"/>
        <v>866</v>
      </c>
      <c r="B867" s="314" t="s">
        <v>3779</v>
      </c>
      <c r="C867" s="315" t="s">
        <v>412</v>
      </c>
      <c r="D867" s="316" t="s">
        <v>3781</v>
      </c>
      <c r="E867" s="318">
        <v>3.26</v>
      </c>
      <c r="F867" s="318" t="s">
        <v>395</v>
      </c>
      <c r="G867" s="318" t="s">
        <v>395</v>
      </c>
      <c r="H867" s="318" t="s">
        <v>395</v>
      </c>
      <c r="I867" s="318" t="s">
        <v>406</v>
      </c>
      <c r="J867" s="318">
        <v>113</v>
      </c>
      <c r="K867" s="317" t="s">
        <v>410</v>
      </c>
      <c r="L867" s="317">
        <v>47.941670000000002</v>
      </c>
      <c r="M867" s="317">
        <v>40.293889999999998</v>
      </c>
    </row>
    <row r="868" spans="1:13" ht="45" hidden="1" x14ac:dyDescent="0.25">
      <c r="A868" s="313">
        <f t="shared" si="13"/>
        <v>867</v>
      </c>
      <c r="B868" s="314" t="s">
        <v>3783</v>
      </c>
      <c r="C868" s="315" t="s">
        <v>412</v>
      </c>
      <c r="D868" s="316" t="s">
        <v>3785</v>
      </c>
      <c r="E868" s="318">
        <v>3.6</v>
      </c>
      <c r="F868" s="318" t="s">
        <v>395</v>
      </c>
      <c r="G868" s="318" t="s">
        <v>395</v>
      </c>
      <c r="H868" s="318" t="s">
        <v>395</v>
      </c>
      <c r="I868" s="318" t="s">
        <v>406</v>
      </c>
      <c r="J868" s="318">
        <v>130</v>
      </c>
      <c r="K868" s="317" t="s">
        <v>410</v>
      </c>
      <c r="L868" s="317">
        <v>47.893529999999998</v>
      </c>
      <c r="M868" s="317">
        <v>40.475000000000001</v>
      </c>
    </row>
    <row r="869" spans="1:13" ht="60" hidden="1" x14ac:dyDescent="0.25">
      <c r="A869" s="313">
        <f t="shared" si="13"/>
        <v>868</v>
      </c>
      <c r="B869" s="314" t="s">
        <v>3787</v>
      </c>
      <c r="C869" s="315" t="s">
        <v>408</v>
      </c>
      <c r="D869" s="316" t="s">
        <v>3789</v>
      </c>
      <c r="E869" s="318">
        <v>2.58</v>
      </c>
      <c r="F869" s="318" t="s">
        <v>395</v>
      </c>
      <c r="G869" s="318" t="s">
        <v>395</v>
      </c>
      <c r="H869" s="318" t="s">
        <v>395</v>
      </c>
      <c r="I869" s="318" t="s">
        <v>406</v>
      </c>
      <c r="J869" s="318">
        <v>79</v>
      </c>
      <c r="K869" s="317" t="s">
        <v>410</v>
      </c>
      <c r="L869" s="317">
        <v>47.69464</v>
      </c>
      <c r="M869" s="317">
        <v>40.24127</v>
      </c>
    </row>
    <row r="870" spans="1:13" ht="75" hidden="1" x14ac:dyDescent="0.25">
      <c r="A870" s="313">
        <f t="shared" si="13"/>
        <v>869</v>
      </c>
      <c r="B870" s="314" t="s">
        <v>3791</v>
      </c>
      <c r="C870" s="315" t="s">
        <v>428</v>
      </c>
      <c r="D870" s="316" t="s">
        <v>3793</v>
      </c>
      <c r="E870" s="318">
        <v>2.82</v>
      </c>
      <c r="F870" s="318" t="s">
        <v>395</v>
      </c>
      <c r="G870" s="318" t="s">
        <v>395</v>
      </c>
      <c r="H870" s="318" t="s">
        <v>395</v>
      </c>
      <c r="I870" s="318" t="s">
        <v>406</v>
      </c>
      <c r="J870" s="318">
        <v>91</v>
      </c>
      <c r="K870" s="317" t="s">
        <v>410</v>
      </c>
      <c r="L870" s="317">
        <v>47.830350000000003</v>
      </c>
      <c r="M870" s="317">
        <v>39.930259999999997</v>
      </c>
    </row>
    <row r="871" spans="1:13" ht="75" hidden="1" x14ac:dyDescent="0.25">
      <c r="A871" s="313">
        <f t="shared" si="13"/>
        <v>870</v>
      </c>
      <c r="B871" s="314" t="s">
        <v>3795</v>
      </c>
      <c r="C871" s="315" t="s">
        <v>428</v>
      </c>
      <c r="D871" s="316" t="s">
        <v>3797</v>
      </c>
      <c r="E871" s="318">
        <v>2.56</v>
      </c>
      <c r="F871" s="318" t="s">
        <v>395</v>
      </c>
      <c r="G871" s="318" t="s">
        <v>395</v>
      </c>
      <c r="H871" s="318" t="s">
        <v>395</v>
      </c>
      <c r="I871" s="318" t="s">
        <v>406</v>
      </c>
      <c r="J871" s="318">
        <v>78</v>
      </c>
      <c r="K871" s="317" t="s">
        <v>410</v>
      </c>
      <c r="L871" s="317">
        <v>47.734209999999997</v>
      </c>
      <c r="M871" s="317">
        <v>39.980460000000001</v>
      </c>
    </row>
    <row r="872" spans="1:13" ht="75" hidden="1" x14ac:dyDescent="0.25">
      <c r="A872" s="313">
        <f t="shared" si="13"/>
        <v>871</v>
      </c>
      <c r="B872" s="314" t="s">
        <v>3799</v>
      </c>
      <c r="C872" s="315" t="s">
        <v>428</v>
      </c>
      <c r="D872" s="316" t="s">
        <v>3800</v>
      </c>
      <c r="E872" s="318">
        <v>1.98</v>
      </c>
      <c r="F872" s="318" t="s">
        <v>395</v>
      </c>
      <c r="G872" s="318" t="s">
        <v>395</v>
      </c>
      <c r="H872" s="318" t="s">
        <v>395</v>
      </c>
      <c r="I872" s="318" t="s">
        <v>406</v>
      </c>
      <c r="J872" s="318">
        <v>49</v>
      </c>
      <c r="K872" s="317" t="s">
        <v>410</v>
      </c>
      <c r="L872" s="317">
        <v>47.462420000000002</v>
      </c>
      <c r="M872" s="317">
        <v>40.183810000000001</v>
      </c>
    </row>
    <row r="873" spans="1:13" ht="38.25" hidden="1" x14ac:dyDescent="0.25">
      <c r="A873" s="313">
        <f t="shared" si="13"/>
        <v>872</v>
      </c>
      <c r="B873" s="314" t="s">
        <v>3803</v>
      </c>
      <c r="C873" s="315" t="s">
        <v>503</v>
      </c>
      <c r="D873" s="316" t="s">
        <v>3804</v>
      </c>
      <c r="E873" s="318">
        <v>4.0999999999999996</v>
      </c>
      <c r="F873" s="318" t="s">
        <v>395</v>
      </c>
      <c r="G873" s="318" t="s">
        <v>395</v>
      </c>
      <c r="H873" s="318" t="s">
        <v>395</v>
      </c>
      <c r="I873" s="318" t="s">
        <v>406</v>
      </c>
      <c r="J873" s="318">
        <v>155</v>
      </c>
      <c r="K873" s="317" t="s">
        <v>410</v>
      </c>
      <c r="L873" s="317">
        <v>47.645600000000002</v>
      </c>
      <c r="M873" s="317">
        <v>40.860250000000001</v>
      </c>
    </row>
    <row r="874" spans="1:13" ht="75" hidden="1" x14ac:dyDescent="0.25">
      <c r="A874" s="313">
        <f t="shared" si="13"/>
        <v>873</v>
      </c>
      <c r="B874" s="314" t="s">
        <v>3807</v>
      </c>
      <c r="C874" s="315" t="s">
        <v>428</v>
      </c>
      <c r="D874" s="316" t="s">
        <v>3808</v>
      </c>
      <c r="E874" s="318">
        <v>3.38</v>
      </c>
      <c r="F874" s="318" t="s">
        <v>395</v>
      </c>
      <c r="G874" s="318" t="s">
        <v>395</v>
      </c>
      <c r="H874" s="318" t="s">
        <v>395</v>
      </c>
      <c r="I874" s="318" t="s">
        <v>406</v>
      </c>
      <c r="J874" s="318">
        <v>119</v>
      </c>
      <c r="K874" s="317" t="s">
        <v>410</v>
      </c>
      <c r="L874" s="317">
        <v>47.540280000000003</v>
      </c>
      <c r="M874" s="317">
        <v>40.642940000000003</v>
      </c>
    </row>
    <row r="875" spans="1:13" ht="75" hidden="1" x14ac:dyDescent="0.25">
      <c r="A875" s="313">
        <f t="shared" si="13"/>
        <v>874</v>
      </c>
      <c r="B875" s="314" t="s">
        <v>3811</v>
      </c>
      <c r="C875" s="315" t="s">
        <v>428</v>
      </c>
      <c r="D875" s="316" t="s">
        <v>3812</v>
      </c>
      <c r="E875" s="318">
        <v>2.88</v>
      </c>
      <c r="F875" s="318" t="s">
        <v>395</v>
      </c>
      <c r="G875" s="318" t="s">
        <v>395</v>
      </c>
      <c r="H875" s="318" t="s">
        <v>395</v>
      </c>
      <c r="I875" s="318" t="s">
        <v>406</v>
      </c>
      <c r="J875" s="318">
        <v>94</v>
      </c>
      <c r="K875" s="317" t="s">
        <v>410</v>
      </c>
      <c r="L875" s="317">
        <v>47.772889999999997</v>
      </c>
      <c r="M875" s="317">
        <v>40.39678</v>
      </c>
    </row>
    <row r="876" spans="1:13" ht="38.25" hidden="1" x14ac:dyDescent="0.25">
      <c r="A876" s="313">
        <f t="shared" si="13"/>
        <v>875</v>
      </c>
      <c r="B876" s="314" t="s">
        <v>3815</v>
      </c>
      <c r="C876" s="315" t="s">
        <v>503</v>
      </c>
      <c r="D876" s="316" t="s">
        <v>3816</v>
      </c>
      <c r="E876" s="318">
        <v>1.08</v>
      </c>
      <c r="F876" s="318" t="s">
        <v>395</v>
      </c>
      <c r="G876" s="318" t="s">
        <v>395</v>
      </c>
      <c r="H876" s="318" t="s">
        <v>395</v>
      </c>
      <c r="I876" s="318" t="s">
        <v>406</v>
      </c>
      <c r="J876" s="318">
        <v>4</v>
      </c>
      <c r="K876" s="317" t="s">
        <v>410</v>
      </c>
      <c r="L876" s="317">
        <v>47.202019999999997</v>
      </c>
      <c r="M876" s="317">
        <v>39.701680000000003</v>
      </c>
    </row>
    <row r="877" spans="1:13" ht="60" hidden="1" x14ac:dyDescent="0.25">
      <c r="A877" s="313">
        <f t="shared" si="13"/>
        <v>876</v>
      </c>
      <c r="B877" s="314" t="s">
        <v>3819</v>
      </c>
      <c r="C877" s="315" t="s">
        <v>447</v>
      </c>
      <c r="D877" s="316" t="s">
        <v>3820</v>
      </c>
      <c r="E877" s="318">
        <v>1.1599999999999999</v>
      </c>
      <c r="F877" s="318" t="s">
        <v>395</v>
      </c>
      <c r="G877" s="318" t="s">
        <v>395</v>
      </c>
      <c r="H877" s="318" t="s">
        <v>395</v>
      </c>
      <c r="I877" s="318" t="s">
        <v>406</v>
      </c>
      <c r="J877" s="318">
        <v>8</v>
      </c>
      <c r="K877" s="317" t="s">
        <v>410</v>
      </c>
      <c r="L877" s="317">
        <v>47.253140000000002</v>
      </c>
      <c r="M877" s="317">
        <v>39.77458</v>
      </c>
    </row>
    <row r="878" spans="1:13" ht="75" hidden="1" x14ac:dyDescent="0.25">
      <c r="A878" s="313">
        <f t="shared" si="13"/>
        <v>877</v>
      </c>
      <c r="B878" s="314" t="s">
        <v>3823</v>
      </c>
      <c r="C878" s="315" t="s">
        <v>428</v>
      </c>
      <c r="D878" s="316" t="s">
        <v>3825</v>
      </c>
      <c r="E878" s="318">
        <v>2.2000000000000002</v>
      </c>
      <c r="F878" s="318" t="s">
        <v>395</v>
      </c>
      <c r="G878" s="318" t="s">
        <v>395</v>
      </c>
      <c r="H878" s="318" t="s">
        <v>395</v>
      </c>
      <c r="I878" s="318" t="s">
        <v>406</v>
      </c>
      <c r="J878" s="318">
        <v>60</v>
      </c>
      <c r="K878" s="317" t="s">
        <v>410</v>
      </c>
      <c r="L878" s="317">
        <v>47.565809999999999</v>
      </c>
      <c r="M878" s="317">
        <v>40.120739999999998</v>
      </c>
    </row>
    <row r="879" spans="1:13" ht="60" hidden="1" x14ac:dyDescent="0.25">
      <c r="A879" s="313">
        <f t="shared" si="13"/>
        <v>878</v>
      </c>
      <c r="B879" s="314" t="s">
        <v>3827</v>
      </c>
      <c r="C879" s="315" t="s">
        <v>447</v>
      </c>
      <c r="D879" s="316" t="s">
        <v>3829</v>
      </c>
      <c r="E879" s="318">
        <v>4.04</v>
      </c>
      <c r="F879" s="318" t="s">
        <v>395</v>
      </c>
      <c r="G879" s="318" t="s">
        <v>395</v>
      </c>
      <c r="H879" s="318" t="s">
        <v>395</v>
      </c>
      <c r="I879" s="318" t="s">
        <v>406</v>
      </c>
      <c r="J879" s="318">
        <v>152</v>
      </c>
      <c r="K879" s="317" t="s">
        <v>410</v>
      </c>
      <c r="L879" s="317">
        <v>47.75432</v>
      </c>
      <c r="M879" s="317">
        <v>40.939259999999997</v>
      </c>
    </row>
    <row r="880" spans="1:13" ht="45" hidden="1" x14ac:dyDescent="0.25">
      <c r="A880" s="313">
        <f t="shared" si="13"/>
        <v>879</v>
      </c>
      <c r="B880" s="314" t="s">
        <v>3831</v>
      </c>
      <c r="C880" s="315" t="s">
        <v>412</v>
      </c>
      <c r="D880" s="316" t="s">
        <v>3832</v>
      </c>
      <c r="E880" s="318">
        <v>1.66</v>
      </c>
      <c r="F880" s="318" t="s">
        <v>395</v>
      </c>
      <c r="G880" s="318" t="s">
        <v>395</v>
      </c>
      <c r="H880" s="318" t="s">
        <v>395</v>
      </c>
      <c r="I880" s="318" t="s">
        <v>406</v>
      </c>
      <c r="J880" s="318">
        <v>33</v>
      </c>
      <c r="K880" s="317" t="s">
        <v>410</v>
      </c>
      <c r="L880" s="317">
        <v>47.24051</v>
      </c>
      <c r="M880" s="317">
        <v>40.048009999999998</v>
      </c>
    </row>
    <row r="881" spans="1:13" hidden="1" x14ac:dyDescent="0.25">
      <c r="A881" s="313">
        <f t="shared" si="13"/>
        <v>880</v>
      </c>
      <c r="B881" s="314" t="s">
        <v>401</v>
      </c>
      <c r="C881" s="315" t="s">
        <v>402</v>
      </c>
      <c r="D881" s="316" t="s">
        <v>403</v>
      </c>
      <c r="E881" s="318">
        <v>1.2</v>
      </c>
      <c r="F881" s="318" t="s">
        <v>395</v>
      </c>
      <c r="G881" s="318" t="s">
        <v>395</v>
      </c>
      <c r="H881" s="318" t="s">
        <v>395</v>
      </c>
      <c r="I881" s="318" t="s">
        <v>406</v>
      </c>
      <c r="J881" s="318">
        <v>10</v>
      </c>
      <c r="K881" s="317" t="s">
        <v>410</v>
      </c>
      <c r="L881" s="317">
        <v>47.245579999999997</v>
      </c>
      <c r="M881" s="317">
        <v>39.844929999999998</v>
      </c>
    </row>
    <row r="882" spans="1:13" ht="60" hidden="1" x14ac:dyDescent="0.25">
      <c r="A882" s="313">
        <f t="shared" si="13"/>
        <v>881</v>
      </c>
      <c r="B882" s="314" t="s">
        <v>414</v>
      </c>
      <c r="C882" s="315" t="s">
        <v>415</v>
      </c>
      <c r="D882" s="316" t="s">
        <v>416</v>
      </c>
      <c r="E882" s="318">
        <v>1.18</v>
      </c>
      <c r="F882" s="318" t="s">
        <v>395</v>
      </c>
      <c r="G882" s="318" t="s">
        <v>395</v>
      </c>
      <c r="H882" s="318" t="s">
        <v>395</v>
      </c>
      <c r="I882" s="318" t="s">
        <v>406</v>
      </c>
      <c r="J882" s="318">
        <v>9</v>
      </c>
      <c r="K882" s="317" t="s">
        <v>410</v>
      </c>
      <c r="L882" s="317">
        <v>47.203949999999999</v>
      </c>
      <c r="M882" s="317">
        <v>39.72363</v>
      </c>
    </row>
    <row r="883" spans="1:13" ht="30" hidden="1" x14ac:dyDescent="0.25">
      <c r="A883" s="313">
        <f t="shared" si="13"/>
        <v>882</v>
      </c>
      <c r="B883" s="314" t="s">
        <v>423</v>
      </c>
      <c r="C883" s="315" t="s">
        <v>399</v>
      </c>
      <c r="D883" s="316" t="s">
        <v>424</v>
      </c>
      <c r="E883" s="318">
        <v>1.2</v>
      </c>
      <c r="F883" s="318" t="s">
        <v>395</v>
      </c>
      <c r="G883" s="318" t="s">
        <v>395</v>
      </c>
      <c r="H883" s="318" t="s">
        <v>395</v>
      </c>
      <c r="I883" s="318" t="s">
        <v>406</v>
      </c>
      <c r="J883" s="318">
        <v>10</v>
      </c>
      <c r="K883" s="317" t="s">
        <v>410</v>
      </c>
      <c r="L883" s="317">
        <v>47.29081</v>
      </c>
      <c r="M883" s="317">
        <v>39.713369999999998</v>
      </c>
    </row>
    <row r="884" spans="1:13" ht="30" hidden="1" x14ac:dyDescent="0.25">
      <c r="A884" s="313">
        <f t="shared" si="13"/>
        <v>883</v>
      </c>
      <c r="B884" s="314" t="s">
        <v>431</v>
      </c>
      <c r="C884" s="315" t="s">
        <v>399</v>
      </c>
      <c r="D884" s="316" t="s">
        <v>433</v>
      </c>
      <c r="E884" s="318">
        <v>1.18</v>
      </c>
      <c r="F884" s="318" t="s">
        <v>395</v>
      </c>
      <c r="G884" s="318" t="s">
        <v>395</v>
      </c>
      <c r="H884" s="318" t="s">
        <v>395</v>
      </c>
      <c r="I884" s="318" t="s">
        <v>406</v>
      </c>
      <c r="J884" s="318">
        <v>9</v>
      </c>
      <c r="K884" s="317" t="s">
        <v>410</v>
      </c>
      <c r="L884" s="317">
        <v>47.28651</v>
      </c>
      <c r="M884" s="317">
        <v>39.781739999999999</v>
      </c>
    </row>
    <row r="885" spans="1:13" ht="45" hidden="1" x14ac:dyDescent="0.25">
      <c r="A885" s="313">
        <f t="shared" si="13"/>
        <v>884</v>
      </c>
      <c r="B885" s="314" t="s">
        <v>438</v>
      </c>
      <c r="C885" s="315" t="s">
        <v>412</v>
      </c>
      <c r="D885" s="316" t="s">
        <v>441</v>
      </c>
      <c r="E885" s="318">
        <v>1.32</v>
      </c>
      <c r="F885" s="318" t="s">
        <v>395</v>
      </c>
      <c r="G885" s="318" t="s">
        <v>395</v>
      </c>
      <c r="H885" s="318" t="s">
        <v>395</v>
      </c>
      <c r="I885" s="318" t="s">
        <v>406</v>
      </c>
      <c r="J885" s="318">
        <v>16</v>
      </c>
      <c r="K885" s="317" t="s">
        <v>410</v>
      </c>
      <c r="L885" s="317">
        <v>47.308390000000003</v>
      </c>
      <c r="M885" s="317">
        <v>39.758859999999999</v>
      </c>
    </row>
    <row r="886" spans="1:13" ht="60" hidden="1" x14ac:dyDescent="0.25">
      <c r="A886" s="313">
        <f t="shared" si="13"/>
        <v>885</v>
      </c>
      <c r="B886" s="314" t="s">
        <v>446</v>
      </c>
      <c r="C886" s="315" t="s">
        <v>447</v>
      </c>
      <c r="D886" s="316" t="s">
        <v>450</v>
      </c>
      <c r="E886" s="318">
        <v>1.96</v>
      </c>
      <c r="F886" s="318" t="s">
        <v>395</v>
      </c>
      <c r="G886" s="318" t="s">
        <v>395</v>
      </c>
      <c r="H886" s="318" t="s">
        <v>395</v>
      </c>
      <c r="I886" s="318" t="s">
        <v>406</v>
      </c>
      <c r="J886" s="318">
        <v>48</v>
      </c>
      <c r="K886" s="317" t="s">
        <v>410</v>
      </c>
      <c r="L886" s="317">
        <v>47.082180000000001</v>
      </c>
      <c r="M886" s="317">
        <v>39.314700000000002</v>
      </c>
    </row>
    <row r="887" spans="1:13" ht="45" hidden="1" x14ac:dyDescent="0.25">
      <c r="A887" s="313">
        <f t="shared" si="13"/>
        <v>886</v>
      </c>
      <c r="B887" s="314" t="s">
        <v>456</v>
      </c>
      <c r="C887" s="315" t="s">
        <v>412</v>
      </c>
      <c r="D887" s="316" t="s">
        <v>457</v>
      </c>
      <c r="E887" s="318">
        <v>1.8</v>
      </c>
      <c r="F887" s="318" t="s">
        <v>395</v>
      </c>
      <c r="G887" s="318" t="s">
        <v>395</v>
      </c>
      <c r="H887" s="318" t="s">
        <v>395</v>
      </c>
      <c r="I887" s="318" t="s">
        <v>406</v>
      </c>
      <c r="J887" s="318">
        <v>40</v>
      </c>
      <c r="K887" s="317" t="s">
        <v>410</v>
      </c>
      <c r="L887" s="317">
        <v>47.104320000000001</v>
      </c>
      <c r="M887" s="317">
        <v>39.40307</v>
      </c>
    </row>
    <row r="888" spans="1:13" ht="60" hidden="1" x14ac:dyDescent="0.25">
      <c r="A888" s="313">
        <f t="shared" si="13"/>
        <v>887</v>
      </c>
      <c r="B888" s="314" t="s">
        <v>464</v>
      </c>
      <c r="C888" s="315" t="s">
        <v>447</v>
      </c>
      <c r="D888" s="316" t="s">
        <v>465</v>
      </c>
      <c r="E888" s="318">
        <v>1.82</v>
      </c>
      <c r="F888" s="318" t="s">
        <v>395</v>
      </c>
      <c r="G888" s="318" t="s">
        <v>395</v>
      </c>
      <c r="H888" s="318" t="s">
        <v>395</v>
      </c>
      <c r="I888" s="318" t="s">
        <v>406</v>
      </c>
      <c r="J888" s="318">
        <v>41</v>
      </c>
      <c r="K888" s="317" t="s">
        <v>410</v>
      </c>
      <c r="L888" s="317">
        <v>47.418219999999998</v>
      </c>
      <c r="M888" s="317">
        <v>40.077129999999997</v>
      </c>
    </row>
    <row r="889" spans="1:13" ht="45" hidden="1" x14ac:dyDescent="0.25">
      <c r="A889" s="313">
        <f t="shared" si="13"/>
        <v>888</v>
      </c>
      <c r="B889" s="314" t="s">
        <v>471</v>
      </c>
      <c r="C889" s="315" t="s">
        <v>412</v>
      </c>
      <c r="D889" s="316" t="s">
        <v>473</v>
      </c>
      <c r="E889" s="318">
        <v>1.48</v>
      </c>
      <c r="F889" s="318" t="s">
        <v>395</v>
      </c>
      <c r="G889" s="318" t="s">
        <v>395</v>
      </c>
      <c r="H889" s="318" t="s">
        <v>395</v>
      </c>
      <c r="I889" s="318" t="s">
        <v>406</v>
      </c>
      <c r="J889" s="318">
        <v>24</v>
      </c>
      <c r="K889" s="317" t="s">
        <v>410</v>
      </c>
      <c r="L889" s="317">
        <v>47.279310000000002</v>
      </c>
      <c r="M889" s="317">
        <v>39.867150000000002</v>
      </c>
    </row>
    <row r="890" spans="1:13" ht="45" hidden="1" x14ac:dyDescent="0.25">
      <c r="A890" s="313">
        <f t="shared" si="13"/>
        <v>889</v>
      </c>
      <c r="B890" s="314" t="s">
        <v>478</v>
      </c>
      <c r="C890" s="315" t="s">
        <v>412</v>
      </c>
      <c r="D890" s="316" t="s">
        <v>481</v>
      </c>
      <c r="E890" s="318">
        <v>1.4</v>
      </c>
      <c r="F890" s="318" t="s">
        <v>395</v>
      </c>
      <c r="G890" s="318" t="s">
        <v>395</v>
      </c>
      <c r="H890" s="318" t="s">
        <v>395</v>
      </c>
      <c r="I890" s="318" t="s">
        <v>406</v>
      </c>
      <c r="J890" s="318">
        <v>20</v>
      </c>
      <c r="K890" s="317" t="s">
        <v>410</v>
      </c>
      <c r="L890" s="317">
        <v>47.282049999999998</v>
      </c>
      <c r="M890" s="317">
        <v>39.872570000000003</v>
      </c>
    </row>
    <row r="891" spans="1:13" ht="25.5" hidden="1" x14ac:dyDescent="0.25">
      <c r="A891" s="313">
        <f t="shared" si="13"/>
        <v>890</v>
      </c>
      <c r="B891" s="314" t="s">
        <v>486</v>
      </c>
      <c r="C891" s="315" t="s">
        <v>402</v>
      </c>
      <c r="D891" s="316" t="s">
        <v>489</v>
      </c>
      <c r="E891" s="318">
        <v>1.1000000000000001</v>
      </c>
      <c r="F891" s="318" t="s">
        <v>395</v>
      </c>
      <c r="G891" s="318" t="s">
        <v>395</v>
      </c>
      <c r="H891" s="318" t="s">
        <v>395</v>
      </c>
      <c r="I891" s="318" t="s">
        <v>406</v>
      </c>
      <c r="J891" s="318">
        <v>5</v>
      </c>
      <c r="K891" s="317" t="s">
        <v>410</v>
      </c>
      <c r="L891" s="317">
        <v>47.226529999999997</v>
      </c>
      <c r="M891" s="317">
        <v>39.735419999999998</v>
      </c>
    </row>
    <row r="892" spans="1:13" ht="60" hidden="1" x14ac:dyDescent="0.25">
      <c r="A892" s="313">
        <f t="shared" si="13"/>
        <v>891</v>
      </c>
      <c r="B892" s="314" t="s">
        <v>494</v>
      </c>
      <c r="C892" s="315" t="s">
        <v>447</v>
      </c>
      <c r="D892" s="316" t="s">
        <v>496</v>
      </c>
      <c r="E892" s="318">
        <v>2.62</v>
      </c>
      <c r="F892" s="318" t="s">
        <v>395</v>
      </c>
      <c r="G892" s="318" t="s">
        <v>395</v>
      </c>
      <c r="H892" s="318" t="s">
        <v>395</v>
      </c>
      <c r="I892" s="318" t="s">
        <v>406</v>
      </c>
      <c r="J892" s="318">
        <v>81</v>
      </c>
      <c r="K892" s="317" t="s">
        <v>410</v>
      </c>
      <c r="L892" s="317">
        <v>47.324199999999998</v>
      </c>
      <c r="M892" s="317">
        <v>40.385710000000003</v>
      </c>
    </row>
    <row r="893" spans="1:13" ht="30" hidden="1" x14ac:dyDescent="0.25">
      <c r="A893" s="313">
        <f t="shared" si="13"/>
        <v>892</v>
      </c>
      <c r="B893" s="314" t="s">
        <v>502</v>
      </c>
      <c r="C893" s="315" t="s">
        <v>503</v>
      </c>
      <c r="D893" s="316" t="s">
        <v>504</v>
      </c>
      <c r="E893" s="318">
        <v>1.55</v>
      </c>
      <c r="F893" s="318" t="s">
        <v>395</v>
      </c>
      <c r="G893" s="318" t="s">
        <v>395</v>
      </c>
      <c r="H893" s="318" t="s">
        <v>395</v>
      </c>
      <c r="I893" s="318" t="s">
        <v>406</v>
      </c>
      <c r="J893" s="318">
        <v>27.5</v>
      </c>
      <c r="K893" s="317" t="s">
        <v>410</v>
      </c>
      <c r="L893" s="317">
        <v>47.387210000000003</v>
      </c>
      <c r="M893" s="317">
        <v>39.775649999999999</v>
      </c>
    </row>
    <row r="894" spans="1:13" hidden="1" x14ac:dyDescent="0.25">
      <c r="A894" s="313">
        <f t="shared" si="13"/>
        <v>893</v>
      </c>
      <c r="B894" s="314" t="s">
        <v>507</v>
      </c>
      <c r="C894" s="315" t="s">
        <v>402</v>
      </c>
      <c r="D894" s="316" t="s">
        <v>508</v>
      </c>
      <c r="E894" s="318">
        <v>1.1000000000000001</v>
      </c>
      <c r="F894" s="318" t="s">
        <v>395</v>
      </c>
      <c r="G894" s="318" t="s">
        <v>395</v>
      </c>
      <c r="H894" s="318" t="s">
        <v>395</v>
      </c>
      <c r="I894" s="318" t="s">
        <v>406</v>
      </c>
      <c r="J894" s="318">
        <v>5</v>
      </c>
      <c r="K894" s="317" t="s">
        <v>410</v>
      </c>
      <c r="L894" s="317">
        <v>47.240200000000002</v>
      </c>
      <c r="M894" s="317">
        <v>39.736379999999997</v>
      </c>
    </row>
    <row r="895" spans="1:13" ht="60" hidden="1" x14ac:dyDescent="0.25">
      <c r="A895" s="313">
        <f t="shared" si="13"/>
        <v>894</v>
      </c>
      <c r="B895" s="314" t="s">
        <v>509</v>
      </c>
      <c r="C895" s="315" t="s">
        <v>447</v>
      </c>
      <c r="D895" s="316" t="s">
        <v>510</v>
      </c>
      <c r="E895" s="318">
        <v>2.68</v>
      </c>
      <c r="F895" s="318" t="s">
        <v>395</v>
      </c>
      <c r="G895" s="318" t="s">
        <v>395</v>
      </c>
      <c r="H895" s="318" t="s">
        <v>395</v>
      </c>
      <c r="I895" s="318" t="s">
        <v>406</v>
      </c>
      <c r="J895" s="318">
        <v>84</v>
      </c>
      <c r="K895" s="317" t="s">
        <v>410</v>
      </c>
      <c r="L895" s="317">
        <v>47.723480000000002</v>
      </c>
      <c r="M895" s="317">
        <v>40.249569999999999</v>
      </c>
    </row>
    <row r="896" spans="1:13" ht="30" hidden="1" x14ac:dyDescent="0.25">
      <c r="A896" s="313">
        <f t="shared" si="13"/>
        <v>895</v>
      </c>
      <c r="B896" s="314" t="s">
        <v>513</v>
      </c>
      <c r="C896" s="315" t="s">
        <v>399</v>
      </c>
      <c r="D896" s="316" t="s">
        <v>514</v>
      </c>
      <c r="E896" s="318">
        <v>1.08</v>
      </c>
      <c r="F896" s="318" t="s">
        <v>395</v>
      </c>
      <c r="G896" s="318" t="s">
        <v>395</v>
      </c>
      <c r="H896" s="318" t="s">
        <v>395</v>
      </c>
      <c r="I896" s="318" t="s">
        <v>406</v>
      </c>
      <c r="J896" s="318">
        <v>4</v>
      </c>
      <c r="K896" s="317" t="s">
        <v>410</v>
      </c>
      <c r="L896" s="317">
        <v>47.221130000000002</v>
      </c>
      <c r="M896" s="317">
        <v>39.721829999999997</v>
      </c>
    </row>
    <row r="897" spans="1:13" ht="45" hidden="1" x14ac:dyDescent="0.25">
      <c r="A897" s="313">
        <f t="shared" si="13"/>
        <v>896</v>
      </c>
      <c r="B897" s="314" t="s">
        <v>515</v>
      </c>
      <c r="C897" s="315" t="s">
        <v>393</v>
      </c>
      <c r="D897" s="316" t="s">
        <v>516</v>
      </c>
      <c r="E897" s="318">
        <v>1.1000000000000001</v>
      </c>
      <c r="F897" s="318" t="s">
        <v>395</v>
      </c>
      <c r="G897" s="318" t="s">
        <v>395</v>
      </c>
      <c r="H897" s="318" t="s">
        <v>395</v>
      </c>
      <c r="I897" s="318" t="s">
        <v>406</v>
      </c>
      <c r="J897" s="318">
        <v>5</v>
      </c>
      <c r="K897" s="317" t="s">
        <v>410</v>
      </c>
      <c r="L897" s="317">
        <v>47.214840000000002</v>
      </c>
      <c r="M897" s="317">
        <v>39.704920000000001</v>
      </c>
    </row>
    <row r="898" spans="1:13" ht="60" hidden="1" x14ac:dyDescent="0.25">
      <c r="A898" s="313">
        <f t="shared" si="13"/>
        <v>897</v>
      </c>
      <c r="B898" s="314" t="s">
        <v>517</v>
      </c>
      <c r="C898" s="315" t="s">
        <v>408</v>
      </c>
      <c r="D898" s="316" t="s">
        <v>518</v>
      </c>
      <c r="E898" s="318">
        <v>1.1399999999999999</v>
      </c>
      <c r="F898" s="318" t="s">
        <v>395</v>
      </c>
      <c r="G898" s="318" t="s">
        <v>395</v>
      </c>
      <c r="H898" s="318" t="s">
        <v>395</v>
      </c>
      <c r="I898" s="318" t="s">
        <v>406</v>
      </c>
      <c r="J898" s="318">
        <v>7</v>
      </c>
      <c r="K898" s="317" t="s">
        <v>410</v>
      </c>
      <c r="L898" s="317">
        <v>47.217590000000001</v>
      </c>
      <c r="M898" s="317">
        <v>39.689100000000003</v>
      </c>
    </row>
    <row r="899" spans="1:13" ht="60" hidden="1" x14ac:dyDescent="0.25">
      <c r="A899" s="313">
        <f t="shared" si="13"/>
        <v>898</v>
      </c>
      <c r="B899" s="314" t="s">
        <v>521</v>
      </c>
      <c r="C899" s="315" t="s">
        <v>447</v>
      </c>
      <c r="D899" s="316" t="s">
        <v>522</v>
      </c>
      <c r="E899" s="318">
        <v>1.18</v>
      </c>
      <c r="F899" s="318" t="s">
        <v>395</v>
      </c>
      <c r="G899" s="318" t="s">
        <v>395</v>
      </c>
      <c r="H899" s="318" t="s">
        <v>395</v>
      </c>
      <c r="I899" s="318" t="s">
        <v>406</v>
      </c>
      <c r="J899" s="318">
        <v>9</v>
      </c>
      <c r="K899" s="317" t="s">
        <v>410</v>
      </c>
      <c r="L899" s="317">
        <v>47.253149999999998</v>
      </c>
      <c r="M899" s="317">
        <v>39.69464</v>
      </c>
    </row>
    <row r="900" spans="1:13" ht="45" hidden="1" x14ac:dyDescent="0.25">
      <c r="A900" s="313">
        <f t="shared" ref="A900:A963" si="14">A899+1</f>
        <v>899</v>
      </c>
      <c r="B900" s="314" t="s">
        <v>523</v>
      </c>
      <c r="C900" s="315" t="s">
        <v>412</v>
      </c>
      <c r="D900" s="316" t="s">
        <v>524</v>
      </c>
      <c r="E900" s="318">
        <v>1.26</v>
      </c>
      <c r="F900" s="318" t="s">
        <v>395</v>
      </c>
      <c r="G900" s="318" t="s">
        <v>395</v>
      </c>
      <c r="H900" s="318" t="s">
        <v>395</v>
      </c>
      <c r="I900" s="318" t="s">
        <v>406</v>
      </c>
      <c r="J900" s="318">
        <v>13</v>
      </c>
      <c r="K900" s="317" t="s">
        <v>410</v>
      </c>
      <c r="L900" s="317">
        <v>47.2883</v>
      </c>
      <c r="M900" s="317">
        <v>39.75714</v>
      </c>
    </row>
    <row r="901" spans="1:13" ht="30" hidden="1" x14ac:dyDescent="0.25">
      <c r="A901" s="313">
        <f t="shared" si="14"/>
        <v>900</v>
      </c>
      <c r="B901" s="314" t="s">
        <v>525</v>
      </c>
      <c r="C901" s="315" t="s">
        <v>399</v>
      </c>
      <c r="D901" s="316" t="s">
        <v>526</v>
      </c>
      <c r="E901" s="318">
        <v>1.1200000000000001</v>
      </c>
      <c r="F901" s="318" t="s">
        <v>395</v>
      </c>
      <c r="G901" s="318" t="s">
        <v>395</v>
      </c>
      <c r="H901" s="318" t="s">
        <v>395</v>
      </c>
      <c r="I901" s="318" t="s">
        <v>406</v>
      </c>
      <c r="J901" s="318">
        <v>6</v>
      </c>
      <c r="K901" s="317" t="s">
        <v>410</v>
      </c>
      <c r="L901" s="317">
        <v>47.256570000000004</v>
      </c>
      <c r="M901" s="317">
        <v>39.800260000000002</v>
      </c>
    </row>
    <row r="902" spans="1:13" ht="30" hidden="1" x14ac:dyDescent="0.25">
      <c r="A902" s="313">
        <f t="shared" si="14"/>
        <v>901</v>
      </c>
      <c r="B902" s="314" t="s">
        <v>529</v>
      </c>
      <c r="C902" s="315" t="s">
        <v>399</v>
      </c>
      <c r="D902" s="316" t="s">
        <v>530</v>
      </c>
      <c r="E902" s="318">
        <v>1.1200000000000001</v>
      </c>
      <c r="F902" s="318" t="s">
        <v>395</v>
      </c>
      <c r="G902" s="318" t="s">
        <v>395</v>
      </c>
      <c r="H902" s="318" t="s">
        <v>395</v>
      </c>
      <c r="I902" s="318" t="s">
        <v>406</v>
      </c>
      <c r="J902" s="318">
        <v>6</v>
      </c>
      <c r="K902" s="317" t="s">
        <v>410</v>
      </c>
      <c r="L902" s="317">
        <v>47.223730000000003</v>
      </c>
      <c r="M902" s="317">
        <v>39.754449999999999</v>
      </c>
    </row>
    <row r="903" spans="1:13" ht="45" hidden="1" x14ac:dyDescent="0.25">
      <c r="A903" s="313">
        <f t="shared" si="14"/>
        <v>902</v>
      </c>
      <c r="B903" s="314" t="s">
        <v>531</v>
      </c>
      <c r="C903" s="315" t="s">
        <v>412</v>
      </c>
      <c r="D903" s="316" t="s">
        <v>532</v>
      </c>
      <c r="E903" s="318">
        <v>1.08</v>
      </c>
      <c r="F903" s="318" t="s">
        <v>395</v>
      </c>
      <c r="G903" s="318" t="s">
        <v>395</v>
      </c>
      <c r="H903" s="318" t="s">
        <v>395</v>
      </c>
      <c r="I903" s="318" t="s">
        <v>406</v>
      </c>
      <c r="J903" s="318">
        <v>4</v>
      </c>
      <c r="K903" s="317" t="s">
        <v>410</v>
      </c>
      <c r="L903" s="317">
        <v>47.232500000000002</v>
      </c>
      <c r="M903" s="317">
        <v>39.682780000000001</v>
      </c>
    </row>
    <row r="904" spans="1:13" ht="75" hidden="1" x14ac:dyDescent="0.25">
      <c r="A904" s="313">
        <f t="shared" si="14"/>
        <v>903</v>
      </c>
      <c r="B904" s="314" t="s">
        <v>533</v>
      </c>
      <c r="C904" s="315" t="s">
        <v>428</v>
      </c>
      <c r="D904" s="316" t="s">
        <v>534</v>
      </c>
      <c r="E904" s="318">
        <v>1.18</v>
      </c>
      <c r="F904" s="318" t="s">
        <v>395</v>
      </c>
      <c r="G904" s="318" t="s">
        <v>395</v>
      </c>
      <c r="H904" s="318" t="s">
        <v>395</v>
      </c>
      <c r="I904" s="318" t="s">
        <v>406</v>
      </c>
      <c r="J904" s="318">
        <v>9</v>
      </c>
      <c r="K904" s="317" t="s">
        <v>410</v>
      </c>
      <c r="L904" s="317">
        <v>47.277520000000003</v>
      </c>
      <c r="M904" s="317">
        <v>39.802959999999999</v>
      </c>
    </row>
    <row r="905" spans="1:13" ht="75" hidden="1" x14ac:dyDescent="0.25">
      <c r="A905" s="313">
        <f t="shared" si="14"/>
        <v>904</v>
      </c>
      <c r="B905" s="314" t="s">
        <v>537</v>
      </c>
      <c r="C905" s="315" t="s">
        <v>428</v>
      </c>
      <c r="D905" s="316" t="s">
        <v>538</v>
      </c>
      <c r="E905" s="318">
        <v>1.26</v>
      </c>
      <c r="F905" s="318" t="s">
        <v>395</v>
      </c>
      <c r="G905" s="318" t="s">
        <v>395</v>
      </c>
      <c r="H905" s="318" t="s">
        <v>395</v>
      </c>
      <c r="I905" s="318" t="s">
        <v>406</v>
      </c>
      <c r="J905" s="318">
        <v>13</v>
      </c>
      <c r="K905" s="317" t="s">
        <v>410</v>
      </c>
      <c r="L905" s="317">
        <v>47.267000000000003</v>
      </c>
      <c r="M905" s="317">
        <v>39.853670000000001</v>
      </c>
    </row>
    <row r="906" spans="1:13" ht="45" hidden="1" x14ac:dyDescent="0.25">
      <c r="A906" s="313">
        <f t="shared" si="14"/>
        <v>905</v>
      </c>
      <c r="B906" s="314" t="s">
        <v>539</v>
      </c>
      <c r="C906" s="315" t="s">
        <v>412</v>
      </c>
      <c r="D906" s="316" t="s">
        <v>540</v>
      </c>
      <c r="E906" s="318">
        <v>1.06</v>
      </c>
      <c r="F906" s="318" t="s">
        <v>395</v>
      </c>
      <c r="G906" s="318" t="s">
        <v>395</v>
      </c>
      <c r="H906" s="318" t="s">
        <v>395</v>
      </c>
      <c r="I906" s="318" t="s">
        <v>406</v>
      </c>
      <c r="J906" s="318">
        <v>3</v>
      </c>
      <c r="K906" s="317" t="s">
        <v>410</v>
      </c>
      <c r="L906" s="317">
        <v>47.223239999999997</v>
      </c>
      <c r="M906" s="317">
        <v>39.724150000000002</v>
      </c>
    </row>
    <row r="907" spans="1:13" ht="60" hidden="1" x14ac:dyDescent="0.25">
      <c r="A907" s="313">
        <f t="shared" si="14"/>
        <v>906</v>
      </c>
      <c r="B907" s="314" t="s">
        <v>541</v>
      </c>
      <c r="C907" s="315" t="s">
        <v>447</v>
      </c>
      <c r="D907" s="316" t="s">
        <v>542</v>
      </c>
      <c r="E907" s="318">
        <v>1.1599999999999999</v>
      </c>
      <c r="F907" s="318" t="s">
        <v>395</v>
      </c>
      <c r="G907" s="318" t="s">
        <v>395</v>
      </c>
      <c r="H907" s="318" t="s">
        <v>395</v>
      </c>
      <c r="I907" s="318" t="s">
        <v>406</v>
      </c>
      <c r="J907" s="318">
        <v>8</v>
      </c>
      <c r="K907" s="317" t="s">
        <v>410</v>
      </c>
      <c r="L907" s="317">
        <v>47.238939999999999</v>
      </c>
      <c r="M907" s="317">
        <v>39.798960000000001</v>
      </c>
    </row>
    <row r="908" spans="1:13" ht="45" hidden="1" x14ac:dyDescent="0.25">
      <c r="A908" s="313">
        <f t="shared" si="14"/>
        <v>907</v>
      </c>
      <c r="B908" s="314" t="s">
        <v>545</v>
      </c>
      <c r="C908" s="315" t="s">
        <v>412</v>
      </c>
      <c r="D908" s="316" t="s">
        <v>546</v>
      </c>
      <c r="E908" s="318">
        <v>1.1000000000000001</v>
      </c>
      <c r="F908" s="318" t="s">
        <v>395</v>
      </c>
      <c r="G908" s="318" t="s">
        <v>395</v>
      </c>
      <c r="H908" s="318" t="s">
        <v>395</v>
      </c>
      <c r="I908" s="318" t="s">
        <v>406</v>
      </c>
      <c r="J908" s="318">
        <v>5</v>
      </c>
      <c r="K908" s="317" t="s">
        <v>410</v>
      </c>
      <c r="L908" s="317">
        <v>47.2607</v>
      </c>
      <c r="M908" s="317">
        <v>39.753349999999998</v>
      </c>
    </row>
    <row r="909" spans="1:13" ht="30" hidden="1" x14ac:dyDescent="0.25">
      <c r="A909" s="313">
        <f t="shared" si="14"/>
        <v>908</v>
      </c>
      <c r="B909" s="314" t="s">
        <v>547</v>
      </c>
      <c r="C909" s="315" t="s">
        <v>399</v>
      </c>
      <c r="D909" s="316" t="s">
        <v>548</v>
      </c>
      <c r="E909" s="318">
        <v>1.04</v>
      </c>
      <c r="F909" s="318" t="s">
        <v>395</v>
      </c>
      <c r="G909" s="318" t="s">
        <v>395</v>
      </c>
      <c r="H909" s="318" t="s">
        <v>395</v>
      </c>
      <c r="I909" s="318" t="s">
        <v>406</v>
      </c>
      <c r="J909" s="318">
        <v>2</v>
      </c>
      <c r="K909" s="317" t="s">
        <v>410</v>
      </c>
      <c r="L909" s="317">
        <v>47.226999999999997</v>
      </c>
      <c r="M909" s="317">
        <v>39.742739999999998</v>
      </c>
    </row>
    <row r="910" spans="1:13" ht="60" hidden="1" x14ac:dyDescent="0.25">
      <c r="A910" s="313">
        <f t="shared" si="14"/>
        <v>909</v>
      </c>
      <c r="B910" s="314" t="s">
        <v>549</v>
      </c>
      <c r="C910" s="315" t="s">
        <v>447</v>
      </c>
      <c r="D910" s="316" t="s">
        <v>550</v>
      </c>
      <c r="E910" s="318">
        <v>1.1399999999999999</v>
      </c>
      <c r="F910" s="318" t="s">
        <v>395</v>
      </c>
      <c r="G910" s="318" t="s">
        <v>395</v>
      </c>
      <c r="H910" s="318" t="s">
        <v>395</v>
      </c>
      <c r="I910" s="318" t="s">
        <v>406</v>
      </c>
      <c r="J910" s="318">
        <v>7</v>
      </c>
      <c r="K910" s="317" t="s">
        <v>410</v>
      </c>
      <c r="L910" s="317">
        <v>47.262680000000003</v>
      </c>
      <c r="M910" s="317">
        <v>39.714100000000002</v>
      </c>
    </row>
    <row r="911" spans="1:13" ht="45" hidden="1" x14ac:dyDescent="0.25">
      <c r="A911" s="313">
        <f t="shared" si="14"/>
        <v>910</v>
      </c>
      <c r="B911" s="314" t="s">
        <v>553</v>
      </c>
      <c r="C911" s="315" t="s">
        <v>412</v>
      </c>
      <c r="D911" s="316" t="s">
        <v>554</v>
      </c>
      <c r="E911" s="318">
        <v>1.24</v>
      </c>
      <c r="F911" s="318" t="s">
        <v>395</v>
      </c>
      <c r="G911" s="318" t="s">
        <v>395</v>
      </c>
      <c r="H911" s="318" t="s">
        <v>395</v>
      </c>
      <c r="I911" s="318" t="s">
        <v>406</v>
      </c>
      <c r="J911" s="318">
        <v>12</v>
      </c>
      <c r="K911" s="317" t="s">
        <v>410</v>
      </c>
      <c r="L911" s="317">
        <v>47.271099999999997</v>
      </c>
      <c r="M911" s="317">
        <v>39.773560000000003</v>
      </c>
    </row>
    <row r="912" spans="1:13" ht="75" hidden="1" x14ac:dyDescent="0.25">
      <c r="A912" s="313">
        <f t="shared" si="14"/>
        <v>911</v>
      </c>
      <c r="B912" s="314" t="s">
        <v>555</v>
      </c>
      <c r="C912" s="315" t="s">
        <v>428</v>
      </c>
      <c r="D912" s="316" t="s">
        <v>556</v>
      </c>
      <c r="E912" s="318">
        <v>1.1599999999999999</v>
      </c>
      <c r="F912" s="318" t="s">
        <v>395</v>
      </c>
      <c r="G912" s="318" t="s">
        <v>395</v>
      </c>
      <c r="H912" s="318" t="s">
        <v>395</v>
      </c>
      <c r="I912" s="318" t="s">
        <v>406</v>
      </c>
      <c r="J912" s="318">
        <v>8</v>
      </c>
      <c r="K912" s="317" t="s">
        <v>410</v>
      </c>
      <c r="L912" s="317">
        <v>47.24248</v>
      </c>
      <c r="M912" s="317">
        <v>39.779150000000001</v>
      </c>
    </row>
    <row r="913" spans="1:13" ht="45" hidden="1" x14ac:dyDescent="0.25">
      <c r="A913" s="313">
        <f t="shared" si="14"/>
        <v>912</v>
      </c>
      <c r="B913" s="314" t="s">
        <v>557</v>
      </c>
      <c r="C913" s="315" t="s">
        <v>412</v>
      </c>
      <c r="D913" s="316" t="s">
        <v>558</v>
      </c>
      <c r="E913" s="318">
        <v>1.1599999999999999</v>
      </c>
      <c r="F913" s="318" t="s">
        <v>395</v>
      </c>
      <c r="G913" s="318" t="s">
        <v>395</v>
      </c>
      <c r="H913" s="318" t="s">
        <v>395</v>
      </c>
      <c r="I913" s="318" t="s">
        <v>406</v>
      </c>
      <c r="J913" s="318">
        <v>8</v>
      </c>
      <c r="K913" s="317" t="s">
        <v>410</v>
      </c>
      <c r="L913" s="317">
        <v>47.274999999999999</v>
      </c>
      <c r="M913" s="317">
        <v>39.74933</v>
      </c>
    </row>
    <row r="914" spans="1:13" ht="75" hidden="1" x14ac:dyDescent="0.25">
      <c r="A914" s="313">
        <f t="shared" si="14"/>
        <v>913</v>
      </c>
      <c r="B914" s="314" t="s">
        <v>561</v>
      </c>
      <c r="C914" s="315" t="s">
        <v>428</v>
      </c>
      <c r="D914" s="316" t="s">
        <v>562</v>
      </c>
      <c r="E914" s="318">
        <v>1.2</v>
      </c>
      <c r="F914" s="318" t="s">
        <v>395</v>
      </c>
      <c r="G914" s="318" t="s">
        <v>395</v>
      </c>
      <c r="H914" s="318" t="s">
        <v>395</v>
      </c>
      <c r="I914" s="318" t="s">
        <v>406</v>
      </c>
      <c r="J914" s="318">
        <v>10</v>
      </c>
      <c r="K914" s="317" t="s">
        <v>410</v>
      </c>
      <c r="L914" s="317">
        <v>47.27617</v>
      </c>
      <c r="M914" s="317">
        <v>39.809460000000001</v>
      </c>
    </row>
    <row r="915" spans="1:13" ht="60" hidden="1" x14ac:dyDescent="0.25">
      <c r="A915" s="313">
        <f t="shared" si="14"/>
        <v>914</v>
      </c>
      <c r="B915" s="314" t="s">
        <v>563</v>
      </c>
      <c r="C915" s="315" t="s">
        <v>447</v>
      </c>
      <c r="D915" s="316" t="s">
        <v>564</v>
      </c>
      <c r="E915" s="318">
        <v>1.32</v>
      </c>
      <c r="F915" s="318" t="s">
        <v>395</v>
      </c>
      <c r="G915" s="318" t="s">
        <v>395</v>
      </c>
      <c r="H915" s="318" t="s">
        <v>395</v>
      </c>
      <c r="I915" s="318" t="s">
        <v>406</v>
      </c>
      <c r="J915" s="318">
        <v>16</v>
      </c>
      <c r="K915" s="317" t="s">
        <v>410</v>
      </c>
      <c r="L915" s="317">
        <v>47.138359999999999</v>
      </c>
      <c r="M915" s="317">
        <v>39.696129999999997</v>
      </c>
    </row>
    <row r="916" spans="1:13" ht="30" hidden="1" x14ac:dyDescent="0.25">
      <c r="A916" s="313">
        <f t="shared" si="14"/>
        <v>915</v>
      </c>
      <c r="B916" s="314" t="s">
        <v>565</v>
      </c>
      <c r="C916" s="315" t="s">
        <v>503</v>
      </c>
      <c r="D916" s="316" t="s">
        <v>567</v>
      </c>
      <c r="E916" s="318">
        <v>2.72</v>
      </c>
      <c r="F916" s="318" t="s">
        <v>395</v>
      </c>
      <c r="G916" s="318" t="s">
        <v>395</v>
      </c>
      <c r="H916" s="318" t="s">
        <v>395</v>
      </c>
      <c r="I916" s="318" t="s">
        <v>406</v>
      </c>
      <c r="J916" s="318">
        <v>86</v>
      </c>
      <c r="K916" s="317" t="s">
        <v>410</v>
      </c>
      <c r="L916" s="317">
        <v>47.783769999999997</v>
      </c>
      <c r="M916" s="317">
        <v>39.916069999999998</v>
      </c>
    </row>
    <row r="917" spans="1:13" ht="45" hidden="1" x14ac:dyDescent="0.25">
      <c r="A917" s="313">
        <f t="shared" si="14"/>
        <v>916</v>
      </c>
      <c r="B917" s="314" t="s">
        <v>569</v>
      </c>
      <c r="C917" s="315" t="s">
        <v>393</v>
      </c>
      <c r="D917" s="316" t="s">
        <v>570</v>
      </c>
      <c r="E917" s="318">
        <v>1.04</v>
      </c>
      <c r="F917" s="318" t="s">
        <v>395</v>
      </c>
      <c r="G917" s="318" t="s">
        <v>395</v>
      </c>
      <c r="H917" s="318" t="s">
        <v>395</v>
      </c>
      <c r="I917" s="318" t="s">
        <v>406</v>
      </c>
      <c r="J917" s="318">
        <v>2</v>
      </c>
      <c r="K917" s="317" t="s">
        <v>410</v>
      </c>
      <c r="L917" s="317">
        <v>47.23066</v>
      </c>
      <c r="M917" s="317">
        <v>39.731819999999999</v>
      </c>
    </row>
    <row r="918" spans="1:13" ht="45" hidden="1" x14ac:dyDescent="0.25">
      <c r="A918" s="313">
        <f t="shared" si="14"/>
        <v>917</v>
      </c>
      <c r="B918" s="314" t="s">
        <v>571</v>
      </c>
      <c r="C918" s="315" t="s">
        <v>412</v>
      </c>
      <c r="D918" s="316" t="s">
        <v>572</v>
      </c>
      <c r="E918" s="318">
        <v>1.52</v>
      </c>
      <c r="F918" s="318" t="s">
        <v>395</v>
      </c>
      <c r="G918" s="318" t="s">
        <v>395</v>
      </c>
      <c r="H918" s="318" t="s">
        <v>395</v>
      </c>
      <c r="I918" s="318" t="s">
        <v>406</v>
      </c>
      <c r="J918" s="318">
        <v>26</v>
      </c>
      <c r="K918" s="317" t="s">
        <v>410</v>
      </c>
      <c r="L918" s="317">
        <v>47.117330000000003</v>
      </c>
      <c r="M918" s="317">
        <v>39.690649999999998</v>
      </c>
    </row>
    <row r="919" spans="1:13" ht="30" hidden="1" x14ac:dyDescent="0.25">
      <c r="A919" s="313">
        <f t="shared" si="14"/>
        <v>918</v>
      </c>
      <c r="B919" s="314" t="s">
        <v>573</v>
      </c>
      <c r="C919" s="315" t="s">
        <v>399</v>
      </c>
      <c r="D919" s="316" t="s">
        <v>575</v>
      </c>
      <c r="E919" s="318">
        <v>1.4</v>
      </c>
      <c r="F919" s="318" t="s">
        <v>395</v>
      </c>
      <c r="G919" s="318" t="s">
        <v>395</v>
      </c>
      <c r="H919" s="318" t="s">
        <v>395</v>
      </c>
      <c r="I919" s="318" t="s">
        <v>406</v>
      </c>
      <c r="J919" s="318">
        <v>20</v>
      </c>
      <c r="K919" s="317" t="s">
        <v>410</v>
      </c>
      <c r="L919" s="317">
        <v>47.127180000000003</v>
      </c>
      <c r="M919" s="317">
        <v>39.775530000000003</v>
      </c>
    </row>
    <row r="920" spans="1:13" ht="60" hidden="1" x14ac:dyDescent="0.25">
      <c r="A920" s="313">
        <f t="shared" si="14"/>
        <v>919</v>
      </c>
      <c r="B920" s="314" t="s">
        <v>577</v>
      </c>
      <c r="C920" s="315" t="s">
        <v>447</v>
      </c>
      <c r="D920" s="316" t="s">
        <v>578</v>
      </c>
      <c r="E920" s="318">
        <v>1.04</v>
      </c>
      <c r="F920" s="318" t="s">
        <v>395</v>
      </c>
      <c r="G920" s="318" t="s">
        <v>395</v>
      </c>
      <c r="H920" s="318" t="s">
        <v>395</v>
      </c>
      <c r="I920" s="318" t="s">
        <v>406</v>
      </c>
      <c r="J920" s="318">
        <v>2</v>
      </c>
      <c r="K920" s="317" t="s">
        <v>410</v>
      </c>
      <c r="L920" s="317">
        <v>47.217390000000002</v>
      </c>
      <c r="M920" s="317">
        <v>39.702869999999997</v>
      </c>
    </row>
    <row r="921" spans="1:13" ht="45" hidden="1" x14ac:dyDescent="0.25">
      <c r="A921" s="313">
        <f t="shared" si="14"/>
        <v>920</v>
      </c>
      <c r="B921" s="314" t="s">
        <v>579</v>
      </c>
      <c r="C921" s="315" t="s">
        <v>412</v>
      </c>
      <c r="D921" s="316" t="s">
        <v>580</v>
      </c>
      <c r="E921" s="318">
        <v>1.54</v>
      </c>
      <c r="F921" s="318" t="s">
        <v>395</v>
      </c>
      <c r="G921" s="318" t="s">
        <v>395</v>
      </c>
      <c r="H921" s="318" t="s">
        <v>395</v>
      </c>
      <c r="I921" s="318" t="s">
        <v>406</v>
      </c>
      <c r="J921" s="318">
        <v>27</v>
      </c>
      <c r="K921" s="317" t="s">
        <v>410</v>
      </c>
      <c r="L921" s="317">
        <v>47.09975</v>
      </c>
      <c r="M921" s="317">
        <v>39.723469999999999</v>
      </c>
    </row>
    <row r="922" spans="1:13" ht="51" hidden="1" x14ac:dyDescent="0.25">
      <c r="A922" s="313">
        <f t="shared" si="14"/>
        <v>921</v>
      </c>
      <c r="B922" s="314" t="s">
        <v>581</v>
      </c>
      <c r="C922" s="315" t="s">
        <v>582</v>
      </c>
      <c r="D922" s="316" t="s">
        <v>584</v>
      </c>
      <c r="E922" s="318">
        <v>2.5</v>
      </c>
      <c r="F922" s="318" t="s">
        <v>395</v>
      </c>
      <c r="G922" s="318" t="s">
        <v>395</v>
      </c>
      <c r="H922" s="318" t="s">
        <v>395</v>
      </c>
      <c r="I922" s="318" t="s">
        <v>406</v>
      </c>
      <c r="J922" s="318">
        <v>75</v>
      </c>
      <c r="K922" s="317" t="s">
        <v>410</v>
      </c>
      <c r="L922" s="317">
        <v>47.323300000000003</v>
      </c>
      <c r="M922" s="317">
        <v>40.34151</v>
      </c>
    </row>
    <row r="923" spans="1:13" ht="51" hidden="1" x14ac:dyDescent="0.25">
      <c r="A923" s="313">
        <f t="shared" si="14"/>
        <v>922</v>
      </c>
      <c r="B923" s="314" t="s">
        <v>586</v>
      </c>
      <c r="C923" s="315" t="s">
        <v>582</v>
      </c>
      <c r="D923" s="316" t="s">
        <v>587</v>
      </c>
      <c r="E923" s="318">
        <v>3.2</v>
      </c>
      <c r="F923" s="318" t="s">
        <v>395</v>
      </c>
      <c r="G923" s="318" t="s">
        <v>395</v>
      </c>
      <c r="H923" s="318" t="s">
        <v>395</v>
      </c>
      <c r="I923" s="318" t="s">
        <v>406</v>
      </c>
      <c r="J923" s="318">
        <v>110</v>
      </c>
      <c r="K923" s="317" t="s">
        <v>410</v>
      </c>
      <c r="L923" s="317">
        <v>47.603769999999997</v>
      </c>
      <c r="M923" s="317">
        <v>40.532670000000003</v>
      </c>
    </row>
    <row r="924" spans="1:13" ht="60" hidden="1" x14ac:dyDescent="0.25">
      <c r="A924" s="313">
        <f t="shared" si="14"/>
        <v>923</v>
      </c>
      <c r="B924" s="314" t="s">
        <v>588</v>
      </c>
      <c r="C924" s="315" t="s">
        <v>408</v>
      </c>
      <c r="D924" s="316" t="s">
        <v>589</v>
      </c>
      <c r="E924" s="318">
        <v>1.36</v>
      </c>
      <c r="F924" s="318" t="s">
        <v>395</v>
      </c>
      <c r="G924" s="318" t="s">
        <v>395</v>
      </c>
      <c r="H924" s="318" t="s">
        <v>395</v>
      </c>
      <c r="I924" s="318" t="s">
        <v>406</v>
      </c>
      <c r="J924" s="318">
        <v>18</v>
      </c>
      <c r="K924" s="317" t="s">
        <v>410</v>
      </c>
      <c r="L924" s="317">
        <v>47.135129999999997</v>
      </c>
      <c r="M924" s="317">
        <v>39.774610000000003</v>
      </c>
    </row>
    <row r="925" spans="1:13" ht="30" hidden="1" x14ac:dyDescent="0.25">
      <c r="A925" s="313">
        <f t="shared" si="14"/>
        <v>924</v>
      </c>
      <c r="B925" s="314" t="s">
        <v>590</v>
      </c>
      <c r="C925" s="315" t="s">
        <v>399</v>
      </c>
      <c r="D925" s="316" t="s">
        <v>592</v>
      </c>
      <c r="E925" s="318">
        <v>1.04</v>
      </c>
      <c r="F925" s="318" t="s">
        <v>395</v>
      </c>
      <c r="G925" s="318" t="s">
        <v>395</v>
      </c>
      <c r="H925" s="318" t="s">
        <v>395</v>
      </c>
      <c r="I925" s="318" t="s">
        <v>406</v>
      </c>
      <c r="J925" s="318">
        <v>2</v>
      </c>
      <c r="K925" s="317" t="s">
        <v>410</v>
      </c>
      <c r="L925" s="317">
        <v>47.239660000000001</v>
      </c>
      <c r="M925" s="317">
        <v>39.748809999999999</v>
      </c>
    </row>
    <row r="926" spans="1:13" ht="45" hidden="1" x14ac:dyDescent="0.25">
      <c r="A926" s="313">
        <f t="shared" si="14"/>
        <v>925</v>
      </c>
      <c r="B926" s="314" t="s">
        <v>594</v>
      </c>
      <c r="C926" s="315" t="s">
        <v>412</v>
      </c>
      <c r="D926" s="316" t="s">
        <v>595</v>
      </c>
      <c r="E926" s="318">
        <v>1.2</v>
      </c>
      <c r="F926" s="318" t="s">
        <v>395</v>
      </c>
      <c r="G926" s="318" t="s">
        <v>395</v>
      </c>
      <c r="H926" s="318" t="s">
        <v>395</v>
      </c>
      <c r="I926" s="318" t="s">
        <v>406</v>
      </c>
      <c r="J926" s="318">
        <v>10</v>
      </c>
      <c r="K926" s="317" t="s">
        <v>410</v>
      </c>
      <c r="L926" s="317">
        <v>47.229100000000003</v>
      </c>
      <c r="M926" s="317">
        <v>39.788780000000003</v>
      </c>
    </row>
    <row r="927" spans="1:13" ht="60" hidden="1" x14ac:dyDescent="0.25">
      <c r="A927" s="313">
        <f t="shared" si="14"/>
        <v>926</v>
      </c>
      <c r="B927" s="314" t="s">
        <v>596</v>
      </c>
      <c r="C927" s="315" t="s">
        <v>447</v>
      </c>
      <c r="D927" s="316" t="s">
        <v>597</v>
      </c>
      <c r="E927" s="318">
        <v>1.1599999999999999</v>
      </c>
      <c r="F927" s="318" t="s">
        <v>395</v>
      </c>
      <c r="G927" s="318" t="s">
        <v>395</v>
      </c>
      <c r="H927" s="318" t="s">
        <v>395</v>
      </c>
      <c r="I927" s="318" t="s">
        <v>406</v>
      </c>
      <c r="J927" s="318">
        <v>8</v>
      </c>
      <c r="K927" s="317" t="s">
        <v>410</v>
      </c>
      <c r="L927" s="317">
        <v>47.25797</v>
      </c>
      <c r="M927" s="317">
        <v>39.774920000000002</v>
      </c>
    </row>
    <row r="928" spans="1:13" ht="45" hidden="1" x14ac:dyDescent="0.25">
      <c r="A928" s="313">
        <f t="shared" si="14"/>
        <v>927</v>
      </c>
      <c r="B928" s="314" t="s">
        <v>598</v>
      </c>
      <c r="C928" s="315" t="s">
        <v>412</v>
      </c>
      <c r="D928" s="316" t="s">
        <v>600</v>
      </c>
      <c r="E928" s="318">
        <v>1.18</v>
      </c>
      <c r="F928" s="318" t="s">
        <v>395</v>
      </c>
      <c r="G928" s="318" t="s">
        <v>395</v>
      </c>
      <c r="H928" s="318" t="s">
        <v>395</v>
      </c>
      <c r="I928" s="318" t="s">
        <v>406</v>
      </c>
      <c r="J928" s="318">
        <v>9</v>
      </c>
      <c r="K928" s="317" t="s">
        <v>410</v>
      </c>
      <c r="L928" s="317">
        <v>47.259340000000002</v>
      </c>
      <c r="M928" s="317">
        <v>39.768160000000002</v>
      </c>
    </row>
    <row r="929" spans="1:13" ht="30" hidden="1" x14ac:dyDescent="0.25">
      <c r="A929" s="313">
        <f t="shared" si="14"/>
        <v>928</v>
      </c>
      <c r="B929" s="314" t="s">
        <v>602</v>
      </c>
      <c r="C929" s="315" t="s">
        <v>399</v>
      </c>
      <c r="D929" s="316" t="s">
        <v>603</v>
      </c>
      <c r="E929" s="318">
        <v>1.2</v>
      </c>
      <c r="F929" s="318" t="s">
        <v>395</v>
      </c>
      <c r="G929" s="318" t="s">
        <v>395</v>
      </c>
      <c r="H929" s="318" t="s">
        <v>395</v>
      </c>
      <c r="I929" s="318" t="s">
        <v>406</v>
      </c>
      <c r="J929" s="318">
        <v>10</v>
      </c>
      <c r="K929" s="317" t="s">
        <v>410</v>
      </c>
      <c r="L929" s="317">
        <v>47.295279999999998</v>
      </c>
      <c r="M929" s="317">
        <v>39.715539999999997</v>
      </c>
    </row>
    <row r="930" spans="1:13" ht="75" hidden="1" x14ac:dyDescent="0.25">
      <c r="A930" s="313">
        <f t="shared" si="14"/>
        <v>929</v>
      </c>
      <c r="B930" s="314" t="s">
        <v>604</v>
      </c>
      <c r="C930" s="315" t="s">
        <v>428</v>
      </c>
      <c r="D930" s="316" t="s">
        <v>605</v>
      </c>
      <c r="E930" s="318">
        <v>1.32</v>
      </c>
      <c r="F930" s="318" t="s">
        <v>395</v>
      </c>
      <c r="G930" s="318" t="s">
        <v>395</v>
      </c>
      <c r="H930" s="318" t="s">
        <v>395</v>
      </c>
      <c r="I930" s="318" t="s">
        <v>406</v>
      </c>
      <c r="J930" s="318">
        <v>16</v>
      </c>
      <c r="K930" s="317" t="s">
        <v>410</v>
      </c>
      <c r="L930" s="317">
        <v>47.29965</v>
      </c>
      <c r="M930" s="317">
        <v>39.804090000000002</v>
      </c>
    </row>
    <row r="931" spans="1:13" ht="45" hidden="1" x14ac:dyDescent="0.25">
      <c r="A931" s="313">
        <f t="shared" si="14"/>
        <v>930</v>
      </c>
      <c r="B931" s="314" t="s">
        <v>607</v>
      </c>
      <c r="C931" s="315" t="s">
        <v>393</v>
      </c>
      <c r="D931" s="316" t="s">
        <v>608</v>
      </c>
      <c r="E931" s="318">
        <v>1.06</v>
      </c>
      <c r="F931" s="318" t="s">
        <v>395</v>
      </c>
      <c r="G931" s="318" t="s">
        <v>395</v>
      </c>
      <c r="H931" s="318" t="s">
        <v>395</v>
      </c>
      <c r="I931" s="318" t="s">
        <v>406</v>
      </c>
      <c r="J931" s="318">
        <v>3</v>
      </c>
      <c r="K931" s="317" t="s">
        <v>410</v>
      </c>
      <c r="L931" s="317">
        <v>47.24803</v>
      </c>
      <c r="M931" s="317">
        <v>39.715060000000001</v>
      </c>
    </row>
    <row r="932" spans="1:13" ht="30" hidden="1" x14ac:dyDescent="0.25">
      <c r="A932" s="313">
        <f t="shared" si="14"/>
        <v>931</v>
      </c>
      <c r="B932" s="314" t="s">
        <v>610</v>
      </c>
      <c r="C932" s="315" t="s">
        <v>503</v>
      </c>
      <c r="D932" s="316" t="s">
        <v>611</v>
      </c>
      <c r="E932" s="318">
        <v>1.74</v>
      </c>
      <c r="F932" s="318" t="s">
        <v>395</v>
      </c>
      <c r="G932" s="318" t="s">
        <v>395</v>
      </c>
      <c r="H932" s="318" t="s">
        <v>395</v>
      </c>
      <c r="I932" s="318" t="s">
        <v>406</v>
      </c>
      <c r="J932" s="318">
        <v>37</v>
      </c>
      <c r="K932" s="317" t="s">
        <v>410</v>
      </c>
      <c r="L932" s="317">
        <v>47.235280000000003</v>
      </c>
      <c r="M932" s="317">
        <v>39.962499999999999</v>
      </c>
    </row>
    <row r="933" spans="1:13" ht="30" hidden="1" x14ac:dyDescent="0.25">
      <c r="A933" s="313">
        <f t="shared" si="14"/>
        <v>932</v>
      </c>
      <c r="B933" s="314" t="s">
        <v>612</v>
      </c>
      <c r="C933" s="315" t="s">
        <v>399</v>
      </c>
      <c r="D933" s="316" t="s">
        <v>613</v>
      </c>
      <c r="E933" s="318">
        <v>1.26</v>
      </c>
      <c r="F933" s="318" t="s">
        <v>395</v>
      </c>
      <c r="G933" s="318" t="s">
        <v>395</v>
      </c>
      <c r="H933" s="318" t="s">
        <v>395</v>
      </c>
      <c r="I933" s="318" t="s">
        <v>406</v>
      </c>
      <c r="J933" s="318">
        <v>13</v>
      </c>
      <c r="K933" s="317" t="s">
        <v>410</v>
      </c>
      <c r="L933" s="317">
        <v>47.287849999999999</v>
      </c>
      <c r="M933" s="317">
        <v>39.763210000000001</v>
      </c>
    </row>
    <row r="934" spans="1:13" ht="30" hidden="1" x14ac:dyDescent="0.25">
      <c r="A934" s="313">
        <f t="shared" si="14"/>
        <v>933</v>
      </c>
      <c r="B934" s="314" t="s">
        <v>615</v>
      </c>
      <c r="C934" s="315" t="s">
        <v>399</v>
      </c>
      <c r="D934" s="316" t="s">
        <v>616</v>
      </c>
      <c r="E934" s="318">
        <v>1.06</v>
      </c>
      <c r="F934" s="318" t="s">
        <v>395</v>
      </c>
      <c r="G934" s="318" t="s">
        <v>395</v>
      </c>
      <c r="H934" s="318" t="s">
        <v>395</v>
      </c>
      <c r="I934" s="318" t="s">
        <v>406</v>
      </c>
      <c r="J934" s="318">
        <v>3</v>
      </c>
      <c r="K934" s="317" t="s">
        <v>410</v>
      </c>
      <c r="L934" s="317">
        <v>47.23545</v>
      </c>
      <c r="M934" s="317">
        <v>39.706249999999997</v>
      </c>
    </row>
    <row r="935" spans="1:13" ht="38.25" hidden="1" x14ac:dyDescent="0.25">
      <c r="A935" s="313">
        <f t="shared" si="14"/>
        <v>934</v>
      </c>
      <c r="B935" s="314" t="s">
        <v>618</v>
      </c>
      <c r="C935" s="315" t="s">
        <v>503</v>
      </c>
      <c r="D935" s="316" t="s">
        <v>619</v>
      </c>
      <c r="E935" s="318">
        <v>1.56</v>
      </c>
      <c r="F935" s="318" t="s">
        <v>395</v>
      </c>
      <c r="G935" s="318" t="s">
        <v>395</v>
      </c>
      <c r="H935" s="318" t="s">
        <v>395</v>
      </c>
      <c r="I935" s="318" t="s">
        <v>406</v>
      </c>
      <c r="J935" s="318">
        <v>28</v>
      </c>
      <c r="K935" s="317" t="s">
        <v>410</v>
      </c>
      <c r="L935" s="317">
        <v>47.345280000000002</v>
      </c>
      <c r="M935" s="317">
        <v>39.95167</v>
      </c>
    </row>
    <row r="936" spans="1:13" ht="75" hidden="1" x14ac:dyDescent="0.25">
      <c r="A936" s="313">
        <f t="shared" si="14"/>
        <v>935</v>
      </c>
      <c r="B936" s="314" t="s">
        <v>620</v>
      </c>
      <c r="C936" s="315" t="s">
        <v>428</v>
      </c>
      <c r="D936" s="316" t="s">
        <v>621</v>
      </c>
      <c r="E936" s="318">
        <v>1.24</v>
      </c>
      <c r="F936" s="318" t="s">
        <v>395</v>
      </c>
      <c r="G936" s="318" t="s">
        <v>395</v>
      </c>
      <c r="H936" s="318" t="s">
        <v>395</v>
      </c>
      <c r="I936" s="318" t="s">
        <v>406</v>
      </c>
      <c r="J936" s="318">
        <v>12</v>
      </c>
      <c r="K936" s="317" t="s">
        <v>410</v>
      </c>
      <c r="L936" s="317">
        <v>47.273519999999998</v>
      </c>
      <c r="M936" s="317">
        <v>39.786529999999999</v>
      </c>
    </row>
    <row r="937" spans="1:13" ht="75" hidden="1" x14ac:dyDescent="0.25">
      <c r="A937" s="313">
        <f t="shared" si="14"/>
        <v>936</v>
      </c>
      <c r="B937" s="314" t="s">
        <v>623</v>
      </c>
      <c r="C937" s="315" t="s">
        <v>428</v>
      </c>
      <c r="D937" s="316" t="s">
        <v>624</v>
      </c>
      <c r="E937" s="318">
        <v>1.18</v>
      </c>
      <c r="F937" s="318" t="s">
        <v>395</v>
      </c>
      <c r="G937" s="318" t="s">
        <v>395</v>
      </c>
      <c r="H937" s="318" t="s">
        <v>395</v>
      </c>
      <c r="I937" s="318" t="s">
        <v>406</v>
      </c>
      <c r="J937" s="318">
        <v>9</v>
      </c>
      <c r="K937" s="317" t="s">
        <v>410</v>
      </c>
      <c r="L937" s="317">
        <v>47.252940000000002</v>
      </c>
      <c r="M937" s="317">
        <v>39.755609999999997</v>
      </c>
    </row>
    <row r="938" spans="1:13" ht="45" hidden="1" x14ac:dyDescent="0.25">
      <c r="A938" s="313">
        <f t="shared" si="14"/>
        <v>937</v>
      </c>
      <c r="B938" s="314" t="s">
        <v>626</v>
      </c>
      <c r="C938" s="315" t="s">
        <v>412</v>
      </c>
      <c r="D938" s="316" t="s">
        <v>627</v>
      </c>
      <c r="E938" s="318">
        <v>1.34</v>
      </c>
      <c r="F938" s="318" t="s">
        <v>395</v>
      </c>
      <c r="G938" s="318" t="s">
        <v>395</v>
      </c>
      <c r="H938" s="318" t="s">
        <v>395</v>
      </c>
      <c r="I938" s="318" t="s">
        <v>406</v>
      </c>
      <c r="J938" s="318">
        <v>17</v>
      </c>
      <c r="K938" s="317" t="s">
        <v>410</v>
      </c>
      <c r="L938" s="317">
        <v>47.250990000000002</v>
      </c>
      <c r="M938" s="317">
        <v>39.83361</v>
      </c>
    </row>
    <row r="939" spans="1:13" ht="45" hidden="1" x14ac:dyDescent="0.25">
      <c r="A939" s="313">
        <f t="shared" si="14"/>
        <v>938</v>
      </c>
      <c r="B939" s="314" t="s">
        <v>628</v>
      </c>
      <c r="C939" s="315" t="s">
        <v>412</v>
      </c>
      <c r="D939" s="316" t="s">
        <v>629</v>
      </c>
      <c r="E939" s="318">
        <v>1.4</v>
      </c>
      <c r="F939" s="318" t="s">
        <v>395</v>
      </c>
      <c r="G939" s="318" t="s">
        <v>395</v>
      </c>
      <c r="H939" s="318" t="s">
        <v>395</v>
      </c>
      <c r="I939" s="318" t="s">
        <v>406</v>
      </c>
      <c r="J939" s="318">
        <v>20</v>
      </c>
      <c r="K939" s="317" t="s">
        <v>410</v>
      </c>
      <c r="L939" s="317">
        <v>47.292900000000003</v>
      </c>
      <c r="M939" s="317">
        <v>39.881300000000003</v>
      </c>
    </row>
    <row r="940" spans="1:13" ht="60" hidden="1" x14ac:dyDescent="0.25">
      <c r="A940" s="313">
        <f t="shared" si="14"/>
        <v>939</v>
      </c>
      <c r="B940" s="314" t="s">
        <v>631</v>
      </c>
      <c r="C940" s="315" t="s">
        <v>447</v>
      </c>
      <c r="D940" s="316" t="s">
        <v>632</v>
      </c>
      <c r="E940" s="318">
        <v>1.84</v>
      </c>
      <c r="F940" s="318" t="s">
        <v>395</v>
      </c>
      <c r="G940" s="318" t="s">
        <v>395</v>
      </c>
      <c r="H940" s="318" t="s">
        <v>395</v>
      </c>
      <c r="I940" s="318" t="s">
        <v>406</v>
      </c>
      <c r="J940" s="318">
        <v>42</v>
      </c>
      <c r="K940" s="317" t="s">
        <v>410</v>
      </c>
      <c r="L940" s="317">
        <v>47.424759999999999</v>
      </c>
      <c r="M940" s="317">
        <v>40.095599999999997</v>
      </c>
    </row>
    <row r="941" spans="1:13" ht="30" hidden="1" x14ac:dyDescent="0.25">
      <c r="A941" s="313">
        <f t="shared" si="14"/>
        <v>940</v>
      </c>
      <c r="B941" s="314" t="s">
        <v>634</v>
      </c>
      <c r="C941" s="315" t="s">
        <v>399</v>
      </c>
      <c r="D941" s="316" t="s">
        <v>635</v>
      </c>
      <c r="E941" s="318">
        <v>1.1200000000000001</v>
      </c>
      <c r="F941" s="318" t="s">
        <v>395</v>
      </c>
      <c r="G941" s="318" t="s">
        <v>395</v>
      </c>
      <c r="H941" s="318" t="s">
        <v>395</v>
      </c>
      <c r="I941" s="318" t="s">
        <v>406</v>
      </c>
      <c r="J941" s="318">
        <v>6</v>
      </c>
      <c r="K941" s="317" t="s">
        <v>410</v>
      </c>
      <c r="L941" s="317">
        <v>47.231270000000002</v>
      </c>
      <c r="M941" s="317">
        <v>39.755470000000003</v>
      </c>
    </row>
    <row r="942" spans="1:13" ht="30" hidden="1" x14ac:dyDescent="0.25">
      <c r="A942" s="313">
        <f t="shared" si="14"/>
        <v>941</v>
      </c>
      <c r="B942" s="314" t="s">
        <v>636</v>
      </c>
      <c r="C942" s="315" t="s">
        <v>637</v>
      </c>
      <c r="D942" s="316" t="s">
        <v>638</v>
      </c>
      <c r="E942" s="318">
        <v>1.44</v>
      </c>
      <c r="F942" s="318" t="s">
        <v>395</v>
      </c>
      <c r="G942" s="318" t="s">
        <v>395</v>
      </c>
      <c r="H942" s="318" t="s">
        <v>395</v>
      </c>
      <c r="I942" s="318" t="s">
        <v>406</v>
      </c>
      <c r="J942" s="318">
        <v>22</v>
      </c>
      <c r="K942" s="317" t="s">
        <v>410</v>
      </c>
      <c r="L942" s="317">
        <v>47.160330000000002</v>
      </c>
      <c r="M942" s="317">
        <v>39.503709999999998</v>
      </c>
    </row>
    <row r="943" spans="1:13" ht="45" hidden="1" x14ac:dyDescent="0.25">
      <c r="A943" s="313">
        <f t="shared" si="14"/>
        <v>942</v>
      </c>
      <c r="B943" s="314" t="s">
        <v>640</v>
      </c>
      <c r="C943" s="315" t="s">
        <v>412</v>
      </c>
      <c r="D943" s="316" t="s">
        <v>641</v>
      </c>
      <c r="E943" s="318">
        <v>2.62</v>
      </c>
      <c r="F943" s="318" t="s">
        <v>395</v>
      </c>
      <c r="G943" s="318" t="s">
        <v>395</v>
      </c>
      <c r="H943" s="318" t="s">
        <v>395</v>
      </c>
      <c r="I943" s="318" t="s">
        <v>406</v>
      </c>
      <c r="J943" s="318">
        <v>81</v>
      </c>
      <c r="K943" s="317" t="s">
        <v>410</v>
      </c>
      <c r="L943" s="317">
        <v>47.718089999999997</v>
      </c>
      <c r="M943" s="317">
        <v>40.220959999999998</v>
      </c>
    </row>
    <row r="944" spans="1:13" ht="75" hidden="1" x14ac:dyDescent="0.25">
      <c r="A944" s="313">
        <f t="shared" si="14"/>
        <v>943</v>
      </c>
      <c r="B944" s="314" t="s">
        <v>643</v>
      </c>
      <c r="C944" s="315" t="s">
        <v>428</v>
      </c>
      <c r="D944" s="316" t="s">
        <v>644</v>
      </c>
      <c r="E944" s="318">
        <v>2.66</v>
      </c>
      <c r="F944" s="318" t="s">
        <v>395</v>
      </c>
      <c r="G944" s="318" t="s">
        <v>395</v>
      </c>
      <c r="H944" s="318" t="s">
        <v>395</v>
      </c>
      <c r="I944" s="318" t="s">
        <v>406</v>
      </c>
      <c r="J944" s="318">
        <v>83</v>
      </c>
      <c r="K944" s="317" t="s">
        <v>410</v>
      </c>
      <c r="L944" s="317">
        <v>47.728490000000001</v>
      </c>
      <c r="M944" s="317">
        <v>40.243310000000001</v>
      </c>
    </row>
    <row r="945" spans="1:13" ht="60" hidden="1" x14ac:dyDescent="0.25">
      <c r="A945" s="313">
        <f t="shared" si="14"/>
        <v>944</v>
      </c>
      <c r="B945" s="314" t="s">
        <v>645</v>
      </c>
      <c r="C945" s="315" t="s">
        <v>447</v>
      </c>
      <c r="D945" s="316" t="s">
        <v>646</v>
      </c>
      <c r="E945" s="318">
        <v>1.18</v>
      </c>
      <c r="F945" s="318" t="s">
        <v>395</v>
      </c>
      <c r="G945" s="318" t="s">
        <v>395</v>
      </c>
      <c r="H945" s="318" t="s">
        <v>395</v>
      </c>
      <c r="I945" s="318" t="s">
        <v>406</v>
      </c>
      <c r="J945" s="318">
        <v>9</v>
      </c>
      <c r="K945" s="317" t="s">
        <v>410</v>
      </c>
      <c r="L945" s="317">
        <v>47.245249999999999</v>
      </c>
      <c r="M945" s="317">
        <v>39.78586</v>
      </c>
    </row>
    <row r="946" spans="1:13" ht="45" hidden="1" x14ac:dyDescent="0.25">
      <c r="A946" s="313">
        <f t="shared" si="14"/>
        <v>945</v>
      </c>
      <c r="B946" s="314" t="s">
        <v>648</v>
      </c>
      <c r="C946" s="315" t="s">
        <v>412</v>
      </c>
      <c r="D946" s="316" t="s">
        <v>650</v>
      </c>
      <c r="E946" s="318">
        <v>1.08</v>
      </c>
      <c r="F946" s="318" t="s">
        <v>395</v>
      </c>
      <c r="G946" s="318" t="s">
        <v>395</v>
      </c>
      <c r="H946" s="318" t="s">
        <v>395</v>
      </c>
      <c r="I946" s="318" t="s">
        <v>406</v>
      </c>
      <c r="J946" s="318">
        <v>4</v>
      </c>
      <c r="K946" s="317" t="s">
        <v>410</v>
      </c>
      <c r="L946" s="317">
        <v>47.232559999999999</v>
      </c>
      <c r="M946" s="317">
        <v>39.721640000000001</v>
      </c>
    </row>
    <row r="947" spans="1:13" ht="60" hidden="1" x14ac:dyDescent="0.25">
      <c r="A947" s="313">
        <f t="shared" si="14"/>
        <v>946</v>
      </c>
      <c r="B947" s="314" t="s">
        <v>651</v>
      </c>
      <c r="C947" s="315" t="s">
        <v>447</v>
      </c>
      <c r="D947" s="316" t="s">
        <v>652</v>
      </c>
      <c r="E947" s="318">
        <v>1.26</v>
      </c>
      <c r="F947" s="318" t="s">
        <v>395</v>
      </c>
      <c r="G947" s="318" t="s">
        <v>395</v>
      </c>
      <c r="H947" s="318" t="s">
        <v>395</v>
      </c>
      <c r="I947" s="318" t="s">
        <v>406</v>
      </c>
      <c r="J947" s="318">
        <v>13</v>
      </c>
      <c r="K947" s="317" t="s">
        <v>410</v>
      </c>
      <c r="L947" s="317">
        <v>47.141030000000001</v>
      </c>
      <c r="M947" s="317">
        <v>39.728999999999999</v>
      </c>
    </row>
    <row r="948" spans="1:13" ht="60" hidden="1" x14ac:dyDescent="0.25">
      <c r="A948" s="313">
        <f t="shared" si="14"/>
        <v>947</v>
      </c>
      <c r="B948" s="314" t="s">
        <v>653</v>
      </c>
      <c r="C948" s="315" t="s">
        <v>447</v>
      </c>
      <c r="D948" s="316" t="s">
        <v>654</v>
      </c>
      <c r="E948" s="318">
        <v>1.26</v>
      </c>
      <c r="F948" s="318" t="s">
        <v>395</v>
      </c>
      <c r="G948" s="318" t="s">
        <v>395</v>
      </c>
      <c r="H948" s="318" t="s">
        <v>395</v>
      </c>
      <c r="I948" s="318" t="s">
        <v>406</v>
      </c>
      <c r="J948" s="318">
        <v>13</v>
      </c>
      <c r="K948" s="317" t="s">
        <v>410</v>
      </c>
      <c r="L948" s="317">
        <v>47.145760000000003</v>
      </c>
      <c r="M948" s="317">
        <v>39.766719999999999</v>
      </c>
    </row>
    <row r="949" spans="1:13" ht="45" hidden="1" x14ac:dyDescent="0.25">
      <c r="A949" s="313">
        <f t="shared" si="14"/>
        <v>948</v>
      </c>
      <c r="B949" s="314" t="s">
        <v>656</v>
      </c>
      <c r="C949" s="315" t="s">
        <v>412</v>
      </c>
      <c r="D949" s="316" t="s">
        <v>657</v>
      </c>
      <c r="E949" s="318">
        <v>1.36</v>
      </c>
      <c r="F949" s="318" t="s">
        <v>395</v>
      </c>
      <c r="G949" s="318" t="s">
        <v>395</v>
      </c>
      <c r="H949" s="318" t="s">
        <v>395</v>
      </c>
      <c r="I949" s="318" t="s">
        <v>406</v>
      </c>
      <c r="J949" s="318">
        <v>18</v>
      </c>
      <c r="K949" s="317" t="s">
        <v>410</v>
      </c>
      <c r="L949" s="317">
        <v>47.313540000000003</v>
      </c>
      <c r="M949" s="317">
        <v>39.772410000000001</v>
      </c>
    </row>
    <row r="950" spans="1:13" ht="75" hidden="1" x14ac:dyDescent="0.25">
      <c r="A950" s="313">
        <f t="shared" si="14"/>
        <v>949</v>
      </c>
      <c r="B950" s="314" t="s">
        <v>659</v>
      </c>
      <c r="C950" s="315" t="s">
        <v>428</v>
      </c>
      <c r="D950" s="316" t="s">
        <v>660</v>
      </c>
      <c r="E950" s="318">
        <v>1.66</v>
      </c>
      <c r="F950" s="318" t="s">
        <v>395</v>
      </c>
      <c r="G950" s="318" t="s">
        <v>395</v>
      </c>
      <c r="H950" s="318" t="s">
        <v>395</v>
      </c>
      <c r="I950" s="318" t="s">
        <v>406</v>
      </c>
      <c r="J950" s="318">
        <v>33</v>
      </c>
      <c r="K950" s="317" t="s">
        <v>410</v>
      </c>
      <c r="L950" s="317">
        <v>47.080249999999999</v>
      </c>
      <c r="M950" s="317">
        <v>39.539639999999999</v>
      </c>
    </row>
    <row r="951" spans="1:13" ht="75" hidden="1" x14ac:dyDescent="0.25">
      <c r="A951" s="313">
        <f t="shared" si="14"/>
        <v>950</v>
      </c>
      <c r="B951" s="314" t="s">
        <v>661</v>
      </c>
      <c r="C951" s="315" t="s">
        <v>428</v>
      </c>
      <c r="D951" s="316" t="s">
        <v>662</v>
      </c>
      <c r="E951" s="318">
        <v>1.88</v>
      </c>
      <c r="F951" s="318" t="s">
        <v>395</v>
      </c>
      <c r="G951" s="318" t="s">
        <v>395</v>
      </c>
      <c r="H951" s="318" t="s">
        <v>395</v>
      </c>
      <c r="I951" s="318" t="s">
        <v>406</v>
      </c>
      <c r="J951" s="318">
        <v>44</v>
      </c>
      <c r="K951" s="317" t="s">
        <v>410</v>
      </c>
      <c r="L951" s="317">
        <v>46.948279999999997</v>
      </c>
      <c r="M951" s="317">
        <v>39.686810000000001</v>
      </c>
    </row>
    <row r="952" spans="1:13" ht="30" hidden="1" x14ac:dyDescent="0.25">
      <c r="A952" s="313">
        <f t="shared" si="14"/>
        <v>951</v>
      </c>
      <c r="B952" s="314" t="s">
        <v>664</v>
      </c>
      <c r="C952" s="315" t="s">
        <v>399</v>
      </c>
      <c r="D952" s="316" t="s">
        <v>666</v>
      </c>
      <c r="E952" s="318">
        <v>1.24</v>
      </c>
      <c r="F952" s="318" t="s">
        <v>395</v>
      </c>
      <c r="G952" s="318" t="s">
        <v>395</v>
      </c>
      <c r="H952" s="318" t="s">
        <v>395</v>
      </c>
      <c r="I952" s="318" t="s">
        <v>406</v>
      </c>
      <c r="J952" s="318">
        <v>12</v>
      </c>
      <c r="K952" s="317" t="s">
        <v>410</v>
      </c>
      <c r="L952" s="317">
        <v>47.239100000000001</v>
      </c>
      <c r="M952" s="317">
        <v>39.827300000000001</v>
      </c>
    </row>
    <row r="953" spans="1:13" ht="45" hidden="1" x14ac:dyDescent="0.25">
      <c r="A953" s="313">
        <f t="shared" si="14"/>
        <v>952</v>
      </c>
      <c r="B953" s="314" t="s">
        <v>667</v>
      </c>
      <c r="C953" s="315" t="s">
        <v>412</v>
      </c>
      <c r="D953" s="316" t="s">
        <v>668</v>
      </c>
      <c r="E953" s="318">
        <v>1.1200000000000001</v>
      </c>
      <c r="F953" s="318" t="s">
        <v>395</v>
      </c>
      <c r="G953" s="318" t="s">
        <v>395</v>
      </c>
      <c r="H953" s="318" t="s">
        <v>395</v>
      </c>
      <c r="I953" s="318" t="s">
        <v>406</v>
      </c>
      <c r="J953" s="318">
        <v>6</v>
      </c>
      <c r="K953" s="317" t="s">
        <v>410</v>
      </c>
      <c r="L953" s="317">
        <v>47.24718</v>
      </c>
      <c r="M953" s="317">
        <v>39.7224</v>
      </c>
    </row>
    <row r="954" spans="1:13" ht="30" hidden="1" x14ac:dyDescent="0.25">
      <c r="A954" s="313">
        <f t="shared" si="14"/>
        <v>953</v>
      </c>
      <c r="B954" s="314" t="s">
        <v>669</v>
      </c>
      <c r="C954" s="315" t="s">
        <v>399</v>
      </c>
      <c r="D954" s="316" t="s">
        <v>670</v>
      </c>
      <c r="E954" s="318">
        <v>1.04</v>
      </c>
      <c r="F954" s="318" t="s">
        <v>395</v>
      </c>
      <c r="G954" s="318" t="s">
        <v>395</v>
      </c>
      <c r="H954" s="318" t="s">
        <v>395</v>
      </c>
      <c r="I954" s="318" t="s">
        <v>406</v>
      </c>
      <c r="J954" s="318">
        <v>2</v>
      </c>
      <c r="K954" s="317" t="s">
        <v>410</v>
      </c>
      <c r="L954" s="317">
        <v>47.232399999999998</v>
      </c>
      <c r="M954" s="317">
        <v>39.714590000000001</v>
      </c>
    </row>
    <row r="955" spans="1:13" ht="60" hidden="1" x14ac:dyDescent="0.25">
      <c r="A955" s="313">
        <f t="shared" si="14"/>
        <v>954</v>
      </c>
      <c r="B955" s="314" t="s">
        <v>673</v>
      </c>
      <c r="C955" s="315" t="s">
        <v>447</v>
      </c>
      <c r="D955" s="316" t="s">
        <v>675</v>
      </c>
      <c r="E955" s="318">
        <v>1.08</v>
      </c>
      <c r="F955" s="318" t="s">
        <v>395</v>
      </c>
      <c r="G955" s="318" t="s">
        <v>395</v>
      </c>
      <c r="H955" s="318" t="s">
        <v>395</v>
      </c>
      <c r="I955" s="318" t="s">
        <v>406</v>
      </c>
      <c r="J955" s="318">
        <v>4</v>
      </c>
      <c r="K955" s="317" t="s">
        <v>410</v>
      </c>
      <c r="L955" s="317">
        <v>47.23395</v>
      </c>
      <c r="M955" s="317">
        <v>39.728490000000001</v>
      </c>
    </row>
    <row r="956" spans="1:13" ht="60" hidden="1" x14ac:dyDescent="0.25">
      <c r="A956" s="313">
        <f t="shared" si="14"/>
        <v>955</v>
      </c>
      <c r="B956" s="314" t="s">
        <v>676</v>
      </c>
      <c r="C956" s="315" t="s">
        <v>677</v>
      </c>
      <c r="D956" s="316" t="s">
        <v>678</v>
      </c>
      <c r="E956" s="318">
        <v>1.78</v>
      </c>
      <c r="F956" s="318" t="s">
        <v>395</v>
      </c>
      <c r="G956" s="318" t="s">
        <v>395</v>
      </c>
      <c r="H956" s="318" t="s">
        <v>395</v>
      </c>
      <c r="I956" s="318" t="s">
        <v>406</v>
      </c>
      <c r="J956" s="318">
        <v>39</v>
      </c>
      <c r="K956" s="317" t="s">
        <v>410</v>
      </c>
      <c r="L956" s="317">
        <v>46.940300000000001</v>
      </c>
      <c r="M956" s="317">
        <v>39.685699999999997</v>
      </c>
    </row>
    <row r="957" spans="1:13" ht="30" hidden="1" x14ac:dyDescent="0.25">
      <c r="A957" s="313">
        <f t="shared" si="14"/>
        <v>956</v>
      </c>
      <c r="B957" s="314" t="s">
        <v>679</v>
      </c>
      <c r="C957" s="315" t="s">
        <v>399</v>
      </c>
      <c r="D957" s="316" t="s">
        <v>680</v>
      </c>
      <c r="E957" s="318">
        <v>1.24</v>
      </c>
      <c r="F957" s="318" t="s">
        <v>395</v>
      </c>
      <c r="G957" s="318" t="s">
        <v>395</v>
      </c>
      <c r="H957" s="318" t="s">
        <v>395</v>
      </c>
      <c r="I957" s="318" t="s">
        <v>406</v>
      </c>
      <c r="J957" s="318">
        <v>12</v>
      </c>
      <c r="K957" s="317" t="s">
        <v>410</v>
      </c>
      <c r="L957" s="317">
        <v>47.155720000000002</v>
      </c>
      <c r="M957" s="317">
        <v>39.739170000000001</v>
      </c>
    </row>
    <row r="958" spans="1:13" ht="60" hidden="1" x14ac:dyDescent="0.25">
      <c r="A958" s="313">
        <f t="shared" si="14"/>
        <v>957</v>
      </c>
      <c r="B958" s="314" t="s">
        <v>683</v>
      </c>
      <c r="C958" s="315" t="s">
        <v>447</v>
      </c>
      <c r="D958" s="316" t="s">
        <v>684</v>
      </c>
      <c r="E958" s="318">
        <v>1.34</v>
      </c>
      <c r="F958" s="318" t="s">
        <v>395</v>
      </c>
      <c r="G958" s="318" t="s">
        <v>395</v>
      </c>
      <c r="H958" s="318" t="s">
        <v>395</v>
      </c>
      <c r="I958" s="318" t="s">
        <v>406</v>
      </c>
      <c r="J958" s="318">
        <v>17</v>
      </c>
      <c r="K958" s="317" t="s">
        <v>410</v>
      </c>
      <c r="L958" s="317">
        <v>47.128540000000001</v>
      </c>
      <c r="M958" s="317">
        <v>39.683430000000001</v>
      </c>
    </row>
    <row r="959" spans="1:13" ht="25.5" hidden="1" x14ac:dyDescent="0.25">
      <c r="A959" s="313">
        <f t="shared" si="14"/>
        <v>958</v>
      </c>
      <c r="B959" s="314" t="s">
        <v>685</v>
      </c>
      <c r="C959" s="315" t="s">
        <v>402</v>
      </c>
      <c r="D959" s="316" t="s">
        <v>686</v>
      </c>
      <c r="E959" s="318">
        <v>1.1200000000000001</v>
      </c>
      <c r="F959" s="318" t="s">
        <v>395</v>
      </c>
      <c r="G959" s="318" t="s">
        <v>395</v>
      </c>
      <c r="H959" s="318" t="s">
        <v>395</v>
      </c>
      <c r="I959" s="318" t="s">
        <v>406</v>
      </c>
      <c r="J959" s="318">
        <v>6</v>
      </c>
      <c r="K959" s="317" t="s">
        <v>410</v>
      </c>
      <c r="L959" s="317">
        <v>47.203690000000002</v>
      </c>
      <c r="M959" s="317">
        <v>39.721290000000003</v>
      </c>
    </row>
    <row r="960" spans="1:13" ht="25.5" hidden="1" x14ac:dyDescent="0.25">
      <c r="A960" s="313">
        <f t="shared" si="14"/>
        <v>959</v>
      </c>
      <c r="B960" s="314" t="s">
        <v>687</v>
      </c>
      <c r="C960" s="315" t="s">
        <v>402</v>
      </c>
      <c r="D960" s="316" t="s">
        <v>686</v>
      </c>
      <c r="E960" s="318">
        <v>1.1200000000000001</v>
      </c>
      <c r="F960" s="318" t="s">
        <v>395</v>
      </c>
      <c r="G960" s="318" t="s">
        <v>395</v>
      </c>
      <c r="H960" s="318" t="s">
        <v>395</v>
      </c>
      <c r="I960" s="318" t="s">
        <v>406</v>
      </c>
      <c r="J960" s="318">
        <v>6</v>
      </c>
      <c r="K960" s="317" t="s">
        <v>410</v>
      </c>
      <c r="L960" s="317">
        <v>47.203690000000002</v>
      </c>
      <c r="M960" s="317">
        <v>39.721290000000003</v>
      </c>
    </row>
    <row r="961" spans="1:13" ht="25.5" hidden="1" x14ac:dyDescent="0.25">
      <c r="A961" s="313">
        <f t="shared" si="14"/>
        <v>960</v>
      </c>
      <c r="B961" s="314" t="s">
        <v>690</v>
      </c>
      <c r="C961" s="315" t="s">
        <v>402</v>
      </c>
      <c r="D961" s="316" t="s">
        <v>691</v>
      </c>
      <c r="E961" s="318">
        <v>1.2</v>
      </c>
      <c r="F961" s="318" t="s">
        <v>395</v>
      </c>
      <c r="G961" s="318" t="s">
        <v>395</v>
      </c>
      <c r="H961" s="318" t="s">
        <v>395</v>
      </c>
      <c r="I961" s="318" t="s">
        <v>406</v>
      </c>
      <c r="J961" s="318">
        <v>10</v>
      </c>
      <c r="K961" s="317" t="s">
        <v>410</v>
      </c>
      <c r="L961" s="317">
        <v>47.289430000000003</v>
      </c>
      <c r="M961" s="317">
        <v>39.713520000000003</v>
      </c>
    </row>
    <row r="962" spans="1:13" ht="30" hidden="1" x14ac:dyDescent="0.25">
      <c r="A962" s="313">
        <f t="shared" si="14"/>
        <v>961</v>
      </c>
      <c r="B962" s="314" t="s">
        <v>692</v>
      </c>
      <c r="C962" s="315" t="s">
        <v>399</v>
      </c>
      <c r="D962" s="316" t="s">
        <v>693</v>
      </c>
      <c r="E962" s="318">
        <v>1.2</v>
      </c>
      <c r="F962" s="318" t="s">
        <v>395</v>
      </c>
      <c r="G962" s="318" t="s">
        <v>395</v>
      </c>
      <c r="H962" s="318" t="s">
        <v>395</v>
      </c>
      <c r="I962" s="318" t="s">
        <v>406</v>
      </c>
      <c r="J962" s="318">
        <v>10</v>
      </c>
      <c r="K962" s="317" t="s">
        <v>410</v>
      </c>
      <c r="L962" s="317">
        <v>47.295119999999997</v>
      </c>
      <c r="M962" s="317">
        <v>39.739710000000002</v>
      </c>
    </row>
    <row r="963" spans="1:13" ht="25.5" hidden="1" x14ac:dyDescent="0.25">
      <c r="A963" s="313">
        <f t="shared" si="14"/>
        <v>962</v>
      </c>
      <c r="B963" s="314" t="s">
        <v>694</v>
      </c>
      <c r="C963" s="315" t="s">
        <v>402</v>
      </c>
      <c r="D963" s="316" t="s">
        <v>695</v>
      </c>
      <c r="E963" s="318">
        <v>1.86</v>
      </c>
      <c r="F963" s="318" t="s">
        <v>395</v>
      </c>
      <c r="G963" s="318" t="s">
        <v>395</v>
      </c>
      <c r="H963" s="318" t="s">
        <v>395</v>
      </c>
      <c r="I963" s="318" t="s">
        <v>406</v>
      </c>
      <c r="J963" s="318">
        <v>43</v>
      </c>
      <c r="K963" s="317" t="s">
        <v>410</v>
      </c>
      <c r="L963" s="317">
        <v>47.488689999999998</v>
      </c>
      <c r="M963" s="317">
        <v>39.928159999999998</v>
      </c>
    </row>
    <row r="964" spans="1:13" ht="30" hidden="1" x14ac:dyDescent="0.25">
      <c r="A964" s="313">
        <f t="shared" ref="A964:A1027" si="15">A963+1</f>
        <v>963</v>
      </c>
      <c r="B964" s="314" t="s">
        <v>698</v>
      </c>
      <c r="C964" s="315" t="s">
        <v>399</v>
      </c>
      <c r="D964" s="316" t="s">
        <v>699</v>
      </c>
      <c r="E964" s="318">
        <v>1.02</v>
      </c>
      <c r="F964" s="318" t="s">
        <v>395</v>
      </c>
      <c r="G964" s="318" t="s">
        <v>395</v>
      </c>
      <c r="H964" s="318" t="s">
        <v>395</v>
      </c>
      <c r="I964" s="318" t="s">
        <v>406</v>
      </c>
      <c r="J964" s="318">
        <v>1</v>
      </c>
      <c r="K964" s="317" t="s">
        <v>410</v>
      </c>
      <c r="L964" s="317">
        <v>47.223689999999998</v>
      </c>
      <c r="M964" s="317">
        <v>39.699770000000001</v>
      </c>
    </row>
    <row r="965" spans="1:13" ht="60" hidden="1" x14ac:dyDescent="0.25">
      <c r="A965" s="313">
        <f t="shared" si="15"/>
        <v>964</v>
      </c>
      <c r="B965" s="314" t="s">
        <v>700</v>
      </c>
      <c r="C965" s="315" t="s">
        <v>447</v>
      </c>
      <c r="D965" s="316" t="s">
        <v>701</v>
      </c>
      <c r="E965" s="318">
        <v>2.68</v>
      </c>
      <c r="F965" s="318" t="s">
        <v>395</v>
      </c>
      <c r="G965" s="318" t="s">
        <v>395</v>
      </c>
      <c r="H965" s="318" t="s">
        <v>395</v>
      </c>
      <c r="I965" s="318" t="s">
        <v>406</v>
      </c>
      <c r="J965" s="318">
        <v>84</v>
      </c>
      <c r="K965" s="317" t="s">
        <v>410</v>
      </c>
      <c r="L965" s="317">
        <v>47.758670000000002</v>
      </c>
      <c r="M965" s="317">
        <v>39.948749999999997</v>
      </c>
    </row>
    <row r="966" spans="1:13" ht="45" hidden="1" x14ac:dyDescent="0.25">
      <c r="A966" s="313">
        <f t="shared" si="15"/>
        <v>965</v>
      </c>
      <c r="B966" s="314" t="s">
        <v>702</v>
      </c>
      <c r="C966" s="315" t="s">
        <v>582</v>
      </c>
      <c r="D966" s="316" t="s">
        <v>703</v>
      </c>
      <c r="E966" s="318">
        <v>2.2400000000000002</v>
      </c>
      <c r="F966" s="318" t="s">
        <v>395</v>
      </c>
      <c r="G966" s="318" t="s">
        <v>395</v>
      </c>
      <c r="H966" s="318" t="s">
        <v>395</v>
      </c>
      <c r="I966" s="318" t="s">
        <v>406</v>
      </c>
      <c r="J966" s="318">
        <v>62</v>
      </c>
      <c r="K966" s="317" t="s">
        <v>410</v>
      </c>
      <c r="L966" s="317">
        <v>46.87688</v>
      </c>
      <c r="M966" s="317">
        <v>39.913919999999997</v>
      </c>
    </row>
    <row r="967" spans="1:13" ht="75" hidden="1" x14ac:dyDescent="0.25">
      <c r="A967" s="313">
        <f t="shared" si="15"/>
        <v>966</v>
      </c>
      <c r="B967" s="314" t="s">
        <v>706</v>
      </c>
      <c r="C967" s="315" t="s">
        <v>428</v>
      </c>
      <c r="D967" s="316" t="s">
        <v>707</v>
      </c>
      <c r="E967" s="318">
        <v>2.04</v>
      </c>
      <c r="F967" s="318" t="s">
        <v>395</v>
      </c>
      <c r="G967" s="318" t="s">
        <v>395</v>
      </c>
      <c r="H967" s="318" t="s">
        <v>395</v>
      </c>
      <c r="I967" s="318" t="s">
        <v>406</v>
      </c>
      <c r="J967" s="318">
        <v>52</v>
      </c>
      <c r="K967" s="317" t="s">
        <v>410</v>
      </c>
      <c r="L967" s="317">
        <v>47.519449999999999</v>
      </c>
      <c r="M967" s="317">
        <v>40.134439999999998</v>
      </c>
    </row>
    <row r="968" spans="1:13" ht="25.5" hidden="1" x14ac:dyDescent="0.25">
      <c r="A968" s="313">
        <f t="shared" si="15"/>
        <v>967</v>
      </c>
      <c r="B968" s="314" t="s">
        <v>708</v>
      </c>
      <c r="C968" s="315" t="s">
        <v>402</v>
      </c>
      <c r="D968" s="316" t="s">
        <v>709</v>
      </c>
      <c r="E968" s="318">
        <v>1.1399999999999999</v>
      </c>
      <c r="F968" s="318" t="s">
        <v>395</v>
      </c>
      <c r="G968" s="318" t="s">
        <v>395</v>
      </c>
      <c r="H968" s="318" t="s">
        <v>395</v>
      </c>
      <c r="I968" s="318" t="s">
        <v>406</v>
      </c>
      <c r="J968" s="318">
        <v>7</v>
      </c>
      <c r="K968" s="317" t="s">
        <v>410</v>
      </c>
      <c r="L968" s="317">
        <v>47.261369999999999</v>
      </c>
      <c r="M968" s="317">
        <v>39.719169999999998</v>
      </c>
    </row>
    <row r="969" spans="1:13" ht="45" hidden="1" x14ac:dyDescent="0.25">
      <c r="A969" s="313">
        <f t="shared" si="15"/>
        <v>968</v>
      </c>
      <c r="B969" s="314" t="s">
        <v>710</v>
      </c>
      <c r="C969" s="315" t="s">
        <v>582</v>
      </c>
      <c r="D969" s="316" t="s">
        <v>712</v>
      </c>
      <c r="E969" s="318">
        <v>2.06</v>
      </c>
      <c r="F969" s="318" t="s">
        <v>395</v>
      </c>
      <c r="G969" s="318" t="s">
        <v>395</v>
      </c>
      <c r="H969" s="318" t="s">
        <v>395</v>
      </c>
      <c r="I969" s="318" t="s">
        <v>406</v>
      </c>
      <c r="J969" s="318">
        <v>53</v>
      </c>
      <c r="K969" s="317" t="s">
        <v>410</v>
      </c>
      <c r="L969" s="317">
        <v>47.140680000000003</v>
      </c>
      <c r="M969" s="317">
        <v>40.152749999999997</v>
      </c>
    </row>
    <row r="970" spans="1:13" ht="60" hidden="1" x14ac:dyDescent="0.25">
      <c r="A970" s="313">
        <f t="shared" si="15"/>
        <v>969</v>
      </c>
      <c r="B970" s="314" t="s">
        <v>714</v>
      </c>
      <c r="C970" s="315" t="s">
        <v>447</v>
      </c>
      <c r="D970" s="316" t="s">
        <v>715</v>
      </c>
      <c r="E970" s="318">
        <v>2.02</v>
      </c>
      <c r="F970" s="318" t="s">
        <v>395</v>
      </c>
      <c r="G970" s="318" t="s">
        <v>395</v>
      </c>
      <c r="H970" s="318" t="s">
        <v>395</v>
      </c>
      <c r="I970" s="318" t="s">
        <v>406</v>
      </c>
      <c r="J970" s="318">
        <v>51</v>
      </c>
      <c r="K970" s="317" t="s">
        <v>410</v>
      </c>
      <c r="L970" s="317">
        <v>47.483379999999997</v>
      </c>
      <c r="M970" s="317">
        <v>40.07197</v>
      </c>
    </row>
    <row r="971" spans="1:13" ht="60" hidden="1" x14ac:dyDescent="0.25">
      <c r="A971" s="313">
        <f t="shared" si="15"/>
        <v>970</v>
      </c>
      <c r="B971" s="314" t="s">
        <v>716</v>
      </c>
      <c r="C971" s="315" t="s">
        <v>447</v>
      </c>
      <c r="D971" s="316" t="s">
        <v>717</v>
      </c>
      <c r="E971" s="318">
        <v>1.22</v>
      </c>
      <c r="F971" s="318" t="s">
        <v>395</v>
      </c>
      <c r="G971" s="318" t="s">
        <v>395</v>
      </c>
      <c r="H971" s="318" t="s">
        <v>395</v>
      </c>
      <c r="I971" s="318" t="s">
        <v>406</v>
      </c>
      <c r="J971" s="318">
        <v>11</v>
      </c>
      <c r="K971" s="317" t="s">
        <v>410</v>
      </c>
      <c r="L971" s="317">
        <v>47.239530000000002</v>
      </c>
      <c r="M971" s="317">
        <v>39.818779999999997</v>
      </c>
    </row>
    <row r="972" spans="1:13" ht="30" hidden="1" x14ac:dyDescent="0.25">
      <c r="A972" s="313">
        <f t="shared" si="15"/>
        <v>971</v>
      </c>
      <c r="B972" s="314" t="s">
        <v>718</v>
      </c>
      <c r="C972" s="315" t="s">
        <v>399</v>
      </c>
      <c r="D972" s="316" t="s">
        <v>720</v>
      </c>
      <c r="E972" s="318">
        <v>1.1599999999999999</v>
      </c>
      <c r="F972" s="318" t="s">
        <v>395</v>
      </c>
      <c r="G972" s="318" t="s">
        <v>395</v>
      </c>
      <c r="H972" s="318" t="s">
        <v>395</v>
      </c>
      <c r="I972" s="318" t="s">
        <v>406</v>
      </c>
      <c r="J972" s="318">
        <v>8</v>
      </c>
      <c r="K972" s="317" t="s">
        <v>410</v>
      </c>
      <c r="L972" s="317">
        <v>47.248719999999999</v>
      </c>
      <c r="M972" s="317">
        <v>39.74785</v>
      </c>
    </row>
    <row r="973" spans="1:13" ht="60" hidden="1" x14ac:dyDescent="0.25">
      <c r="A973" s="313">
        <f t="shared" si="15"/>
        <v>972</v>
      </c>
      <c r="B973" s="314" t="s">
        <v>722</v>
      </c>
      <c r="C973" s="315" t="s">
        <v>447</v>
      </c>
      <c r="D973" s="316" t="s">
        <v>723</v>
      </c>
      <c r="E973" s="318">
        <v>2.76</v>
      </c>
      <c r="F973" s="318" t="s">
        <v>395</v>
      </c>
      <c r="G973" s="318" t="s">
        <v>395</v>
      </c>
      <c r="H973" s="318" t="s">
        <v>395</v>
      </c>
      <c r="I973" s="318" t="s">
        <v>406</v>
      </c>
      <c r="J973" s="318">
        <v>88</v>
      </c>
      <c r="K973" s="317" t="s">
        <v>410</v>
      </c>
      <c r="L973" s="317">
        <v>47.79522</v>
      </c>
      <c r="M973" s="317">
        <v>39.912199999999999</v>
      </c>
    </row>
    <row r="974" spans="1:13" ht="30" hidden="1" x14ac:dyDescent="0.25">
      <c r="A974" s="313">
        <f t="shared" si="15"/>
        <v>973</v>
      </c>
      <c r="B974" s="314" t="s">
        <v>724</v>
      </c>
      <c r="C974" s="315" t="s">
        <v>399</v>
      </c>
      <c r="D974" s="316" t="s">
        <v>725</v>
      </c>
      <c r="E974" s="318">
        <v>1.26</v>
      </c>
      <c r="F974" s="318" t="s">
        <v>395</v>
      </c>
      <c r="G974" s="318" t="s">
        <v>395</v>
      </c>
      <c r="H974" s="318" t="s">
        <v>395</v>
      </c>
      <c r="I974" s="318" t="s">
        <v>406</v>
      </c>
      <c r="J974" s="318">
        <v>13</v>
      </c>
      <c r="K974" s="317" t="s">
        <v>410</v>
      </c>
      <c r="L974" s="317">
        <v>47.156080000000003</v>
      </c>
      <c r="M974" s="317">
        <v>39.744909999999997</v>
      </c>
    </row>
    <row r="975" spans="1:13" ht="30" hidden="1" x14ac:dyDescent="0.25">
      <c r="A975" s="313">
        <f t="shared" si="15"/>
        <v>974</v>
      </c>
      <c r="B975" s="314" t="s">
        <v>726</v>
      </c>
      <c r="C975" s="315" t="s">
        <v>399</v>
      </c>
      <c r="D975" s="316" t="s">
        <v>728</v>
      </c>
      <c r="E975" s="318">
        <v>1.22</v>
      </c>
      <c r="F975" s="318" t="s">
        <v>395</v>
      </c>
      <c r="G975" s="318" t="s">
        <v>395</v>
      </c>
      <c r="H975" s="318" t="s">
        <v>395</v>
      </c>
      <c r="I975" s="318" t="s">
        <v>406</v>
      </c>
      <c r="J975" s="318">
        <v>11</v>
      </c>
      <c r="K975" s="317" t="s">
        <v>410</v>
      </c>
      <c r="L975" s="317">
        <v>47.260539999999999</v>
      </c>
      <c r="M975" s="317">
        <v>39.761319999999998</v>
      </c>
    </row>
    <row r="976" spans="1:13" ht="25.5" hidden="1" x14ac:dyDescent="0.25">
      <c r="A976" s="313">
        <f t="shared" si="15"/>
        <v>975</v>
      </c>
      <c r="B976" s="314" t="s">
        <v>730</v>
      </c>
      <c r="C976" s="315" t="s">
        <v>402</v>
      </c>
      <c r="D976" s="316" t="s">
        <v>731</v>
      </c>
      <c r="E976" s="318">
        <v>1.1399999999999999</v>
      </c>
      <c r="F976" s="318" t="s">
        <v>395</v>
      </c>
      <c r="G976" s="318" t="s">
        <v>395</v>
      </c>
      <c r="H976" s="318" t="s">
        <v>395</v>
      </c>
      <c r="I976" s="318" t="s">
        <v>406</v>
      </c>
      <c r="J976" s="318">
        <v>7</v>
      </c>
      <c r="K976" s="317" t="s">
        <v>410</v>
      </c>
      <c r="L976" s="317">
        <v>47.261369999999999</v>
      </c>
      <c r="M976" s="317">
        <v>39.719169999999998</v>
      </c>
    </row>
    <row r="977" spans="1:13" ht="45" hidden="1" x14ac:dyDescent="0.25">
      <c r="A977" s="313">
        <f t="shared" si="15"/>
        <v>976</v>
      </c>
      <c r="B977" s="314" t="s">
        <v>732</v>
      </c>
      <c r="C977" s="315" t="s">
        <v>412</v>
      </c>
      <c r="D977" s="316" t="s">
        <v>733</v>
      </c>
      <c r="E977" s="318">
        <v>2.56</v>
      </c>
      <c r="F977" s="318" t="s">
        <v>395</v>
      </c>
      <c r="G977" s="318" t="s">
        <v>395</v>
      </c>
      <c r="H977" s="318" t="s">
        <v>395</v>
      </c>
      <c r="I977" s="318" t="s">
        <v>406</v>
      </c>
      <c r="J977" s="318">
        <v>78</v>
      </c>
      <c r="K977" s="317" t="s">
        <v>410</v>
      </c>
      <c r="L977" s="317">
        <v>47.799439999999997</v>
      </c>
      <c r="M977" s="317">
        <v>39.888420000000004</v>
      </c>
    </row>
    <row r="978" spans="1:13" ht="30" hidden="1" x14ac:dyDescent="0.25">
      <c r="A978" s="313">
        <f t="shared" si="15"/>
        <v>977</v>
      </c>
      <c r="B978" s="314" t="s">
        <v>734</v>
      </c>
      <c r="C978" s="315" t="s">
        <v>503</v>
      </c>
      <c r="D978" s="316" t="s">
        <v>735</v>
      </c>
      <c r="E978" s="318">
        <v>1.1599999999999999</v>
      </c>
      <c r="F978" s="318" t="s">
        <v>395</v>
      </c>
      <c r="G978" s="318" t="s">
        <v>395</v>
      </c>
      <c r="H978" s="318" t="s">
        <v>395</v>
      </c>
      <c r="I978" s="318" t="s">
        <v>406</v>
      </c>
      <c r="J978" s="318">
        <v>8</v>
      </c>
      <c r="K978" s="317" t="s">
        <v>410</v>
      </c>
      <c r="L978" s="317">
        <v>47.23265</v>
      </c>
      <c r="M978" s="317">
        <v>39.776589999999999</v>
      </c>
    </row>
    <row r="979" spans="1:13" ht="30" hidden="1" x14ac:dyDescent="0.25">
      <c r="A979" s="313">
        <f t="shared" si="15"/>
        <v>978</v>
      </c>
      <c r="B979" s="314" t="s">
        <v>738</v>
      </c>
      <c r="C979" s="315" t="s">
        <v>399</v>
      </c>
      <c r="D979" s="316" t="s">
        <v>739</v>
      </c>
      <c r="E979" s="318">
        <v>1.28</v>
      </c>
      <c r="F979" s="318" t="s">
        <v>395</v>
      </c>
      <c r="G979" s="318" t="s">
        <v>395</v>
      </c>
      <c r="H979" s="318" t="s">
        <v>395</v>
      </c>
      <c r="I979" s="318" t="s">
        <v>406</v>
      </c>
      <c r="J979" s="318">
        <v>14</v>
      </c>
      <c r="K979" s="317" t="s">
        <v>410</v>
      </c>
      <c r="L979" s="317">
        <v>47.135350000000003</v>
      </c>
      <c r="M979" s="317">
        <v>39.751739999999998</v>
      </c>
    </row>
    <row r="980" spans="1:13" ht="75" hidden="1" x14ac:dyDescent="0.25">
      <c r="A980" s="313">
        <f t="shared" si="15"/>
        <v>979</v>
      </c>
      <c r="B980" s="314" t="s">
        <v>740</v>
      </c>
      <c r="C980" s="315" t="s">
        <v>428</v>
      </c>
      <c r="D980" s="316" t="s">
        <v>741</v>
      </c>
      <c r="E980" s="318">
        <v>1.4</v>
      </c>
      <c r="F980" s="318" t="s">
        <v>395</v>
      </c>
      <c r="G980" s="318" t="s">
        <v>395</v>
      </c>
      <c r="H980" s="318" t="s">
        <v>395</v>
      </c>
      <c r="I980" s="318" t="s">
        <v>406</v>
      </c>
      <c r="J980" s="318">
        <v>20</v>
      </c>
      <c r="K980" s="317" t="s">
        <v>410</v>
      </c>
      <c r="L980" s="317">
        <v>47.117840000000001</v>
      </c>
      <c r="M980" s="317">
        <v>39.670940000000002</v>
      </c>
    </row>
    <row r="981" spans="1:13" ht="60" hidden="1" x14ac:dyDescent="0.25">
      <c r="A981" s="313">
        <f t="shared" si="15"/>
        <v>980</v>
      </c>
      <c r="B981" s="314" t="s">
        <v>742</v>
      </c>
      <c r="C981" s="315" t="s">
        <v>447</v>
      </c>
      <c r="D981" s="316" t="s">
        <v>743</v>
      </c>
      <c r="E981" s="318">
        <v>1.48</v>
      </c>
      <c r="F981" s="318" t="s">
        <v>395</v>
      </c>
      <c r="G981" s="318" t="s">
        <v>395</v>
      </c>
      <c r="H981" s="318" t="s">
        <v>395</v>
      </c>
      <c r="I981" s="318" t="s">
        <v>406</v>
      </c>
      <c r="J981" s="318">
        <v>24</v>
      </c>
      <c r="K981" s="317" t="s">
        <v>410</v>
      </c>
      <c r="L981" s="317">
        <v>47.297609999999999</v>
      </c>
      <c r="M981" s="317">
        <v>39.92239</v>
      </c>
    </row>
    <row r="982" spans="1:13" ht="60" hidden="1" x14ac:dyDescent="0.25">
      <c r="A982" s="313">
        <f t="shared" si="15"/>
        <v>981</v>
      </c>
      <c r="B982" s="314" t="s">
        <v>746</v>
      </c>
      <c r="C982" s="315" t="s">
        <v>408</v>
      </c>
      <c r="D982" s="316" t="s">
        <v>747</v>
      </c>
      <c r="E982" s="318">
        <v>1.28</v>
      </c>
      <c r="F982" s="318" t="s">
        <v>395</v>
      </c>
      <c r="G982" s="318" t="s">
        <v>395</v>
      </c>
      <c r="H982" s="318" t="s">
        <v>395</v>
      </c>
      <c r="I982" s="318" t="s">
        <v>406</v>
      </c>
      <c r="J982" s="318">
        <v>14</v>
      </c>
      <c r="K982" s="317" t="s">
        <v>410</v>
      </c>
      <c r="L982" s="317">
        <v>47.27563</v>
      </c>
      <c r="M982" s="317">
        <v>39.870019999999997</v>
      </c>
    </row>
    <row r="983" spans="1:13" ht="60" hidden="1" x14ac:dyDescent="0.25">
      <c r="A983" s="313">
        <f t="shared" si="15"/>
        <v>982</v>
      </c>
      <c r="B983" s="314" t="s">
        <v>748</v>
      </c>
      <c r="C983" s="315" t="s">
        <v>447</v>
      </c>
      <c r="D983" s="316" t="s">
        <v>749</v>
      </c>
      <c r="E983" s="318">
        <v>1.08</v>
      </c>
      <c r="F983" s="318" t="s">
        <v>395</v>
      </c>
      <c r="G983" s="318" t="s">
        <v>395</v>
      </c>
      <c r="H983" s="318" t="s">
        <v>395</v>
      </c>
      <c r="I983" s="318" t="s">
        <v>406</v>
      </c>
      <c r="J983" s="318">
        <v>4</v>
      </c>
      <c r="K983" s="317" t="s">
        <v>410</v>
      </c>
      <c r="L983" s="317">
        <v>47.230449999999998</v>
      </c>
      <c r="M983" s="317">
        <v>39.73751</v>
      </c>
    </row>
    <row r="984" spans="1:13" ht="60" hidden="1" x14ac:dyDescent="0.25">
      <c r="A984" s="313">
        <f t="shared" si="15"/>
        <v>983</v>
      </c>
      <c r="B984" s="314" t="s">
        <v>750</v>
      </c>
      <c r="C984" s="315" t="s">
        <v>408</v>
      </c>
      <c r="D984" s="316" t="s">
        <v>751</v>
      </c>
      <c r="E984" s="318">
        <v>1.94</v>
      </c>
      <c r="F984" s="318" t="s">
        <v>395</v>
      </c>
      <c r="G984" s="318" t="s">
        <v>395</v>
      </c>
      <c r="H984" s="318" t="s">
        <v>395</v>
      </c>
      <c r="I984" s="318" t="s">
        <v>406</v>
      </c>
      <c r="J984" s="318">
        <v>47</v>
      </c>
      <c r="K984" s="317" t="s">
        <v>410</v>
      </c>
      <c r="L984" s="317">
        <v>47.470750000000002</v>
      </c>
      <c r="M984" s="317">
        <v>40.054679999999998</v>
      </c>
    </row>
    <row r="985" spans="1:13" ht="45" hidden="1" x14ac:dyDescent="0.25">
      <c r="A985" s="313">
        <f t="shared" si="15"/>
        <v>984</v>
      </c>
      <c r="B985" s="314" t="s">
        <v>754</v>
      </c>
      <c r="C985" s="315" t="s">
        <v>412</v>
      </c>
      <c r="D985" s="316" t="s">
        <v>755</v>
      </c>
      <c r="E985" s="318">
        <v>1.78</v>
      </c>
      <c r="F985" s="318" t="s">
        <v>395</v>
      </c>
      <c r="G985" s="318" t="s">
        <v>395</v>
      </c>
      <c r="H985" s="318" t="s">
        <v>395</v>
      </c>
      <c r="I985" s="318" t="s">
        <v>406</v>
      </c>
      <c r="J985" s="318">
        <v>39</v>
      </c>
      <c r="K985" s="317" t="s">
        <v>410</v>
      </c>
      <c r="L985" s="317">
        <v>47.426740000000002</v>
      </c>
      <c r="M985" s="317">
        <v>40.087530000000001</v>
      </c>
    </row>
    <row r="986" spans="1:13" ht="75" hidden="1" x14ac:dyDescent="0.25">
      <c r="A986" s="313">
        <f t="shared" si="15"/>
        <v>985</v>
      </c>
      <c r="B986" s="314" t="s">
        <v>756</v>
      </c>
      <c r="C986" s="315" t="s">
        <v>428</v>
      </c>
      <c r="D986" s="316" t="s">
        <v>757</v>
      </c>
      <c r="E986" s="318">
        <v>1.86</v>
      </c>
      <c r="F986" s="318" t="s">
        <v>395</v>
      </c>
      <c r="G986" s="318" t="s">
        <v>395</v>
      </c>
      <c r="H986" s="318" t="s">
        <v>395</v>
      </c>
      <c r="I986" s="318" t="s">
        <v>406</v>
      </c>
      <c r="J986" s="318">
        <v>43</v>
      </c>
      <c r="K986" s="317" t="s">
        <v>410</v>
      </c>
      <c r="L986" s="317">
        <v>47.453069999999997</v>
      </c>
      <c r="M986" s="317">
        <v>40.09207</v>
      </c>
    </row>
    <row r="987" spans="1:13" ht="75" hidden="1" x14ac:dyDescent="0.25">
      <c r="A987" s="313">
        <f t="shared" si="15"/>
        <v>986</v>
      </c>
      <c r="B987" s="314" t="s">
        <v>758</v>
      </c>
      <c r="C987" s="315" t="s">
        <v>428</v>
      </c>
      <c r="D987" s="316" t="s">
        <v>760</v>
      </c>
      <c r="E987" s="318">
        <v>1.9</v>
      </c>
      <c r="F987" s="318" t="s">
        <v>395</v>
      </c>
      <c r="G987" s="318" t="s">
        <v>395</v>
      </c>
      <c r="H987" s="318" t="s">
        <v>395</v>
      </c>
      <c r="I987" s="318" t="s">
        <v>406</v>
      </c>
      <c r="J987" s="318">
        <v>45</v>
      </c>
      <c r="K987" s="317" t="s">
        <v>410</v>
      </c>
      <c r="L987" s="317">
        <v>47.488709999999998</v>
      </c>
      <c r="M987" s="317">
        <v>40.06006</v>
      </c>
    </row>
    <row r="988" spans="1:13" ht="30" hidden="1" x14ac:dyDescent="0.25">
      <c r="A988" s="313">
        <f t="shared" si="15"/>
        <v>987</v>
      </c>
      <c r="B988" s="314" t="s">
        <v>762</v>
      </c>
      <c r="C988" s="315" t="s">
        <v>399</v>
      </c>
      <c r="D988" s="316" t="s">
        <v>763</v>
      </c>
      <c r="E988" s="318">
        <v>1.82</v>
      </c>
      <c r="F988" s="318" t="s">
        <v>395</v>
      </c>
      <c r="G988" s="318" t="s">
        <v>395</v>
      </c>
      <c r="H988" s="318" t="s">
        <v>395</v>
      </c>
      <c r="I988" s="318" t="s">
        <v>406</v>
      </c>
      <c r="J988" s="318">
        <v>41</v>
      </c>
      <c r="K988" s="317" t="s">
        <v>410</v>
      </c>
      <c r="L988" s="317">
        <v>47.407600000000002</v>
      </c>
      <c r="M988" s="317">
        <v>40.10398</v>
      </c>
    </row>
    <row r="989" spans="1:13" ht="45" hidden="1" x14ac:dyDescent="0.25">
      <c r="A989" s="313">
        <f t="shared" si="15"/>
        <v>988</v>
      </c>
      <c r="B989" s="314" t="s">
        <v>764</v>
      </c>
      <c r="C989" s="315" t="s">
        <v>412</v>
      </c>
      <c r="D989" s="316" t="s">
        <v>765</v>
      </c>
      <c r="E989" s="318">
        <v>1.76</v>
      </c>
      <c r="F989" s="318" t="s">
        <v>395</v>
      </c>
      <c r="G989" s="318" t="s">
        <v>395</v>
      </c>
      <c r="H989" s="318" t="s">
        <v>395</v>
      </c>
      <c r="I989" s="318" t="s">
        <v>406</v>
      </c>
      <c r="J989" s="318">
        <v>38</v>
      </c>
      <c r="K989" s="317" t="s">
        <v>410</v>
      </c>
      <c r="L989" s="317">
        <v>47.409100000000002</v>
      </c>
      <c r="M989" s="317">
        <v>40.071770000000001</v>
      </c>
    </row>
    <row r="990" spans="1:13" ht="60" hidden="1" x14ac:dyDescent="0.25">
      <c r="A990" s="313">
        <f t="shared" si="15"/>
        <v>989</v>
      </c>
      <c r="B990" s="314" t="s">
        <v>766</v>
      </c>
      <c r="C990" s="315" t="s">
        <v>408</v>
      </c>
      <c r="D990" s="316" t="s">
        <v>768</v>
      </c>
      <c r="E990" s="318">
        <v>1.78</v>
      </c>
      <c r="F990" s="318" t="s">
        <v>395</v>
      </c>
      <c r="G990" s="318" t="s">
        <v>395</v>
      </c>
      <c r="H990" s="318" t="s">
        <v>395</v>
      </c>
      <c r="I990" s="318" t="s">
        <v>406</v>
      </c>
      <c r="J990" s="318">
        <v>39</v>
      </c>
      <c r="K990" s="317" t="s">
        <v>410</v>
      </c>
      <c r="L990" s="317">
        <v>47.414720000000003</v>
      </c>
      <c r="M990" s="317">
        <v>40.097940000000001</v>
      </c>
    </row>
    <row r="991" spans="1:13" ht="45" hidden="1" x14ac:dyDescent="0.25">
      <c r="A991" s="313">
        <f t="shared" si="15"/>
        <v>990</v>
      </c>
      <c r="B991" s="314" t="s">
        <v>770</v>
      </c>
      <c r="C991" s="315" t="s">
        <v>412</v>
      </c>
      <c r="D991" s="316" t="s">
        <v>771</v>
      </c>
      <c r="E991" s="318">
        <v>2.66</v>
      </c>
      <c r="F991" s="318" t="s">
        <v>395</v>
      </c>
      <c r="G991" s="318" t="s">
        <v>395</v>
      </c>
      <c r="H991" s="318" t="s">
        <v>395</v>
      </c>
      <c r="I991" s="318" t="s">
        <v>406</v>
      </c>
      <c r="J991" s="318">
        <v>83</v>
      </c>
      <c r="K991" s="317" t="s">
        <v>410</v>
      </c>
      <c r="L991" s="317">
        <v>47.72325</v>
      </c>
      <c r="M991" s="317">
        <v>40.288240000000002</v>
      </c>
    </row>
    <row r="992" spans="1:13" ht="60" hidden="1" x14ac:dyDescent="0.25">
      <c r="A992" s="313">
        <f t="shared" si="15"/>
        <v>991</v>
      </c>
      <c r="B992" s="314" t="s">
        <v>772</v>
      </c>
      <c r="C992" s="315" t="s">
        <v>447</v>
      </c>
      <c r="D992" s="316" t="s">
        <v>773</v>
      </c>
      <c r="E992" s="318">
        <v>2.88</v>
      </c>
      <c r="F992" s="318" t="s">
        <v>395</v>
      </c>
      <c r="G992" s="318" t="s">
        <v>395</v>
      </c>
      <c r="H992" s="318" t="s">
        <v>395</v>
      </c>
      <c r="I992" s="318" t="s">
        <v>406</v>
      </c>
      <c r="J992" s="318">
        <v>94</v>
      </c>
      <c r="K992" s="317" t="s">
        <v>410</v>
      </c>
      <c r="L992" s="317">
        <v>47.687109999999997</v>
      </c>
      <c r="M992" s="317">
        <v>40.287939999999999</v>
      </c>
    </row>
    <row r="993" spans="1:13" ht="75" hidden="1" x14ac:dyDescent="0.25">
      <c r="A993" s="313">
        <f t="shared" si="15"/>
        <v>992</v>
      </c>
      <c r="B993" s="314" t="s">
        <v>775</v>
      </c>
      <c r="C993" s="315" t="s">
        <v>428</v>
      </c>
      <c r="D993" s="316" t="s">
        <v>776</v>
      </c>
      <c r="E993" s="318">
        <v>2.92</v>
      </c>
      <c r="F993" s="318" t="s">
        <v>395</v>
      </c>
      <c r="G993" s="318" t="s">
        <v>395</v>
      </c>
      <c r="H993" s="318" t="s">
        <v>395</v>
      </c>
      <c r="I993" s="318" t="s">
        <v>406</v>
      </c>
      <c r="J993" s="318">
        <v>96</v>
      </c>
      <c r="K993" s="317" t="s">
        <v>410</v>
      </c>
      <c r="L993" s="317">
        <v>47.729370000000003</v>
      </c>
      <c r="M993" s="317">
        <v>40.283009999999997</v>
      </c>
    </row>
    <row r="994" spans="1:13" ht="60" hidden="1" x14ac:dyDescent="0.25">
      <c r="A994" s="313">
        <f t="shared" si="15"/>
        <v>993</v>
      </c>
      <c r="B994" s="314" t="s">
        <v>778</v>
      </c>
      <c r="C994" s="315" t="s">
        <v>447</v>
      </c>
      <c r="D994" s="316" t="s">
        <v>779</v>
      </c>
      <c r="E994" s="318">
        <v>1.3</v>
      </c>
      <c r="F994" s="318" t="s">
        <v>395</v>
      </c>
      <c r="G994" s="318" t="s">
        <v>395</v>
      </c>
      <c r="H994" s="318" t="s">
        <v>395</v>
      </c>
      <c r="I994" s="318" t="s">
        <v>406</v>
      </c>
      <c r="J994" s="318">
        <v>15</v>
      </c>
      <c r="K994" s="317" t="s">
        <v>410</v>
      </c>
      <c r="L994" s="317">
        <v>47.124580000000002</v>
      </c>
      <c r="M994" s="317">
        <v>39.734160000000003</v>
      </c>
    </row>
    <row r="995" spans="1:13" ht="45" hidden="1" x14ac:dyDescent="0.25">
      <c r="A995" s="313">
        <f t="shared" si="15"/>
        <v>994</v>
      </c>
      <c r="B995" s="314" t="s">
        <v>780</v>
      </c>
      <c r="C995" s="315" t="s">
        <v>412</v>
      </c>
      <c r="D995" s="316" t="s">
        <v>781</v>
      </c>
      <c r="E995" s="318">
        <v>1.42</v>
      </c>
      <c r="F995" s="318" t="s">
        <v>395</v>
      </c>
      <c r="G995" s="318" t="s">
        <v>395</v>
      </c>
      <c r="H995" s="318" t="s">
        <v>395</v>
      </c>
      <c r="I995" s="318" t="s">
        <v>406</v>
      </c>
      <c r="J995" s="318">
        <v>21</v>
      </c>
      <c r="K995" s="317" t="s">
        <v>410</v>
      </c>
      <c r="L995" s="317">
        <v>47.097070000000002</v>
      </c>
      <c r="M995" s="317">
        <v>39.650829999999999</v>
      </c>
    </row>
    <row r="996" spans="1:13" ht="45" hidden="1" x14ac:dyDescent="0.25">
      <c r="A996" s="313">
        <f t="shared" si="15"/>
        <v>995</v>
      </c>
      <c r="B996" s="314" t="s">
        <v>783</v>
      </c>
      <c r="C996" s="315" t="s">
        <v>412</v>
      </c>
      <c r="D996" s="316" t="s">
        <v>784</v>
      </c>
      <c r="E996" s="318">
        <v>2.72</v>
      </c>
      <c r="F996" s="318" t="s">
        <v>395</v>
      </c>
      <c r="G996" s="318" t="s">
        <v>395</v>
      </c>
      <c r="H996" s="318" t="s">
        <v>395</v>
      </c>
      <c r="I996" s="318" t="s">
        <v>406</v>
      </c>
      <c r="J996" s="318">
        <v>86</v>
      </c>
      <c r="K996" s="317" t="s">
        <v>410</v>
      </c>
      <c r="L996" s="317">
        <v>47.746699999999997</v>
      </c>
      <c r="M996" s="317">
        <v>40.303849999999997</v>
      </c>
    </row>
    <row r="997" spans="1:13" ht="45" hidden="1" x14ac:dyDescent="0.25">
      <c r="A997" s="313">
        <f t="shared" si="15"/>
        <v>996</v>
      </c>
      <c r="B997" s="314" t="s">
        <v>786</v>
      </c>
      <c r="C997" s="315" t="s">
        <v>582</v>
      </c>
      <c r="D997" s="316" t="s">
        <v>787</v>
      </c>
      <c r="E997" s="318">
        <v>2.58</v>
      </c>
      <c r="F997" s="318" t="s">
        <v>395</v>
      </c>
      <c r="G997" s="318" t="s">
        <v>395</v>
      </c>
      <c r="H997" s="318" t="s">
        <v>395</v>
      </c>
      <c r="I997" s="318" t="s">
        <v>406</v>
      </c>
      <c r="J997" s="318">
        <v>79</v>
      </c>
      <c r="K997" s="317" t="s">
        <v>410</v>
      </c>
      <c r="L997" s="317">
        <v>46.794989999999999</v>
      </c>
      <c r="M997" s="317">
        <v>39.215870000000002</v>
      </c>
    </row>
    <row r="998" spans="1:13" ht="25.5" hidden="1" x14ac:dyDescent="0.25">
      <c r="A998" s="313">
        <f t="shared" si="15"/>
        <v>997</v>
      </c>
      <c r="B998" s="314" t="s">
        <v>788</v>
      </c>
      <c r="C998" s="315" t="s">
        <v>672</v>
      </c>
      <c r="D998" s="316" t="s">
        <v>789</v>
      </c>
      <c r="E998" s="318">
        <v>1.64</v>
      </c>
      <c r="F998" s="318" t="s">
        <v>395</v>
      </c>
      <c r="G998" s="318" t="s">
        <v>395</v>
      </c>
      <c r="H998" s="318" t="s">
        <v>395</v>
      </c>
      <c r="I998" s="318" t="s">
        <v>406</v>
      </c>
      <c r="J998" s="318">
        <v>32</v>
      </c>
      <c r="K998" s="317" t="s">
        <v>410</v>
      </c>
      <c r="L998" s="317">
        <v>47.428840000000001</v>
      </c>
      <c r="M998" s="317">
        <v>39.751300000000001</v>
      </c>
    </row>
    <row r="999" spans="1:13" ht="25.5" hidden="1" x14ac:dyDescent="0.25">
      <c r="A999" s="313">
        <f t="shared" si="15"/>
        <v>998</v>
      </c>
      <c r="B999" s="314" t="s">
        <v>791</v>
      </c>
      <c r="C999" s="315" t="s">
        <v>672</v>
      </c>
      <c r="D999" s="316" t="s">
        <v>792</v>
      </c>
      <c r="E999" s="318">
        <v>1.6</v>
      </c>
      <c r="F999" s="318" t="s">
        <v>395</v>
      </c>
      <c r="G999" s="318" t="s">
        <v>395</v>
      </c>
      <c r="H999" s="318" t="s">
        <v>395</v>
      </c>
      <c r="I999" s="318" t="s">
        <v>406</v>
      </c>
      <c r="J999" s="318">
        <v>30</v>
      </c>
      <c r="K999" s="317" t="s">
        <v>410</v>
      </c>
      <c r="L999" s="317">
        <v>47.442500000000003</v>
      </c>
      <c r="M999" s="317">
        <v>39.725999999999999</v>
      </c>
    </row>
    <row r="1000" spans="1:13" ht="45" hidden="1" x14ac:dyDescent="0.25">
      <c r="A1000" s="313">
        <f t="shared" si="15"/>
        <v>999</v>
      </c>
      <c r="B1000" s="314" t="s">
        <v>794</v>
      </c>
      <c r="C1000" s="315" t="s">
        <v>412</v>
      </c>
      <c r="D1000" s="316" t="s">
        <v>795</v>
      </c>
      <c r="E1000" s="318">
        <v>2.6</v>
      </c>
      <c r="F1000" s="318" t="s">
        <v>395</v>
      </c>
      <c r="G1000" s="318" t="s">
        <v>395</v>
      </c>
      <c r="H1000" s="318" t="s">
        <v>395</v>
      </c>
      <c r="I1000" s="318" t="s">
        <v>406</v>
      </c>
      <c r="J1000" s="318">
        <v>80</v>
      </c>
      <c r="K1000" s="317" t="s">
        <v>410</v>
      </c>
      <c r="L1000" s="317">
        <v>47.725700000000003</v>
      </c>
      <c r="M1000" s="317">
        <v>40.226199999999999</v>
      </c>
    </row>
    <row r="1001" spans="1:13" ht="30" hidden="1" x14ac:dyDescent="0.25">
      <c r="A1001" s="313">
        <f t="shared" si="15"/>
        <v>1000</v>
      </c>
      <c r="B1001" s="314" t="s">
        <v>796</v>
      </c>
      <c r="C1001" s="315" t="s">
        <v>637</v>
      </c>
      <c r="D1001" s="316" t="s">
        <v>797</v>
      </c>
      <c r="E1001" s="318">
        <v>2.36</v>
      </c>
      <c r="F1001" s="318" t="s">
        <v>395</v>
      </c>
      <c r="G1001" s="318" t="s">
        <v>395</v>
      </c>
      <c r="H1001" s="318" t="s">
        <v>395</v>
      </c>
      <c r="I1001" s="318" t="s">
        <v>406</v>
      </c>
      <c r="J1001" s="318">
        <v>68</v>
      </c>
      <c r="K1001" s="317" t="s">
        <v>410</v>
      </c>
      <c r="L1001" s="317">
        <v>46.961469999999998</v>
      </c>
      <c r="M1001" s="317">
        <v>40.22101</v>
      </c>
    </row>
    <row r="1002" spans="1:13" ht="45" hidden="1" x14ac:dyDescent="0.25">
      <c r="A1002" s="313">
        <f t="shared" si="15"/>
        <v>1001</v>
      </c>
      <c r="B1002" s="314" t="s">
        <v>799</v>
      </c>
      <c r="C1002" s="315" t="s">
        <v>582</v>
      </c>
      <c r="D1002" s="316" t="s">
        <v>800</v>
      </c>
      <c r="E1002" s="318">
        <v>1.68</v>
      </c>
      <c r="F1002" s="318" t="s">
        <v>395</v>
      </c>
      <c r="G1002" s="318" t="s">
        <v>395</v>
      </c>
      <c r="H1002" s="318" t="s">
        <v>395</v>
      </c>
      <c r="I1002" s="318" t="s">
        <v>406</v>
      </c>
      <c r="J1002" s="318">
        <v>34</v>
      </c>
      <c r="K1002" s="317" t="s">
        <v>410</v>
      </c>
      <c r="L1002" s="317">
        <v>47.046509999999998</v>
      </c>
      <c r="M1002" s="317">
        <v>39.706580000000002</v>
      </c>
    </row>
    <row r="1003" spans="1:13" ht="45" hidden="1" x14ac:dyDescent="0.25">
      <c r="A1003" s="313">
        <f t="shared" si="15"/>
        <v>1002</v>
      </c>
      <c r="B1003" s="314" t="s">
        <v>802</v>
      </c>
      <c r="C1003" s="315" t="s">
        <v>582</v>
      </c>
      <c r="D1003" s="316" t="s">
        <v>803</v>
      </c>
      <c r="E1003" s="318">
        <v>1.52</v>
      </c>
      <c r="F1003" s="318" t="s">
        <v>395</v>
      </c>
      <c r="G1003" s="318" t="s">
        <v>395</v>
      </c>
      <c r="H1003" s="318" t="s">
        <v>395</v>
      </c>
      <c r="I1003" s="318" t="s">
        <v>406</v>
      </c>
      <c r="J1003" s="318">
        <v>26</v>
      </c>
      <c r="K1003" s="317" t="s">
        <v>410</v>
      </c>
      <c r="L1003" s="317">
        <v>47.141039999999997</v>
      </c>
      <c r="M1003" s="317">
        <v>39.470370000000003</v>
      </c>
    </row>
    <row r="1004" spans="1:13" hidden="1" x14ac:dyDescent="0.25">
      <c r="A1004" s="313">
        <f t="shared" si="15"/>
        <v>1003</v>
      </c>
      <c r="B1004" s="314" t="s">
        <v>804</v>
      </c>
      <c r="C1004" s="315" t="s">
        <v>805</v>
      </c>
      <c r="D1004" s="316" t="s">
        <v>806</v>
      </c>
      <c r="E1004" s="318">
        <v>1.1000000000000001</v>
      </c>
      <c r="F1004" s="318" t="s">
        <v>395</v>
      </c>
      <c r="G1004" s="318" t="s">
        <v>395</v>
      </c>
      <c r="H1004" s="318" t="s">
        <v>395</v>
      </c>
      <c r="I1004" s="318" t="s">
        <v>406</v>
      </c>
      <c r="J1004" s="318">
        <v>5</v>
      </c>
      <c r="K1004" s="317" t="s">
        <v>410</v>
      </c>
      <c r="L1004" s="317">
        <v>47.209780000000002</v>
      </c>
      <c r="M1004" s="317">
        <v>41.110689999999998</v>
      </c>
    </row>
    <row r="1005" spans="1:13" ht="75" hidden="1" x14ac:dyDescent="0.25">
      <c r="A1005" s="313">
        <f t="shared" si="15"/>
        <v>1004</v>
      </c>
      <c r="B1005" s="314" t="s">
        <v>808</v>
      </c>
      <c r="C1005" s="315" t="s">
        <v>428</v>
      </c>
      <c r="D1005" s="316" t="s">
        <v>809</v>
      </c>
      <c r="E1005" s="318">
        <v>2.48</v>
      </c>
      <c r="F1005" s="318" t="s">
        <v>395</v>
      </c>
      <c r="G1005" s="318" t="s">
        <v>395</v>
      </c>
      <c r="H1005" s="318" t="s">
        <v>395</v>
      </c>
      <c r="I1005" s="318" t="s">
        <v>406</v>
      </c>
      <c r="J1005" s="318">
        <v>74</v>
      </c>
      <c r="K1005" s="317" t="s">
        <v>410</v>
      </c>
      <c r="L1005" s="317">
        <v>47.321620000000003</v>
      </c>
      <c r="M1005" s="317">
        <v>40.363610000000001</v>
      </c>
    </row>
    <row r="1006" spans="1:13" ht="60" hidden="1" x14ac:dyDescent="0.25">
      <c r="A1006" s="313">
        <f t="shared" si="15"/>
        <v>1005</v>
      </c>
      <c r="B1006" s="314" t="s">
        <v>811</v>
      </c>
      <c r="C1006" s="315" t="s">
        <v>447</v>
      </c>
      <c r="D1006" s="316" t="s">
        <v>812</v>
      </c>
      <c r="E1006" s="318">
        <v>2.58</v>
      </c>
      <c r="F1006" s="318" t="s">
        <v>395</v>
      </c>
      <c r="G1006" s="318" t="s">
        <v>395</v>
      </c>
      <c r="H1006" s="318" t="s">
        <v>395</v>
      </c>
      <c r="I1006" s="318" t="s">
        <v>406</v>
      </c>
      <c r="J1006" s="318">
        <v>79</v>
      </c>
      <c r="K1006" s="317" t="s">
        <v>410</v>
      </c>
      <c r="L1006" s="317">
        <v>47.711919999999999</v>
      </c>
      <c r="M1006" s="317">
        <v>40.20393</v>
      </c>
    </row>
    <row r="1007" spans="1:13" ht="51" hidden="1" x14ac:dyDescent="0.25">
      <c r="A1007" s="313">
        <f t="shared" si="15"/>
        <v>1006</v>
      </c>
      <c r="B1007" s="314" t="s">
        <v>813</v>
      </c>
      <c r="C1007" s="315" t="s">
        <v>582</v>
      </c>
      <c r="D1007" s="316" t="s">
        <v>814</v>
      </c>
      <c r="E1007" s="318">
        <v>2.1800000000000002</v>
      </c>
      <c r="F1007" s="318" t="s">
        <v>395</v>
      </c>
      <c r="G1007" s="318" t="s">
        <v>395</v>
      </c>
      <c r="H1007" s="318" t="s">
        <v>395</v>
      </c>
      <c r="I1007" s="318" t="s">
        <v>406</v>
      </c>
      <c r="J1007" s="318">
        <v>59</v>
      </c>
      <c r="K1007" s="317" t="s">
        <v>410</v>
      </c>
      <c r="L1007" s="317">
        <v>46.930079999999997</v>
      </c>
      <c r="M1007" s="317">
        <v>39.472250000000003</v>
      </c>
    </row>
    <row r="1008" spans="1:13" ht="60" hidden="1" x14ac:dyDescent="0.25">
      <c r="A1008" s="313">
        <f t="shared" si="15"/>
        <v>1007</v>
      </c>
      <c r="B1008" s="314" t="s">
        <v>816</v>
      </c>
      <c r="C1008" s="315" t="s">
        <v>447</v>
      </c>
      <c r="D1008" s="316" t="s">
        <v>818</v>
      </c>
      <c r="E1008" s="318">
        <v>1.78</v>
      </c>
      <c r="F1008" s="318" t="s">
        <v>395</v>
      </c>
      <c r="G1008" s="318" t="s">
        <v>395</v>
      </c>
      <c r="H1008" s="318" t="s">
        <v>395</v>
      </c>
      <c r="I1008" s="318" t="s">
        <v>406</v>
      </c>
      <c r="J1008" s="318">
        <v>39</v>
      </c>
      <c r="K1008" s="317" t="s">
        <v>410</v>
      </c>
      <c r="L1008" s="317">
        <v>47.116540000000001</v>
      </c>
      <c r="M1008" s="317">
        <v>39.414099999999998</v>
      </c>
    </row>
    <row r="1009" spans="1:13" ht="75" hidden="1" x14ac:dyDescent="0.25">
      <c r="A1009" s="313">
        <f t="shared" si="15"/>
        <v>1008</v>
      </c>
      <c r="B1009" s="314" t="s">
        <v>819</v>
      </c>
      <c r="C1009" s="315" t="s">
        <v>428</v>
      </c>
      <c r="D1009" s="316" t="s">
        <v>820</v>
      </c>
      <c r="E1009" s="318">
        <v>2</v>
      </c>
      <c r="F1009" s="318" t="s">
        <v>395</v>
      </c>
      <c r="G1009" s="318" t="s">
        <v>395</v>
      </c>
      <c r="H1009" s="318" t="s">
        <v>395</v>
      </c>
      <c r="I1009" s="318" t="s">
        <v>406</v>
      </c>
      <c r="J1009" s="318">
        <v>50</v>
      </c>
      <c r="K1009" s="317" t="s">
        <v>410</v>
      </c>
      <c r="L1009" s="317">
        <v>47.477539999999998</v>
      </c>
      <c r="M1009" s="317">
        <v>40.079740000000001</v>
      </c>
    </row>
    <row r="1010" spans="1:13" ht="25.5" hidden="1" x14ac:dyDescent="0.25">
      <c r="A1010" s="313">
        <f t="shared" si="15"/>
        <v>1009</v>
      </c>
      <c r="B1010" s="314" t="s">
        <v>821</v>
      </c>
      <c r="C1010" s="315" t="s">
        <v>402</v>
      </c>
      <c r="D1010" s="316" t="s">
        <v>822</v>
      </c>
      <c r="E1010" s="318">
        <v>1.76</v>
      </c>
      <c r="F1010" s="318" t="s">
        <v>395</v>
      </c>
      <c r="G1010" s="318" t="s">
        <v>395</v>
      </c>
      <c r="H1010" s="318" t="s">
        <v>395</v>
      </c>
      <c r="I1010" s="318" t="s">
        <v>406</v>
      </c>
      <c r="J1010" s="318">
        <v>38</v>
      </c>
      <c r="K1010" s="317" t="s">
        <v>410</v>
      </c>
      <c r="L1010" s="317">
        <v>47.420540000000003</v>
      </c>
      <c r="M1010" s="317">
        <v>40.045830000000002</v>
      </c>
    </row>
    <row r="1011" spans="1:13" ht="60" hidden="1" x14ac:dyDescent="0.25">
      <c r="A1011" s="313">
        <f t="shared" si="15"/>
        <v>1010</v>
      </c>
      <c r="B1011" s="314" t="s">
        <v>825</v>
      </c>
      <c r="C1011" s="315" t="s">
        <v>447</v>
      </c>
      <c r="D1011" s="316" t="s">
        <v>826</v>
      </c>
      <c r="E1011" s="318">
        <v>1.8</v>
      </c>
      <c r="F1011" s="318" t="s">
        <v>395</v>
      </c>
      <c r="G1011" s="318" t="s">
        <v>395</v>
      </c>
      <c r="H1011" s="318" t="s">
        <v>395</v>
      </c>
      <c r="I1011" s="318" t="s">
        <v>406</v>
      </c>
      <c r="J1011" s="318">
        <v>40</v>
      </c>
      <c r="K1011" s="317" t="s">
        <v>410</v>
      </c>
      <c r="L1011" s="317">
        <v>46.913240000000002</v>
      </c>
      <c r="M1011" s="317">
        <v>39.705289999999998</v>
      </c>
    </row>
    <row r="1012" spans="1:13" ht="45" hidden="1" x14ac:dyDescent="0.25">
      <c r="A1012" s="313">
        <f t="shared" si="15"/>
        <v>1011</v>
      </c>
      <c r="B1012" s="314" t="s">
        <v>827</v>
      </c>
      <c r="C1012" s="315" t="s">
        <v>412</v>
      </c>
      <c r="D1012" s="316" t="s">
        <v>828</v>
      </c>
      <c r="E1012" s="318">
        <v>2.6</v>
      </c>
      <c r="F1012" s="318" t="s">
        <v>395</v>
      </c>
      <c r="G1012" s="318" t="s">
        <v>395</v>
      </c>
      <c r="H1012" s="318" t="s">
        <v>395</v>
      </c>
      <c r="I1012" s="318" t="s">
        <v>406</v>
      </c>
      <c r="J1012" s="318">
        <v>80</v>
      </c>
      <c r="K1012" s="317" t="s">
        <v>410</v>
      </c>
      <c r="L1012" s="317">
        <v>47.317360000000001</v>
      </c>
      <c r="M1012" s="317">
        <v>40.405180000000001</v>
      </c>
    </row>
    <row r="1013" spans="1:13" ht="30" hidden="1" x14ac:dyDescent="0.25">
      <c r="A1013" s="313">
        <f t="shared" si="15"/>
        <v>1012</v>
      </c>
      <c r="B1013" s="314" t="s">
        <v>829</v>
      </c>
      <c r="C1013" s="315" t="s">
        <v>637</v>
      </c>
      <c r="D1013" s="316" t="s">
        <v>830</v>
      </c>
      <c r="E1013" s="318">
        <v>2.82</v>
      </c>
      <c r="F1013" s="318" t="s">
        <v>395</v>
      </c>
      <c r="G1013" s="318" t="s">
        <v>395</v>
      </c>
      <c r="H1013" s="318" t="s">
        <v>395</v>
      </c>
      <c r="I1013" s="318" t="s">
        <v>406</v>
      </c>
      <c r="J1013" s="318">
        <v>91</v>
      </c>
      <c r="K1013" s="317" t="s">
        <v>410</v>
      </c>
      <c r="L1013" s="317">
        <v>47.62838</v>
      </c>
      <c r="M1013" s="317">
        <v>40.336680000000001</v>
      </c>
    </row>
    <row r="1014" spans="1:13" ht="30" hidden="1" x14ac:dyDescent="0.25">
      <c r="A1014" s="313">
        <f t="shared" si="15"/>
        <v>1013</v>
      </c>
      <c r="B1014" s="314" t="s">
        <v>833</v>
      </c>
      <c r="C1014" s="315" t="s">
        <v>637</v>
      </c>
      <c r="D1014" s="316" t="s">
        <v>834</v>
      </c>
      <c r="E1014" s="318">
        <v>2.96</v>
      </c>
      <c r="F1014" s="318" t="s">
        <v>395</v>
      </c>
      <c r="G1014" s="318" t="s">
        <v>395</v>
      </c>
      <c r="H1014" s="318" t="s">
        <v>395</v>
      </c>
      <c r="I1014" s="318" t="s">
        <v>406</v>
      </c>
      <c r="J1014" s="318">
        <v>98</v>
      </c>
      <c r="K1014" s="317" t="s">
        <v>410</v>
      </c>
      <c r="L1014" s="317">
        <v>47.66366</v>
      </c>
      <c r="M1014" s="317">
        <v>39.906950000000002</v>
      </c>
    </row>
    <row r="1015" spans="1:13" ht="30" hidden="1" x14ac:dyDescent="0.25">
      <c r="A1015" s="313">
        <f t="shared" si="15"/>
        <v>1014</v>
      </c>
      <c r="B1015" s="314" t="s">
        <v>835</v>
      </c>
      <c r="C1015" s="315" t="s">
        <v>399</v>
      </c>
      <c r="D1015" s="316" t="s">
        <v>836</v>
      </c>
      <c r="E1015" s="318">
        <v>1.98</v>
      </c>
      <c r="F1015" s="318" t="s">
        <v>395</v>
      </c>
      <c r="G1015" s="318" t="s">
        <v>395</v>
      </c>
      <c r="H1015" s="318" t="s">
        <v>395</v>
      </c>
      <c r="I1015" s="318" t="s">
        <v>406</v>
      </c>
      <c r="J1015" s="318">
        <v>49</v>
      </c>
      <c r="K1015" s="317" t="s">
        <v>410</v>
      </c>
      <c r="L1015" s="317">
        <v>47.46698</v>
      </c>
      <c r="M1015" s="317">
        <v>40.062100000000001</v>
      </c>
    </row>
    <row r="1016" spans="1:13" hidden="1" x14ac:dyDescent="0.25">
      <c r="A1016" s="313">
        <f t="shared" si="15"/>
        <v>1015</v>
      </c>
      <c r="B1016" s="314" t="s">
        <v>837</v>
      </c>
      <c r="C1016" s="315" t="s">
        <v>402</v>
      </c>
      <c r="D1016" s="316" t="s">
        <v>838</v>
      </c>
      <c r="E1016" s="318">
        <v>1.1399999999999999</v>
      </c>
      <c r="F1016" s="318" t="s">
        <v>395</v>
      </c>
      <c r="G1016" s="318" t="s">
        <v>395</v>
      </c>
      <c r="H1016" s="318" t="s">
        <v>395</v>
      </c>
      <c r="I1016" s="318" t="s">
        <v>406</v>
      </c>
      <c r="J1016" s="318">
        <v>7</v>
      </c>
      <c r="K1016" s="317" t="s">
        <v>410</v>
      </c>
      <c r="L1016" s="317">
        <v>47.209530000000001</v>
      </c>
      <c r="M1016" s="317">
        <v>39.73751</v>
      </c>
    </row>
    <row r="1017" spans="1:13" ht="45" hidden="1" x14ac:dyDescent="0.25">
      <c r="A1017" s="313">
        <f t="shared" si="15"/>
        <v>1016</v>
      </c>
      <c r="B1017" s="314" t="s">
        <v>841</v>
      </c>
      <c r="C1017" s="315" t="s">
        <v>582</v>
      </c>
      <c r="D1017" s="316" t="s">
        <v>842</v>
      </c>
      <c r="E1017" s="318">
        <v>3.12</v>
      </c>
      <c r="F1017" s="318" t="s">
        <v>395</v>
      </c>
      <c r="G1017" s="318" t="s">
        <v>395</v>
      </c>
      <c r="H1017" s="318" t="s">
        <v>395</v>
      </c>
      <c r="I1017" s="318" t="s">
        <v>406</v>
      </c>
      <c r="J1017" s="318">
        <v>106</v>
      </c>
      <c r="K1017" s="317" t="s">
        <v>410</v>
      </c>
      <c r="L1017" s="317">
        <v>47.345039999999997</v>
      </c>
      <c r="M1017" s="317">
        <v>40.710940000000001</v>
      </c>
    </row>
    <row r="1018" spans="1:13" ht="30" hidden="1" x14ac:dyDescent="0.25">
      <c r="A1018" s="313">
        <f t="shared" si="15"/>
        <v>1017</v>
      </c>
      <c r="B1018" s="314" t="s">
        <v>843</v>
      </c>
      <c r="C1018" s="315" t="s">
        <v>637</v>
      </c>
      <c r="D1018" s="316" t="s">
        <v>844</v>
      </c>
      <c r="E1018" s="318">
        <v>3.32</v>
      </c>
      <c r="F1018" s="318" t="s">
        <v>395</v>
      </c>
      <c r="G1018" s="318" t="s">
        <v>395</v>
      </c>
      <c r="H1018" s="318" t="s">
        <v>395</v>
      </c>
      <c r="I1018" s="318" t="s">
        <v>406</v>
      </c>
      <c r="J1018" s="318">
        <v>116</v>
      </c>
      <c r="K1018" s="317" t="s">
        <v>410</v>
      </c>
      <c r="L1018" s="317">
        <v>47.437489999999997</v>
      </c>
      <c r="M1018" s="317">
        <v>40.784990000000001</v>
      </c>
    </row>
    <row r="1019" spans="1:13" ht="38.25" hidden="1" x14ac:dyDescent="0.25">
      <c r="A1019" s="313">
        <f t="shared" si="15"/>
        <v>1018</v>
      </c>
      <c r="B1019" s="314" t="s">
        <v>845</v>
      </c>
      <c r="C1019" s="315" t="s">
        <v>637</v>
      </c>
      <c r="D1019" s="316" t="s">
        <v>846</v>
      </c>
      <c r="E1019" s="318">
        <v>1.84</v>
      </c>
      <c r="F1019" s="318" t="s">
        <v>395</v>
      </c>
      <c r="G1019" s="318" t="s">
        <v>395</v>
      </c>
      <c r="H1019" s="318" t="s">
        <v>395</v>
      </c>
      <c r="I1019" s="318" t="s">
        <v>406</v>
      </c>
      <c r="J1019" s="318">
        <v>42</v>
      </c>
      <c r="K1019" s="317" t="s">
        <v>410</v>
      </c>
      <c r="L1019" s="317">
        <v>47.03342</v>
      </c>
      <c r="M1019" s="317">
        <v>39.977060000000002</v>
      </c>
    </row>
    <row r="1020" spans="1:13" ht="30" hidden="1" x14ac:dyDescent="0.25">
      <c r="A1020" s="313">
        <f t="shared" si="15"/>
        <v>1019</v>
      </c>
      <c r="B1020" s="314" t="s">
        <v>850</v>
      </c>
      <c r="C1020" s="315" t="s">
        <v>637</v>
      </c>
      <c r="D1020" s="316" t="s">
        <v>851</v>
      </c>
      <c r="E1020" s="318">
        <v>3.82</v>
      </c>
      <c r="F1020" s="318" t="s">
        <v>395</v>
      </c>
      <c r="G1020" s="318" t="s">
        <v>395</v>
      </c>
      <c r="H1020" s="318" t="s">
        <v>395</v>
      </c>
      <c r="I1020" s="318" t="s">
        <v>406</v>
      </c>
      <c r="J1020" s="318">
        <v>141</v>
      </c>
      <c r="K1020" s="317" t="s">
        <v>410</v>
      </c>
      <c r="L1020" s="317">
        <v>47.64011</v>
      </c>
      <c r="M1020" s="317">
        <v>40.706949999999999</v>
      </c>
    </row>
    <row r="1021" spans="1:13" ht="30" hidden="1" x14ac:dyDescent="0.25">
      <c r="A1021" s="313">
        <f t="shared" si="15"/>
        <v>1020</v>
      </c>
      <c r="B1021" s="314" t="s">
        <v>852</v>
      </c>
      <c r="C1021" s="315" t="s">
        <v>637</v>
      </c>
      <c r="D1021" s="316" t="s">
        <v>853</v>
      </c>
      <c r="E1021" s="318">
        <v>2.56</v>
      </c>
      <c r="F1021" s="318" t="s">
        <v>395</v>
      </c>
      <c r="G1021" s="318" t="s">
        <v>395</v>
      </c>
      <c r="H1021" s="318" t="s">
        <v>395</v>
      </c>
      <c r="I1021" s="318" t="s">
        <v>406</v>
      </c>
      <c r="J1021" s="318">
        <v>78</v>
      </c>
      <c r="K1021" s="317" t="s">
        <v>410</v>
      </c>
      <c r="L1021" s="317">
        <v>47.655099999999997</v>
      </c>
      <c r="M1021" s="317">
        <v>40.081899999999997</v>
      </c>
    </row>
    <row r="1022" spans="1:13" ht="30" hidden="1" x14ac:dyDescent="0.25">
      <c r="A1022" s="313">
        <f t="shared" si="15"/>
        <v>1021</v>
      </c>
      <c r="B1022" s="314" t="s">
        <v>854</v>
      </c>
      <c r="C1022" s="315" t="s">
        <v>637</v>
      </c>
      <c r="D1022" s="316" t="s">
        <v>855</v>
      </c>
      <c r="E1022" s="318">
        <v>3.64</v>
      </c>
      <c r="F1022" s="318" t="s">
        <v>395</v>
      </c>
      <c r="G1022" s="318" t="s">
        <v>395</v>
      </c>
      <c r="H1022" s="318" t="s">
        <v>395</v>
      </c>
      <c r="I1022" s="318" t="s">
        <v>406</v>
      </c>
      <c r="J1022" s="318">
        <v>132</v>
      </c>
      <c r="K1022" s="317" t="s">
        <v>410</v>
      </c>
      <c r="L1022" s="317">
        <v>47.592709999999997</v>
      </c>
      <c r="M1022" s="317">
        <v>40.694540000000003</v>
      </c>
    </row>
    <row r="1023" spans="1:13" ht="30" hidden="1" x14ac:dyDescent="0.25">
      <c r="A1023" s="313">
        <f t="shared" si="15"/>
        <v>1022</v>
      </c>
      <c r="B1023" s="314" t="s">
        <v>858</v>
      </c>
      <c r="C1023" s="315" t="s">
        <v>637</v>
      </c>
      <c r="D1023" s="316" t="s">
        <v>859</v>
      </c>
      <c r="E1023" s="318">
        <v>3.08</v>
      </c>
      <c r="F1023" s="318" t="s">
        <v>395</v>
      </c>
      <c r="G1023" s="318" t="s">
        <v>395</v>
      </c>
      <c r="H1023" s="318" t="s">
        <v>395</v>
      </c>
      <c r="I1023" s="318" t="s">
        <v>406</v>
      </c>
      <c r="J1023" s="318">
        <v>104</v>
      </c>
      <c r="K1023" s="317" t="s">
        <v>410</v>
      </c>
      <c r="L1023" s="317">
        <v>46.653280000000002</v>
      </c>
      <c r="M1023" s="317">
        <v>38.970660000000002</v>
      </c>
    </row>
    <row r="1024" spans="1:13" ht="30" hidden="1" x14ac:dyDescent="0.25">
      <c r="A1024" s="313">
        <f t="shared" si="15"/>
        <v>1023</v>
      </c>
      <c r="B1024" s="314" t="s">
        <v>860</v>
      </c>
      <c r="C1024" s="315" t="s">
        <v>637</v>
      </c>
      <c r="D1024" s="316" t="s">
        <v>861</v>
      </c>
      <c r="E1024" s="318">
        <v>2.68</v>
      </c>
      <c r="F1024" s="318" t="s">
        <v>395</v>
      </c>
      <c r="G1024" s="318" t="s">
        <v>395</v>
      </c>
      <c r="H1024" s="318" t="s">
        <v>395</v>
      </c>
      <c r="I1024" s="318" t="s">
        <v>406</v>
      </c>
      <c r="J1024" s="318">
        <v>84</v>
      </c>
      <c r="K1024" s="317" t="s">
        <v>410</v>
      </c>
      <c r="L1024" s="317">
        <v>47.776139999999998</v>
      </c>
      <c r="M1024" s="317">
        <v>40.011600000000001</v>
      </c>
    </row>
    <row r="1025" spans="1:13" ht="75" hidden="1" x14ac:dyDescent="0.25">
      <c r="A1025" s="313">
        <f t="shared" si="15"/>
        <v>1024</v>
      </c>
      <c r="B1025" s="314" t="s">
        <v>862</v>
      </c>
      <c r="C1025" s="315" t="s">
        <v>428</v>
      </c>
      <c r="D1025" s="316" t="s">
        <v>863</v>
      </c>
      <c r="E1025" s="318">
        <v>2.84</v>
      </c>
      <c r="F1025" s="318" t="s">
        <v>395</v>
      </c>
      <c r="G1025" s="318" t="s">
        <v>395</v>
      </c>
      <c r="H1025" s="318" t="s">
        <v>395</v>
      </c>
      <c r="I1025" s="318" t="s">
        <v>406</v>
      </c>
      <c r="J1025" s="318">
        <v>92</v>
      </c>
      <c r="K1025" s="317" t="s">
        <v>410</v>
      </c>
      <c r="L1025" s="317">
        <v>47.824829999999999</v>
      </c>
      <c r="M1025" s="317">
        <v>39.994019999999999</v>
      </c>
    </row>
    <row r="1026" spans="1:13" ht="30" hidden="1" x14ac:dyDescent="0.25">
      <c r="A1026" s="313">
        <f t="shared" si="15"/>
        <v>1025</v>
      </c>
      <c r="B1026" s="314" t="s">
        <v>866</v>
      </c>
      <c r="C1026" s="315" t="s">
        <v>503</v>
      </c>
      <c r="D1026" s="316" t="s">
        <v>867</v>
      </c>
      <c r="E1026" s="318">
        <v>1.1000000000000001</v>
      </c>
      <c r="F1026" s="318" t="s">
        <v>395</v>
      </c>
      <c r="G1026" s="318" t="s">
        <v>395</v>
      </c>
      <c r="H1026" s="318" t="s">
        <v>395</v>
      </c>
      <c r="I1026" s="318" t="s">
        <v>406</v>
      </c>
      <c r="J1026" s="318">
        <v>5</v>
      </c>
      <c r="K1026" s="317" t="s">
        <v>410</v>
      </c>
      <c r="L1026" s="317">
        <v>47.234369999999998</v>
      </c>
      <c r="M1026" s="317">
        <v>39.749600000000001</v>
      </c>
    </row>
    <row r="1027" spans="1:13" ht="30" hidden="1" x14ac:dyDescent="0.25">
      <c r="A1027" s="313">
        <f t="shared" si="15"/>
        <v>1026</v>
      </c>
      <c r="B1027" s="314" t="s">
        <v>868</v>
      </c>
      <c r="C1027" s="315" t="s">
        <v>503</v>
      </c>
      <c r="D1027" s="316" t="s">
        <v>869</v>
      </c>
      <c r="E1027" s="318">
        <v>3</v>
      </c>
      <c r="F1027" s="318" t="s">
        <v>395</v>
      </c>
      <c r="G1027" s="318" t="s">
        <v>395</v>
      </c>
      <c r="H1027" s="318" t="s">
        <v>395</v>
      </c>
      <c r="I1027" s="318" t="s">
        <v>406</v>
      </c>
      <c r="J1027" s="318">
        <v>100</v>
      </c>
      <c r="K1027" s="317" t="s">
        <v>410</v>
      </c>
      <c r="L1027" s="317">
        <v>47.895330000000001</v>
      </c>
      <c r="M1027" s="317">
        <v>40.056440000000002</v>
      </c>
    </row>
    <row r="1028" spans="1:13" ht="45" hidden="1" x14ac:dyDescent="0.25">
      <c r="A1028" s="313">
        <f t="shared" ref="A1028:A1091" si="16">A1027+1</f>
        <v>1027</v>
      </c>
      <c r="B1028" s="314" t="s">
        <v>870</v>
      </c>
      <c r="C1028" s="315" t="s">
        <v>582</v>
      </c>
      <c r="D1028" s="316" t="s">
        <v>871</v>
      </c>
      <c r="E1028" s="318">
        <v>2.86</v>
      </c>
      <c r="F1028" s="318" t="s">
        <v>395</v>
      </c>
      <c r="G1028" s="318" t="s">
        <v>395</v>
      </c>
      <c r="H1028" s="318" t="s">
        <v>395</v>
      </c>
      <c r="I1028" s="318" t="s">
        <v>406</v>
      </c>
      <c r="J1028" s="318">
        <v>93</v>
      </c>
      <c r="K1028" s="317" t="s">
        <v>410</v>
      </c>
      <c r="L1028" s="317">
        <v>46.753660000000004</v>
      </c>
      <c r="M1028" s="317">
        <v>39.135770000000001</v>
      </c>
    </row>
    <row r="1029" spans="1:13" ht="45" hidden="1" x14ac:dyDescent="0.25">
      <c r="A1029" s="313">
        <f t="shared" si="16"/>
        <v>1028</v>
      </c>
      <c r="B1029" s="314" t="s">
        <v>874</v>
      </c>
      <c r="C1029" s="315" t="s">
        <v>412</v>
      </c>
      <c r="D1029" s="316" t="s">
        <v>875</v>
      </c>
      <c r="E1029" s="318">
        <v>1.34</v>
      </c>
      <c r="F1029" s="318" t="s">
        <v>395</v>
      </c>
      <c r="G1029" s="318" t="s">
        <v>395</v>
      </c>
      <c r="H1029" s="318" t="s">
        <v>395</v>
      </c>
      <c r="I1029" s="318" t="s">
        <v>406</v>
      </c>
      <c r="J1029" s="318">
        <v>17</v>
      </c>
      <c r="K1029" s="317" t="s">
        <v>410</v>
      </c>
      <c r="L1029" s="317">
        <v>47.148580000000003</v>
      </c>
      <c r="M1029" s="317">
        <v>39.708390000000001</v>
      </c>
    </row>
    <row r="1030" spans="1:13" ht="45" hidden="1" x14ac:dyDescent="0.25">
      <c r="A1030" s="313">
        <f t="shared" si="16"/>
        <v>1029</v>
      </c>
      <c r="B1030" s="314" t="s">
        <v>876</v>
      </c>
      <c r="C1030" s="315" t="s">
        <v>412</v>
      </c>
      <c r="D1030" s="316" t="s">
        <v>877</v>
      </c>
      <c r="E1030" s="318">
        <v>2.2000000000000002</v>
      </c>
      <c r="F1030" s="318" t="s">
        <v>395</v>
      </c>
      <c r="G1030" s="318" t="s">
        <v>395</v>
      </c>
      <c r="H1030" s="318" t="s">
        <v>395</v>
      </c>
      <c r="I1030" s="318" t="s">
        <v>406</v>
      </c>
      <c r="J1030" s="318">
        <v>60</v>
      </c>
      <c r="K1030" s="317" t="s">
        <v>410</v>
      </c>
      <c r="L1030" s="317">
        <v>47.556809999999999</v>
      </c>
      <c r="M1030" s="317">
        <v>40.116630000000001</v>
      </c>
    </row>
    <row r="1031" spans="1:13" ht="60" hidden="1" x14ac:dyDescent="0.25">
      <c r="A1031" s="313">
        <f t="shared" si="16"/>
        <v>1030</v>
      </c>
      <c r="B1031" s="314" t="s">
        <v>878</v>
      </c>
      <c r="C1031" s="315" t="s">
        <v>447</v>
      </c>
      <c r="D1031" s="316" t="s">
        <v>879</v>
      </c>
      <c r="E1031" s="318">
        <v>1.32</v>
      </c>
      <c r="F1031" s="318" t="s">
        <v>395</v>
      </c>
      <c r="G1031" s="318" t="s">
        <v>395</v>
      </c>
      <c r="H1031" s="318" t="s">
        <v>395</v>
      </c>
      <c r="I1031" s="318" t="s">
        <v>406</v>
      </c>
      <c r="J1031" s="318">
        <v>16</v>
      </c>
      <c r="K1031" s="317" t="s">
        <v>410</v>
      </c>
      <c r="L1031" s="317">
        <v>47.316249999999997</v>
      </c>
      <c r="M1031" s="317">
        <v>39.745609999999999</v>
      </c>
    </row>
    <row r="1032" spans="1:13" ht="30" hidden="1" x14ac:dyDescent="0.25">
      <c r="A1032" s="313">
        <f t="shared" si="16"/>
        <v>1031</v>
      </c>
      <c r="B1032" s="314" t="s">
        <v>882</v>
      </c>
      <c r="C1032" s="315" t="s">
        <v>503</v>
      </c>
      <c r="D1032" s="316" t="s">
        <v>883</v>
      </c>
      <c r="E1032" s="318">
        <v>1.54</v>
      </c>
      <c r="F1032" s="318" t="s">
        <v>395</v>
      </c>
      <c r="G1032" s="318" t="s">
        <v>395</v>
      </c>
      <c r="H1032" s="318" t="s">
        <v>395</v>
      </c>
      <c r="I1032" s="318" t="s">
        <v>406</v>
      </c>
      <c r="J1032" s="318">
        <v>27</v>
      </c>
      <c r="K1032" s="317" t="s">
        <v>410</v>
      </c>
      <c r="L1032" s="317">
        <v>47.114440000000002</v>
      </c>
      <c r="M1032" s="317">
        <v>39.849440000000001</v>
      </c>
    </row>
    <row r="1033" spans="1:13" ht="25.5" hidden="1" x14ac:dyDescent="0.25">
      <c r="A1033" s="313">
        <f t="shared" si="16"/>
        <v>1032</v>
      </c>
      <c r="B1033" s="314" t="s">
        <v>884</v>
      </c>
      <c r="C1033" s="315" t="s">
        <v>848</v>
      </c>
      <c r="D1033" s="316" t="s">
        <v>885</v>
      </c>
      <c r="E1033" s="318">
        <v>1.02</v>
      </c>
      <c r="F1033" s="318" t="s">
        <v>395</v>
      </c>
      <c r="G1033" s="318" t="s">
        <v>395</v>
      </c>
      <c r="H1033" s="318" t="s">
        <v>395</v>
      </c>
      <c r="I1033" s="318" t="s">
        <v>406</v>
      </c>
      <c r="J1033" s="318">
        <v>1</v>
      </c>
      <c r="K1033" s="317" t="s">
        <v>410</v>
      </c>
      <c r="L1033" s="317">
        <v>47.219119999999997</v>
      </c>
      <c r="M1033" s="317">
        <v>39.706960000000002</v>
      </c>
    </row>
    <row r="1034" spans="1:13" ht="25.5" hidden="1" x14ac:dyDescent="0.25">
      <c r="A1034" s="313">
        <f t="shared" si="16"/>
        <v>1033</v>
      </c>
      <c r="B1034" s="314" t="s">
        <v>886</v>
      </c>
      <c r="C1034" s="315" t="s">
        <v>848</v>
      </c>
      <c r="D1034" s="316" t="s">
        <v>888</v>
      </c>
      <c r="E1034" s="318">
        <v>1.1000000000000001</v>
      </c>
      <c r="F1034" s="318" t="s">
        <v>395</v>
      </c>
      <c r="G1034" s="318" t="s">
        <v>395</v>
      </c>
      <c r="H1034" s="318" t="s">
        <v>395</v>
      </c>
      <c r="I1034" s="318" t="s">
        <v>406</v>
      </c>
      <c r="J1034" s="318">
        <v>5</v>
      </c>
      <c r="K1034" s="317" t="s">
        <v>410</v>
      </c>
      <c r="L1034" s="317">
        <v>47.239899999999999</v>
      </c>
      <c r="M1034" s="317">
        <v>39.736640000000001</v>
      </c>
    </row>
    <row r="1035" spans="1:13" ht="60" hidden="1" x14ac:dyDescent="0.25">
      <c r="A1035" s="313">
        <f t="shared" si="16"/>
        <v>1034</v>
      </c>
      <c r="B1035" s="314" t="s">
        <v>890</v>
      </c>
      <c r="C1035" s="315" t="s">
        <v>447</v>
      </c>
      <c r="D1035" s="316" t="s">
        <v>891</v>
      </c>
      <c r="E1035" s="318">
        <v>1.22</v>
      </c>
      <c r="F1035" s="318" t="s">
        <v>395</v>
      </c>
      <c r="G1035" s="318" t="s">
        <v>395</v>
      </c>
      <c r="H1035" s="318" t="s">
        <v>395</v>
      </c>
      <c r="I1035" s="318" t="s">
        <v>406</v>
      </c>
      <c r="J1035" s="318">
        <v>11</v>
      </c>
      <c r="K1035" s="317" t="s">
        <v>410</v>
      </c>
      <c r="L1035" s="317">
        <v>47.263559999999998</v>
      </c>
      <c r="M1035" s="317">
        <v>39.78331</v>
      </c>
    </row>
    <row r="1036" spans="1:13" ht="60" hidden="1" x14ac:dyDescent="0.25">
      <c r="A1036" s="313">
        <f t="shared" si="16"/>
        <v>1035</v>
      </c>
      <c r="B1036" s="314" t="s">
        <v>892</v>
      </c>
      <c r="C1036" s="315" t="s">
        <v>447</v>
      </c>
      <c r="D1036" s="316" t="s">
        <v>893</v>
      </c>
      <c r="E1036" s="318">
        <v>1.26</v>
      </c>
      <c r="F1036" s="318" t="s">
        <v>395</v>
      </c>
      <c r="G1036" s="318" t="s">
        <v>395</v>
      </c>
      <c r="H1036" s="318" t="s">
        <v>395</v>
      </c>
      <c r="I1036" s="318" t="s">
        <v>406</v>
      </c>
      <c r="J1036" s="318">
        <v>13</v>
      </c>
      <c r="K1036" s="317" t="s">
        <v>410</v>
      </c>
      <c r="L1036" s="317">
        <v>47.272730000000003</v>
      </c>
      <c r="M1036" s="317">
        <v>39.803930000000001</v>
      </c>
    </row>
    <row r="1037" spans="1:13" ht="45" hidden="1" x14ac:dyDescent="0.25">
      <c r="A1037" s="313">
        <f t="shared" si="16"/>
        <v>1036</v>
      </c>
      <c r="B1037" s="314" t="s">
        <v>894</v>
      </c>
      <c r="C1037" s="315" t="s">
        <v>582</v>
      </c>
      <c r="D1037" s="316" t="s">
        <v>895</v>
      </c>
      <c r="E1037" s="318">
        <v>2.1</v>
      </c>
      <c r="F1037" s="318" t="s">
        <v>395</v>
      </c>
      <c r="G1037" s="318" t="s">
        <v>395</v>
      </c>
      <c r="H1037" s="318" t="s">
        <v>395</v>
      </c>
      <c r="I1037" s="318" t="s">
        <v>406</v>
      </c>
      <c r="J1037" s="318">
        <v>55</v>
      </c>
      <c r="K1037" s="317" t="s">
        <v>410</v>
      </c>
      <c r="L1037" s="317">
        <v>46.814369999999997</v>
      </c>
      <c r="M1037" s="317">
        <v>39.629480000000001</v>
      </c>
    </row>
    <row r="1038" spans="1:13" ht="45" hidden="1" x14ac:dyDescent="0.25">
      <c r="A1038" s="313">
        <f t="shared" si="16"/>
        <v>1037</v>
      </c>
      <c r="B1038" s="314" t="s">
        <v>898</v>
      </c>
      <c r="C1038" s="315" t="s">
        <v>412</v>
      </c>
      <c r="D1038" s="316" t="s">
        <v>899</v>
      </c>
      <c r="E1038" s="318">
        <v>1.82</v>
      </c>
      <c r="F1038" s="318" t="s">
        <v>395</v>
      </c>
      <c r="G1038" s="318" t="s">
        <v>395</v>
      </c>
      <c r="H1038" s="318" t="s">
        <v>395</v>
      </c>
      <c r="I1038" s="318" t="s">
        <v>406</v>
      </c>
      <c r="J1038" s="318">
        <v>41</v>
      </c>
      <c r="K1038" s="317" t="s">
        <v>410</v>
      </c>
      <c r="L1038" s="317">
        <v>47.416670000000003</v>
      </c>
      <c r="M1038" s="317">
        <v>40.065559999999998</v>
      </c>
    </row>
    <row r="1039" spans="1:13" ht="45" hidden="1" x14ac:dyDescent="0.25">
      <c r="A1039" s="313">
        <f t="shared" si="16"/>
        <v>1038</v>
      </c>
      <c r="B1039" s="314" t="s">
        <v>900</v>
      </c>
      <c r="C1039" s="315" t="s">
        <v>412</v>
      </c>
      <c r="D1039" s="316" t="s">
        <v>901</v>
      </c>
      <c r="E1039" s="318">
        <v>2.78</v>
      </c>
      <c r="F1039" s="318" t="s">
        <v>395</v>
      </c>
      <c r="G1039" s="318" t="s">
        <v>395</v>
      </c>
      <c r="H1039" s="318" t="s">
        <v>395</v>
      </c>
      <c r="I1039" s="318" t="s">
        <v>406</v>
      </c>
      <c r="J1039" s="318">
        <v>89</v>
      </c>
      <c r="K1039" s="317" t="s">
        <v>410</v>
      </c>
      <c r="L1039" s="317">
        <v>46.776420000000002</v>
      </c>
      <c r="M1039" s="317">
        <v>39.02216</v>
      </c>
    </row>
    <row r="1040" spans="1:13" ht="30" hidden="1" x14ac:dyDescent="0.25">
      <c r="A1040" s="313">
        <f t="shared" si="16"/>
        <v>1039</v>
      </c>
      <c r="B1040" s="314" t="s">
        <v>902</v>
      </c>
      <c r="C1040" s="315" t="s">
        <v>503</v>
      </c>
      <c r="D1040" s="316" t="s">
        <v>904</v>
      </c>
      <c r="E1040" s="318">
        <v>1.28</v>
      </c>
      <c r="F1040" s="318" t="s">
        <v>395</v>
      </c>
      <c r="G1040" s="318" t="s">
        <v>395</v>
      </c>
      <c r="H1040" s="318" t="s">
        <v>395</v>
      </c>
      <c r="I1040" s="318" t="s">
        <v>406</v>
      </c>
      <c r="J1040" s="318">
        <v>14</v>
      </c>
      <c r="K1040" s="317" t="s">
        <v>410</v>
      </c>
      <c r="L1040" s="317">
        <v>47.13167</v>
      </c>
      <c r="M1040" s="317">
        <v>39.721989999999998</v>
      </c>
    </row>
    <row r="1041" spans="1:13" ht="45" hidden="1" x14ac:dyDescent="0.25">
      <c r="A1041" s="313">
        <f t="shared" si="16"/>
        <v>1040</v>
      </c>
      <c r="B1041" s="314" t="s">
        <v>906</v>
      </c>
      <c r="C1041" s="315" t="s">
        <v>412</v>
      </c>
      <c r="D1041" s="316" t="s">
        <v>907</v>
      </c>
      <c r="E1041" s="318">
        <v>2.82</v>
      </c>
      <c r="F1041" s="318" t="s">
        <v>395</v>
      </c>
      <c r="G1041" s="318" t="s">
        <v>395</v>
      </c>
      <c r="H1041" s="318" t="s">
        <v>395</v>
      </c>
      <c r="I1041" s="318" t="s">
        <v>406</v>
      </c>
      <c r="J1041" s="318">
        <v>91</v>
      </c>
      <c r="K1041" s="317" t="s">
        <v>410</v>
      </c>
      <c r="L1041" s="317">
        <v>47.827779999999997</v>
      </c>
      <c r="M1041" s="317">
        <v>39.910829999999997</v>
      </c>
    </row>
    <row r="1042" spans="1:13" ht="25.5" hidden="1" x14ac:dyDescent="0.25">
      <c r="A1042" s="313">
        <f t="shared" si="16"/>
        <v>1041</v>
      </c>
      <c r="B1042" s="314" t="s">
        <v>908</v>
      </c>
      <c r="C1042" s="315" t="s">
        <v>848</v>
      </c>
      <c r="D1042" s="316" t="s">
        <v>909</v>
      </c>
      <c r="E1042" s="318">
        <v>2.64</v>
      </c>
      <c r="F1042" s="318" t="s">
        <v>395</v>
      </c>
      <c r="G1042" s="318" t="s">
        <v>395</v>
      </c>
      <c r="H1042" s="318" t="s">
        <v>395</v>
      </c>
      <c r="I1042" s="318" t="s">
        <v>406</v>
      </c>
      <c r="J1042" s="318">
        <v>82</v>
      </c>
      <c r="K1042" s="317" t="s">
        <v>410</v>
      </c>
      <c r="L1042" s="317">
        <v>47.788429999999998</v>
      </c>
      <c r="M1042" s="317">
        <v>40.157240000000002</v>
      </c>
    </row>
    <row r="1043" spans="1:13" ht="25.5" hidden="1" x14ac:dyDescent="0.25">
      <c r="A1043" s="313">
        <f t="shared" si="16"/>
        <v>1042</v>
      </c>
      <c r="B1043" s="314" t="s">
        <v>910</v>
      </c>
      <c r="C1043" s="315" t="s">
        <v>848</v>
      </c>
      <c r="D1043" s="316" t="s">
        <v>912</v>
      </c>
      <c r="E1043" s="318">
        <v>1.06</v>
      </c>
      <c r="F1043" s="318" t="s">
        <v>395</v>
      </c>
      <c r="G1043" s="318" t="s">
        <v>395</v>
      </c>
      <c r="H1043" s="318" t="s">
        <v>395</v>
      </c>
      <c r="I1043" s="318" t="s">
        <v>406</v>
      </c>
      <c r="J1043" s="318">
        <v>3</v>
      </c>
      <c r="K1043" s="317" t="s">
        <v>410</v>
      </c>
      <c r="L1043" s="317">
        <v>47.22072</v>
      </c>
      <c r="M1043" s="317">
        <v>39.718800000000002</v>
      </c>
    </row>
    <row r="1044" spans="1:13" ht="45" hidden="1" x14ac:dyDescent="0.25">
      <c r="A1044" s="313">
        <f t="shared" si="16"/>
        <v>1043</v>
      </c>
      <c r="B1044" s="314" t="s">
        <v>914</v>
      </c>
      <c r="C1044" s="315" t="s">
        <v>412</v>
      </c>
      <c r="D1044" s="316" t="s">
        <v>915</v>
      </c>
      <c r="E1044" s="318">
        <v>1.18</v>
      </c>
      <c r="F1044" s="318" t="s">
        <v>395</v>
      </c>
      <c r="G1044" s="318" t="s">
        <v>395</v>
      </c>
      <c r="H1044" s="318" t="s">
        <v>395</v>
      </c>
      <c r="I1044" s="318" t="s">
        <v>406</v>
      </c>
      <c r="J1044" s="318">
        <v>9</v>
      </c>
      <c r="K1044" s="317" t="s">
        <v>410</v>
      </c>
      <c r="L1044" s="317">
        <v>47.201329999999999</v>
      </c>
      <c r="M1044" s="317">
        <v>39.780810000000002</v>
      </c>
    </row>
    <row r="1045" spans="1:13" ht="30" hidden="1" x14ac:dyDescent="0.25">
      <c r="A1045" s="313">
        <f t="shared" si="16"/>
        <v>1044</v>
      </c>
      <c r="B1045" s="314" t="s">
        <v>916</v>
      </c>
      <c r="C1045" s="315" t="s">
        <v>399</v>
      </c>
      <c r="D1045" s="316" t="s">
        <v>917</v>
      </c>
      <c r="E1045" s="318">
        <v>1.38</v>
      </c>
      <c r="F1045" s="318" t="s">
        <v>395</v>
      </c>
      <c r="G1045" s="318" t="s">
        <v>395</v>
      </c>
      <c r="H1045" s="318" t="s">
        <v>395</v>
      </c>
      <c r="I1045" s="318" t="s">
        <v>406</v>
      </c>
      <c r="J1045" s="318">
        <v>19</v>
      </c>
      <c r="K1045" s="317" t="s">
        <v>410</v>
      </c>
      <c r="L1045" s="317">
        <v>47.326540000000001</v>
      </c>
      <c r="M1045" s="317">
        <v>39.787599999999998</v>
      </c>
    </row>
    <row r="1046" spans="1:13" ht="45" hidden="1" x14ac:dyDescent="0.25">
      <c r="A1046" s="313">
        <f t="shared" si="16"/>
        <v>1045</v>
      </c>
      <c r="B1046" s="314" t="s">
        <v>918</v>
      </c>
      <c r="C1046" s="315" t="s">
        <v>412</v>
      </c>
      <c r="D1046" s="316" t="s">
        <v>920</v>
      </c>
      <c r="E1046" s="318">
        <v>3.2</v>
      </c>
      <c r="F1046" s="318" t="s">
        <v>395</v>
      </c>
      <c r="G1046" s="318" t="s">
        <v>395</v>
      </c>
      <c r="H1046" s="318" t="s">
        <v>395</v>
      </c>
      <c r="I1046" s="318" t="s">
        <v>406</v>
      </c>
      <c r="J1046" s="318">
        <v>110</v>
      </c>
      <c r="K1046" s="317" t="s">
        <v>410</v>
      </c>
      <c r="L1046" s="317">
        <v>47.972470000000001</v>
      </c>
      <c r="M1046" s="317">
        <v>40.215899999999998</v>
      </c>
    </row>
    <row r="1047" spans="1:13" ht="30" hidden="1" x14ac:dyDescent="0.25">
      <c r="A1047" s="313">
        <f t="shared" si="16"/>
        <v>1046</v>
      </c>
      <c r="B1047" s="314" t="s">
        <v>922</v>
      </c>
      <c r="C1047" s="315" t="s">
        <v>399</v>
      </c>
      <c r="D1047" s="316" t="s">
        <v>923</v>
      </c>
      <c r="E1047" s="318">
        <v>1.96</v>
      </c>
      <c r="F1047" s="318" t="s">
        <v>395</v>
      </c>
      <c r="G1047" s="318" t="s">
        <v>395</v>
      </c>
      <c r="H1047" s="318" t="s">
        <v>395</v>
      </c>
      <c r="I1047" s="318" t="s">
        <v>406</v>
      </c>
      <c r="J1047" s="318">
        <v>48</v>
      </c>
      <c r="K1047" s="317" t="s">
        <v>410</v>
      </c>
      <c r="L1047" s="317">
        <v>46.97777</v>
      </c>
      <c r="M1047" s="317">
        <v>40.037469999999999</v>
      </c>
    </row>
    <row r="1048" spans="1:13" ht="45" hidden="1" x14ac:dyDescent="0.25">
      <c r="A1048" s="313">
        <f t="shared" si="16"/>
        <v>1047</v>
      </c>
      <c r="B1048" s="314" t="s">
        <v>924</v>
      </c>
      <c r="C1048" s="315" t="s">
        <v>412</v>
      </c>
      <c r="D1048" s="316" t="s">
        <v>925</v>
      </c>
      <c r="E1048" s="318">
        <v>1.88</v>
      </c>
      <c r="F1048" s="318" t="s">
        <v>395</v>
      </c>
      <c r="G1048" s="318" t="s">
        <v>395</v>
      </c>
      <c r="H1048" s="318" t="s">
        <v>395</v>
      </c>
      <c r="I1048" s="318" t="s">
        <v>406</v>
      </c>
      <c r="J1048" s="318">
        <v>44</v>
      </c>
      <c r="K1048" s="317" t="s">
        <v>410</v>
      </c>
      <c r="L1048" s="317">
        <v>47.425699999999999</v>
      </c>
      <c r="M1048" s="317">
        <v>39.972900000000003</v>
      </c>
    </row>
    <row r="1049" spans="1:13" ht="75" hidden="1" x14ac:dyDescent="0.25">
      <c r="A1049" s="313">
        <f t="shared" si="16"/>
        <v>1048</v>
      </c>
      <c r="B1049" s="314" t="s">
        <v>927</v>
      </c>
      <c r="C1049" s="315" t="s">
        <v>428</v>
      </c>
      <c r="D1049" s="316" t="s">
        <v>928</v>
      </c>
      <c r="E1049" s="318">
        <v>1.8</v>
      </c>
      <c r="F1049" s="318" t="s">
        <v>395</v>
      </c>
      <c r="G1049" s="318" t="s">
        <v>395</v>
      </c>
      <c r="H1049" s="318" t="s">
        <v>395</v>
      </c>
      <c r="I1049" s="318" t="s">
        <v>406</v>
      </c>
      <c r="J1049" s="318">
        <v>40</v>
      </c>
      <c r="K1049" s="317" t="s">
        <v>410</v>
      </c>
      <c r="L1049" s="317">
        <v>47.092590000000001</v>
      </c>
      <c r="M1049" s="317">
        <v>39.433129999999998</v>
      </c>
    </row>
    <row r="1050" spans="1:13" ht="30" hidden="1" x14ac:dyDescent="0.25">
      <c r="A1050" s="313">
        <f t="shared" si="16"/>
        <v>1049</v>
      </c>
      <c r="B1050" s="314" t="s">
        <v>930</v>
      </c>
      <c r="C1050" s="315" t="s">
        <v>503</v>
      </c>
      <c r="D1050" s="316" t="s">
        <v>931</v>
      </c>
      <c r="E1050" s="318">
        <v>2.2000000000000002</v>
      </c>
      <c r="F1050" s="318" t="s">
        <v>395</v>
      </c>
      <c r="G1050" s="318" t="s">
        <v>395</v>
      </c>
      <c r="H1050" s="318" t="s">
        <v>395</v>
      </c>
      <c r="I1050" s="318" t="s">
        <v>406</v>
      </c>
      <c r="J1050" s="318">
        <v>60</v>
      </c>
      <c r="K1050" s="317" t="s">
        <v>410</v>
      </c>
      <c r="L1050" s="317">
        <v>47.500430000000001</v>
      </c>
      <c r="M1050" s="317">
        <v>39.971080000000001</v>
      </c>
    </row>
    <row r="1051" spans="1:13" ht="30" hidden="1" x14ac:dyDescent="0.25">
      <c r="A1051" s="313">
        <f t="shared" si="16"/>
        <v>1050</v>
      </c>
      <c r="B1051" s="314" t="s">
        <v>932</v>
      </c>
      <c r="C1051" s="315" t="s">
        <v>399</v>
      </c>
      <c r="D1051" s="316" t="s">
        <v>933</v>
      </c>
      <c r="E1051" s="318">
        <v>1.22</v>
      </c>
      <c r="F1051" s="318" t="s">
        <v>395</v>
      </c>
      <c r="G1051" s="318" t="s">
        <v>395</v>
      </c>
      <c r="H1051" s="318" t="s">
        <v>395</v>
      </c>
      <c r="I1051" s="318" t="s">
        <v>406</v>
      </c>
      <c r="J1051" s="318">
        <v>11</v>
      </c>
      <c r="K1051" s="317" t="s">
        <v>410</v>
      </c>
      <c r="L1051" s="317">
        <v>47.298400000000001</v>
      </c>
      <c r="M1051" s="317">
        <v>39.711680000000001</v>
      </c>
    </row>
    <row r="1052" spans="1:13" ht="75" hidden="1" x14ac:dyDescent="0.25">
      <c r="A1052" s="313">
        <f t="shared" si="16"/>
        <v>1051</v>
      </c>
      <c r="B1052" s="314" t="s">
        <v>934</v>
      </c>
      <c r="C1052" s="315" t="s">
        <v>428</v>
      </c>
      <c r="D1052" s="316" t="s">
        <v>935</v>
      </c>
      <c r="E1052" s="318">
        <v>1.92</v>
      </c>
      <c r="F1052" s="318" t="s">
        <v>395</v>
      </c>
      <c r="G1052" s="318" t="s">
        <v>395</v>
      </c>
      <c r="H1052" s="318" t="s">
        <v>395</v>
      </c>
      <c r="I1052" s="318" t="s">
        <v>406</v>
      </c>
      <c r="J1052" s="318">
        <v>46</v>
      </c>
      <c r="K1052" s="317" t="s">
        <v>410</v>
      </c>
      <c r="L1052" s="317">
        <v>47.465479999999999</v>
      </c>
      <c r="M1052" s="317">
        <v>40.078319999999998</v>
      </c>
    </row>
    <row r="1053" spans="1:13" ht="75" hidden="1" x14ac:dyDescent="0.25">
      <c r="A1053" s="313">
        <f t="shared" si="16"/>
        <v>1052</v>
      </c>
      <c r="B1053" s="314" t="s">
        <v>938</v>
      </c>
      <c r="C1053" s="315" t="s">
        <v>428</v>
      </c>
      <c r="D1053" s="316" t="s">
        <v>939</v>
      </c>
      <c r="E1053" s="318">
        <v>1.8</v>
      </c>
      <c r="F1053" s="318" t="s">
        <v>395</v>
      </c>
      <c r="G1053" s="318" t="s">
        <v>395</v>
      </c>
      <c r="H1053" s="318" t="s">
        <v>395</v>
      </c>
      <c r="I1053" s="318" t="s">
        <v>406</v>
      </c>
      <c r="J1053" s="318">
        <v>40</v>
      </c>
      <c r="K1053" s="317" t="s">
        <v>410</v>
      </c>
      <c r="L1053" s="317">
        <v>47.405920000000002</v>
      </c>
      <c r="M1053" s="317">
        <v>40.090539999999997</v>
      </c>
    </row>
    <row r="1054" spans="1:13" ht="45" hidden="1" x14ac:dyDescent="0.25">
      <c r="A1054" s="313">
        <f t="shared" si="16"/>
        <v>1053</v>
      </c>
      <c r="B1054" s="314" t="s">
        <v>940</v>
      </c>
      <c r="C1054" s="315" t="s">
        <v>412</v>
      </c>
      <c r="D1054" s="316" t="s">
        <v>941</v>
      </c>
      <c r="E1054" s="318">
        <v>2.46</v>
      </c>
      <c r="F1054" s="318" t="s">
        <v>395</v>
      </c>
      <c r="G1054" s="318" t="s">
        <v>395</v>
      </c>
      <c r="H1054" s="318" t="s">
        <v>395</v>
      </c>
      <c r="I1054" s="318" t="s">
        <v>406</v>
      </c>
      <c r="J1054" s="318">
        <v>73</v>
      </c>
      <c r="K1054" s="317" t="s">
        <v>410</v>
      </c>
      <c r="L1054" s="317">
        <v>47.231819999999999</v>
      </c>
      <c r="M1054" s="317">
        <v>40.246920000000003</v>
      </c>
    </row>
    <row r="1055" spans="1:13" ht="45" hidden="1" x14ac:dyDescent="0.25">
      <c r="A1055" s="313">
        <f t="shared" si="16"/>
        <v>1054</v>
      </c>
      <c r="B1055" s="314" t="s">
        <v>944</v>
      </c>
      <c r="C1055" s="315" t="s">
        <v>412</v>
      </c>
      <c r="D1055" s="316" t="s">
        <v>945</v>
      </c>
      <c r="E1055" s="318">
        <v>2.84</v>
      </c>
      <c r="F1055" s="318" t="s">
        <v>395</v>
      </c>
      <c r="G1055" s="318" t="s">
        <v>395</v>
      </c>
      <c r="H1055" s="318" t="s">
        <v>395</v>
      </c>
      <c r="I1055" s="318" t="s">
        <v>406</v>
      </c>
      <c r="J1055" s="318">
        <v>92</v>
      </c>
      <c r="K1055" s="317" t="s">
        <v>410</v>
      </c>
      <c r="L1055" s="317">
        <v>47.36159</v>
      </c>
      <c r="M1055" s="317">
        <v>40.571010000000001</v>
      </c>
    </row>
    <row r="1056" spans="1:13" ht="45" hidden="1" x14ac:dyDescent="0.25">
      <c r="A1056" s="313">
        <f t="shared" si="16"/>
        <v>1055</v>
      </c>
      <c r="B1056" s="314" t="s">
        <v>948</v>
      </c>
      <c r="C1056" s="315" t="s">
        <v>412</v>
      </c>
      <c r="D1056" s="316" t="s">
        <v>949</v>
      </c>
      <c r="E1056" s="318">
        <v>1.56</v>
      </c>
      <c r="F1056" s="318" t="s">
        <v>395</v>
      </c>
      <c r="G1056" s="318" t="s">
        <v>395</v>
      </c>
      <c r="H1056" s="318" t="s">
        <v>395</v>
      </c>
      <c r="I1056" s="318" t="s">
        <v>406</v>
      </c>
      <c r="J1056" s="318">
        <v>28</v>
      </c>
      <c r="K1056" s="317" t="s">
        <v>410</v>
      </c>
      <c r="L1056" s="317">
        <v>47.344920000000002</v>
      </c>
      <c r="M1056" s="317">
        <v>39.871969999999997</v>
      </c>
    </row>
    <row r="1057" spans="1:13" ht="45" hidden="1" x14ac:dyDescent="0.25">
      <c r="A1057" s="313">
        <f t="shared" si="16"/>
        <v>1056</v>
      </c>
      <c r="B1057" s="314" t="s">
        <v>952</v>
      </c>
      <c r="C1057" s="315" t="s">
        <v>412</v>
      </c>
      <c r="D1057" s="316" t="s">
        <v>953</v>
      </c>
      <c r="E1057" s="318">
        <v>2.62</v>
      </c>
      <c r="F1057" s="318" t="s">
        <v>395</v>
      </c>
      <c r="G1057" s="318" t="s">
        <v>395</v>
      </c>
      <c r="H1057" s="318" t="s">
        <v>395</v>
      </c>
      <c r="I1057" s="318" t="s">
        <v>406</v>
      </c>
      <c r="J1057" s="318">
        <v>81</v>
      </c>
      <c r="K1057" s="317" t="s">
        <v>410</v>
      </c>
      <c r="L1057" s="317">
        <v>47.764110000000002</v>
      </c>
      <c r="M1057" s="317">
        <v>39.93741</v>
      </c>
    </row>
    <row r="1058" spans="1:13" ht="45" hidden="1" x14ac:dyDescent="0.25">
      <c r="A1058" s="313">
        <f t="shared" si="16"/>
        <v>1057</v>
      </c>
      <c r="B1058" s="314" t="s">
        <v>956</v>
      </c>
      <c r="C1058" s="315" t="s">
        <v>412</v>
      </c>
      <c r="D1058" s="316" t="s">
        <v>957</v>
      </c>
      <c r="E1058" s="318">
        <v>2.7</v>
      </c>
      <c r="F1058" s="318" t="s">
        <v>395</v>
      </c>
      <c r="G1058" s="318" t="s">
        <v>395</v>
      </c>
      <c r="H1058" s="318" t="s">
        <v>395</v>
      </c>
      <c r="I1058" s="318" t="s">
        <v>406</v>
      </c>
      <c r="J1058" s="318">
        <v>85</v>
      </c>
      <c r="K1058" s="317" t="s">
        <v>410</v>
      </c>
      <c r="L1058" s="317">
        <v>47.750689999999999</v>
      </c>
      <c r="M1058" s="317">
        <v>39.946060000000003</v>
      </c>
    </row>
    <row r="1059" spans="1:13" ht="75" hidden="1" x14ac:dyDescent="0.25">
      <c r="A1059" s="313">
        <f t="shared" si="16"/>
        <v>1058</v>
      </c>
      <c r="B1059" s="314" t="s">
        <v>960</v>
      </c>
      <c r="C1059" s="315" t="s">
        <v>428</v>
      </c>
      <c r="D1059" s="316" t="s">
        <v>961</v>
      </c>
      <c r="E1059" s="318">
        <v>2.62</v>
      </c>
      <c r="F1059" s="318" t="s">
        <v>395</v>
      </c>
      <c r="G1059" s="318" t="s">
        <v>395</v>
      </c>
      <c r="H1059" s="318" t="s">
        <v>395</v>
      </c>
      <c r="I1059" s="318" t="s">
        <v>406</v>
      </c>
      <c r="J1059" s="318">
        <v>81</v>
      </c>
      <c r="K1059" s="317" t="s">
        <v>410</v>
      </c>
      <c r="L1059" s="317">
        <v>47.752220000000001</v>
      </c>
      <c r="M1059" s="317">
        <v>39.928609999999999</v>
      </c>
    </row>
    <row r="1060" spans="1:13" ht="45" hidden="1" x14ac:dyDescent="0.25">
      <c r="A1060" s="313">
        <f t="shared" si="16"/>
        <v>1059</v>
      </c>
      <c r="B1060" s="314" t="s">
        <v>964</v>
      </c>
      <c r="C1060" s="315" t="s">
        <v>412</v>
      </c>
      <c r="D1060" s="316" t="s">
        <v>965</v>
      </c>
      <c r="E1060" s="318">
        <v>2.68</v>
      </c>
      <c r="F1060" s="318" t="s">
        <v>395</v>
      </c>
      <c r="G1060" s="318" t="s">
        <v>395</v>
      </c>
      <c r="H1060" s="318" t="s">
        <v>395</v>
      </c>
      <c r="I1060" s="318" t="s">
        <v>406</v>
      </c>
      <c r="J1060" s="318">
        <v>84</v>
      </c>
      <c r="K1060" s="317" t="s">
        <v>410</v>
      </c>
      <c r="L1060" s="317">
        <v>47.788469999999997</v>
      </c>
      <c r="M1060" s="317">
        <v>39.907240000000002</v>
      </c>
    </row>
    <row r="1061" spans="1:13" ht="45" hidden="1" x14ac:dyDescent="0.25">
      <c r="A1061" s="313">
        <f t="shared" si="16"/>
        <v>1060</v>
      </c>
      <c r="B1061" s="314" t="s">
        <v>968</v>
      </c>
      <c r="C1061" s="315" t="s">
        <v>412</v>
      </c>
      <c r="D1061" s="316" t="s">
        <v>969</v>
      </c>
      <c r="E1061" s="318">
        <v>2.92</v>
      </c>
      <c r="F1061" s="318" t="s">
        <v>395</v>
      </c>
      <c r="G1061" s="318" t="s">
        <v>395</v>
      </c>
      <c r="H1061" s="318" t="s">
        <v>395</v>
      </c>
      <c r="I1061" s="318" t="s">
        <v>406</v>
      </c>
      <c r="J1061" s="318">
        <v>96</v>
      </c>
      <c r="K1061" s="317" t="s">
        <v>410</v>
      </c>
      <c r="L1061" s="317">
        <v>47.88165</v>
      </c>
      <c r="M1061" s="317">
        <v>40.212679999999999</v>
      </c>
    </row>
    <row r="1062" spans="1:13" ht="45" hidden="1" x14ac:dyDescent="0.25">
      <c r="A1062" s="313">
        <f t="shared" si="16"/>
        <v>1061</v>
      </c>
      <c r="B1062" s="314" t="s">
        <v>972</v>
      </c>
      <c r="C1062" s="315" t="s">
        <v>582</v>
      </c>
      <c r="D1062" s="316" t="s">
        <v>973</v>
      </c>
      <c r="E1062" s="318">
        <v>2.6</v>
      </c>
      <c r="F1062" s="318" t="s">
        <v>395</v>
      </c>
      <c r="G1062" s="318" t="s">
        <v>395</v>
      </c>
      <c r="H1062" s="318" t="s">
        <v>395</v>
      </c>
      <c r="I1062" s="318" t="s">
        <v>406</v>
      </c>
      <c r="J1062" s="318">
        <v>80</v>
      </c>
      <c r="K1062" s="317" t="s">
        <v>410</v>
      </c>
      <c r="L1062" s="317">
        <v>47.797840000000001</v>
      </c>
      <c r="M1062" s="317">
        <v>39.73028</v>
      </c>
    </row>
    <row r="1063" spans="1:13" ht="38.25" hidden="1" x14ac:dyDescent="0.25">
      <c r="A1063" s="313">
        <f t="shared" si="16"/>
        <v>1062</v>
      </c>
      <c r="B1063" s="314" t="s">
        <v>976</v>
      </c>
      <c r="C1063" s="315" t="s">
        <v>503</v>
      </c>
      <c r="D1063" s="316" t="s">
        <v>977</v>
      </c>
      <c r="E1063" s="318">
        <v>1.7</v>
      </c>
      <c r="F1063" s="318" t="s">
        <v>395</v>
      </c>
      <c r="G1063" s="318" t="s">
        <v>395</v>
      </c>
      <c r="H1063" s="318" t="s">
        <v>395</v>
      </c>
      <c r="I1063" s="318" t="s">
        <v>406</v>
      </c>
      <c r="J1063" s="318">
        <v>35</v>
      </c>
      <c r="K1063" s="317" t="s">
        <v>410</v>
      </c>
      <c r="L1063" s="317">
        <v>47.052599999999998</v>
      </c>
      <c r="M1063" s="317">
        <v>39.613280000000003</v>
      </c>
    </row>
    <row r="1064" spans="1:13" ht="45" hidden="1" x14ac:dyDescent="0.25">
      <c r="A1064" s="313">
        <f t="shared" si="16"/>
        <v>1063</v>
      </c>
      <c r="B1064" s="314" t="s">
        <v>980</v>
      </c>
      <c r="C1064" s="315" t="s">
        <v>582</v>
      </c>
      <c r="D1064" s="316" t="s">
        <v>981</v>
      </c>
      <c r="E1064" s="318">
        <v>1.98</v>
      </c>
      <c r="F1064" s="318" t="s">
        <v>395</v>
      </c>
      <c r="G1064" s="318" t="s">
        <v>395</v>
      </c>
      <c r="H1064" s="318" t="s">
        <v>395</v>
      </c>
      <c r="I1064" s="318" t="s">
        <v>406</v>
      </c>
      <c r="J1064" s="318">
        <v>49</v>
      </c>
      <c r="K1064" s="317" t="s">
        <v>410</v>
      </c>
      <c r="L1064" s="317">
        <v>46.994520000000001</v>
      </c>
      <c r="M1064" s="317">
        <v>39.477730000000001</v>
      </c>
    </row>
    <row r="1065" spans="1:13" ht="60" hidden="1" x14ac:dyDescent="0.25">
      <c r="A1065" s="313">
        <f t="shared" si="16"/>
        <v>1064</v>
      </c>
      <c r="B1065" s="314" t="s">
        <v>984</v>
      </c>
      <c r="C1065" s="315" t="s">
        <v>447</v>
      </c>
      <c r="D1065" s="316" t="s">
        <v>985</v>
      </c>
      <c r="E1065" s="318">
        <v>1.1599999999999999</v>
      </c>
      <c r="F1065" s="318" t="s">
        <v>395</v>
      </c>
      <c r="G1065" s="318" t="s">
        <v>395</v>
      </c>
      <c r="H1065" s="318" t="s">
        <v>395</v>
      </c>
      <c r="I1065" s="318" t="s">
        <v>406</v>
      </c>
      <c r="J1065" s="318">
        <v>8</v>
      </c>
      <c r="K1065" s="317" t="s">
        <v>410</v>
      </c>
      <c r="L1065" s="317">
        <v>47.234839999999998</v>
      </c>
      <c r="M1065" s="317">
        <v>39.795870000000001</v>
      </c>
    </row>
    <row r="1066" spans="1:13" ht="60" hidden="1" x14ac:dyDescent="0.25">
      <c r="A1066" s="313">
        <f t="shared" si="16"/>
        <v>1065</v>
      </c>
      <c r="B1066" s="314" t="s">
        <v>988</v>
      </c>
      <c r="C1066" s="315" t="s">
        <v>447</v>
      </c>
      <c r="D1066" s="316" t="s">
        <v>989</v>
      </c>
      <c r="E1066" s="318">
        <v>2.7</v>
      </c>
      <c r="F1066" s="318" t="s">
        <v>395</v>
      </c>
      <c r="G1066" s="318" t="s">
        <v>395</v>
      </c>
      <c r="H1066" s="318" t="s">
        <v>395</v>
      </c>
      <c r="I1066" s="318" t="s">
        <v>406</v>
      </c>
      <c r="J1066" s="318">
        <v>85</v>
      </c>
      <c r="K1066" s="317" t="s">
        <v>410</v>
      </c>
      <c r="L1066" s="317">
        <v>47.836959999999998</v>
      </c>
      <c r="M1066" s="317">
        <v>40.183920000000001</v>
      </c>
    </row>
    <row r="1067" spans="1:13" ht="45" hidden="1" x14ac:dyDescent="0.25">
      <c r="A1067" s="313">
        <f t="shared" si="16"/>
        <v>1066</v>
      </c>
      <c r="B1067" s="314" t="s">
        <v>992</v>
      </c>
      <c r="C1067" s="315" t="s">
        <v>412</v>
      </c>
      <c r="D1067" s="316" t="s">
        <v>993</v>
      </c>
      <c r="E1067" s="318">
        <v>1.18</v>
      </c>
      <c r="F1067" s="318" t="s">
        <v>395</v>
      </c>
      <c r="G1067" s="318" t="s">
        <v>395</v>
      </c>
      <c r="H1067" s="318" t="s">
        <v>395</v>
      </c>
      <c r="I1067" s="318" t="s">
        <v>406</v>
      </c>
      <c r="J1067" s="318">
        <v>9</v>
      </c>
      <c r="K1067" s="317" t="s">
        <v>410</v>
      </c>
      <c r="L1067" s="317">
        <v>47.211620000000003</v>
      </c>
      <c r="M1067" s="317">
        <v>39.751170000000002</v>
      </c>
    </row>
    <row r="1068" spans="1:13" ht="75" hidden="1" x14ac:dyDescent="0.25">
      <c r="A1068" s="313">
        <f t="shared" si="16"/>
        <v>1067</v>
      </c>
      <c r="B1068" s="314" t="s">
        <v>996</v>
      </c>
      <c r="C1068" s="315" t="s">
        <v>428</v>
      </c>
      <c r="D1068" s="316" t="s">
        <v>997</v>
      </c>
      <c r="E1068" s="318">
        <v>2.14</v>
      </c>
      <c r="F1068" s="318" t="s">
        <v>395</v>
      </c>
      <c r="G1068" s="318" t="s">
        <v>395</v>
      </c>
      <c r="H1068" s="318" t="s">
        <v>395</v>
      </c>
      <c r="I1068" s="318" t="s">
        <v>406</v>
      </c>
      <c r="J1068" s="318">
        <v>57</v>
      </c>
      <c r="K1068" s="317" t="s">
        <v>410</v>
      </c>
      <c r="L1068" s="317">
        <v>47.028860000000002</v>
      </c>
      <c r="M1068" s="317">
        <v>39.333179999999999</v>
      </c>
    </row>
    <row r="1069" spans="1:13" ht="75" hidden="1" x14ac:dyDescent="0.25">
      <c r="A1069" s="313">
        <f t="shared" si="16"/>
        <v>1068</v>
      </c>
      <c r="B1069" s="314" t="s">
        <v>1000</v>
      </c>
      <c r="C1069" s="315" t="s">
        <v>428</v>
      </c>
      <c r="D1069" s="316" t="s">
        <v>1001</v>
      </c>
      <c r="E1069" s="318">
        <v>2.46</v>
      </c>
      <c r="F1069" s="318" t="s">
        <v>395</v>
      </c>
      <c r="G1069" s="318" t="s">
        <v>395</v>
      </c>
      <c r="H1069" s="318" t="s">
        <v>395</v>
      </c>
      <c r="I1069" s="318" t="s">
        <v>406</v>
      </c>
      <c r="J1069" s="318">
        <v>73</v>
      </c>
      <c r="K1069" s="317" t="s">
        <v>410</v>
      </c>
      <c r="L1069" s="317">
        <v>47.005830000000003</v>
      </c>
      <c r="M1069" s="317">
        <v>39.04278</v>
      </c>
    </row>
    <row r="1070" spans="1:13" ht="60" hidden="1" x14ac:dyDescent="0.25">
      <c r="A1070" s="313">
        <f t="shared" si="16"/>
        <v>1069</v>
      </c>
      <c r="B1070" s="314" t="s">
        <v>1004</v>
      </c>
      <c r="C1070" s="315" t="s">
        <v>677</v>
      </c>
      <c r="D1070" s="316" t="s">
        <v>1005</v>
      </c>
      <c r="E1070" s="318">
        <v>2.68</v>
      </c>
      <c r="F1070" s="318" t="s">
        <v>395</v>
      </c>
      <c r="G1070" s="318" t="s">
        <v>395</v>
      </c>
      <c r="H1070" s="318" t="s">
        <v>395</v>
      </c>
      <c r="I1070" s="318" t="s">
        <v>406</v>
      </c>
      <c r="J1070" s="318">
        <v>84</v>
      </c>
      <c r="K1070" s="317" t="s">
        <v>410</v>
      </c>
      <c r="L1070" s="317">
        <v>47.325830000000003</v>
      </c>
      <c r="M1070" s="317">
        <v>40.3675</v>
      </c>
    </row>
    <row r="1071" spans="1:13" ht="75" hidden="1" x14ac:dyDescent="0.25">
      <c r="A1071" s="313">
        <f t="shared" si="16"/>
        <v>1070</v>
      </c>
      <c r="B1071" s="314" t="s">
        <v>1008</v>
      </c>
      <c r="C1071" s="315" t="s">
        <v>428</v>
      </c>
      <c r="D1071" s="316" t="s">
        <v>1009</v>
      </c>
      <c r="E1071" s="318">
        <v>2.16</v>
      </c>
      <c r="F1071" s="318" t="s">
        <v>395</v>
      </c>
      <c r="G1071" s="318" t="s">
        <v>395</v>
      </c>
      <c r="H1071" s="318" t="s">
        <v>395</v>
      </c>
      <c r="I1071" s="318" t="s">
        <v>406</v>
      </c>
      <c r="J1071" s="318">
        <v>58</v>
      </c>
      <c r="K1071" s="317" t="s">
        <v>410</v>
      </c>
      <c r="L1071" s="317">
        <v>46.88</v>
      </c>
      <c r="M1071" s="317">
        <v>40.14667</v>
      </c>
    </row>
    <row r="1072" spans="1:13" ht="75" hidden="1" x14ac:dyDescent="0.25">
      <c r="A1072" s="313">
        <f t="shared" si="16"/>
        <v>1071</v>
      </c>
      <c r="B1072" s="314" t="s">
        <v>1012</v>
      </c>
      <c r="C1072" s="315" t="s">
        <v>428</v>
      </c>
      <c r="D1072" s="316" t="s">
        <v>1013</v>
      </c>
      <c r="E1072" s="318">
        <v>1.9</v>
      </c>
      <c r="F1072" s="318" t="s">
        <v>395</v>
      </c>
      <c r="G1072" s="318" t="s">
        <v>395</v>
      </c>
      <c r="H1072" s="318" t="s">
        <v>395</v>
      </c>
      <c r="I1072" s="318" t="s">
        <v>406</v>
      </c>
      <c r="J1072" s="318">
        <v>45</v>
      </c>
      <c r="K1072" s="317" t="s">
        <v>410</v>
      </c>
      <c r="L1072" s="317">
        <v>46.97833</v>
      </c>
      <c r="M1072" s="317">
        <v>40.059440000000002</v>
      </c>
    </row>
    <row r="1073" spans="1:13" ht="75" hidden="1" x14ac:dyDescent="0.25">
      <c r="A1073" s="313">
        <f t="shared" si="16"/>
        <v>1072</v>
      </c>
      <c r="B1073" s="314" t="s">
        <v>1017</v>
      </c>
      <c r="C1073" s="315" t="s">
        <v>428</v>
      </c>
      <c r="D1073" s="316" t="s">
        <v>1018</v>
      </c>
      <c r="E1073" s="318">
        <v>2.66</v>
      </c>
      <c r="F1073" s="318" t="s">
        <v>395</v>
      </c>
      <c r="G1073" s="318" t="s">
        <v>395</v>
      </c>
      <c r="H1073" s="318" t="s">
        <v>395</v>
      </c>
      <c r="I1073" s="318" t="s">
        <v>406</v>
      </c>
      <c r="J1073" s="318">
        <v>83</v>
      </c>
      <c r="K1073" s="317" t="s">
        <v>410</v>
      </c>
      <c r="L1073" s="317">
        <v>47.674720000000001</v>
      </c>
      <c r="M1073" s="317">
        <v>40.223610000000001</v>
      </c>
    </row>
    <row r="1074" spans="1:13" ht="45" hidden="1" x14ac:dyDescent="0.25">
      <c r="A1074" s="313">
        <f t="shared" si="16"/>
        <v>1073</v>
      </c>
      <c r="B1074" s="314" t="s">
        <v>1022</v>
      </c>
      <c r="C1074" s="315" t="s">
        <v>582</v>
      </c>
      <c r="D1074" s="316" t="s">
        <v>1024</v>
      </c>
      <c r="E1074" s="318">
        <v>2.66</v>
      </c>
      <c r="F1074" s="318" t="s">
        <v>395</v>
      </c>
      <c r="G1074" s="318" t="s">
        <v>395</v>
      </c>
      <c r="H1074" s="318" t="s">
        <v>395</v>
      </c>
      <c r="I1074" s="318" t="s">
        <v>406</v>
      </c>
      <c r="J1074" s="318">
        <v>83</v>
      </c>
      <c r="K1074" s="317" t="s">
        <v>410</v>
      </c>
      <c r="L1074" s="317">
        <v>47.588740000000001</v>
      </c>
      <c r="M1074" s="317">
        <v>40.331180000000003</v>
      </c>
    </row>
    <row r="1075" spans="1:13" ht="30" hidden="1" x14ac:dyDescent="0.25">
      <c r="A1075" s="313">
        <f t="shared" si="16"/>
        <v>1074</v>
      </c>
      <c r="B1075" s="314" t="s">
        <v>1026</v>
      </c>
      <c r="C1075" s="315" t="s">
        <v>399</v>
      </c>
      <c r="D1075" s="316" t="s">
        <v>1028</v>
      </c>
      <c r="E1075" s="318">
        <v>1.1000000000000001</v>
      </c>
      <c r="F1075" s="318" t="s">
        <v>395</v>
      </c>
      <c r="G1075" s="318" t="s">
        <v>395</v>
      </c>
      <c r="H1075" s="318" t="s">
        <v>395</v>
      </c>
      <c r="I1075" s="318" t="s">
        <v>406</v>
      </c>
      <c r="J1075" s="318">
        <v>5</v>
      </c>
      <c r="K1075" s="317" t="s">
        <v>410</v>
      </c>
      <c r="L1075" s="317">
        <v>47.239089999999997</v>
      </c>
      <c r="M1075" s="317">
        <v>39.685899999999997</v>
      </c>
    </row>
    <row r="1076" spans="1:13" ht="30" hidden="1" x14ac:dyDescent="0.25">
      <c r="A1076" s="313">
        <f t="shared" si="16"/>
        <v>1075</v>
      </c>
      <c r="B1076" s="314" t="s">
        <v>1030</v>
      </c>
      <c r="C1076" s="315" t="s">
        <v>399</v>
      </c>
      <c r="D1076" s="316" t="s">
        <v>1031</v>
      </c>
      <c r="E1076" s="318">
        <v>1.22</v>
      </c>
      <c r="F1076" s="318" t="s">
        <v>395</v>
      </c>
      <c r="G1076" s="318" t="s">
        <v>395</v>
      </c>
      <c r="H1076" s="318" t="s">
        <v>395</v>
      </c>
      <c r="I1076" s="318" t="s">
        <v>406</v>
      </c>
      <c r="J1076" s="318">
        <v>11</v>
      </c>
      <c r="K1076" s="317" t="s">
        <v>410</v>
      </c>
      <c r="L1076" s="317">
        <v>47.243130000000001</v>
      </c>
      <c r="M1076" s="317">
        <v>39.808160000000001</v>
      </c>
    </row>
    <row r="1077" spans="1:13" ht="60" hidden="1" x14ac:dyDescent="0.25">
      <c r="A1077" s="313">
        <f t="shared" si="16"/>
        <v>1076</v>
      </c>
      <c r="B1077" s="314" t="s">
        <v>1033</v>
      </c>
      <c r="C1077" s="315" t="s">
        <v>447</v>
      </c>
      <c r="D1077" s="316" t="s">
        <v>1035</v>
      </c>
      <c r="E1077" s="318">
        <v>1.24</v>
      </c>
      <c r="F1077" s="318" t="s">
        <v>395</v>
      </c>
      <c r="G1077" s="318" t="s">
        <v>395</v>
      </c>
      <c r="H1077" s="318" t="s">
        <v>395</v>
      </c>
      <c r="I1077" s="318" t="s">
        <v>406</v>
      </c>
      <c r="J1077" s="318">
        <v>12</v>
      </c>
      <c r="K1077" s="317" t="s">
        <v>410</v>
      </c>
      <c r="L1077" s="317">
        <v>47.295870000000001</v>
      </c>
      <c r="M1077" s="317">
        <v>39.72739</v>
      </c>
    </row>
    <row r="1078" spans="1:13" ht="60" hidden="1" x14ac:dyDescent="0.25">
      <c r="A1078" s="313">
        <f t="shared" si="16"/>
        <v>1077</v>
      </c>
      <c r="B1078" s="314" t="s">
        <v>1037</v>
      </c>
      <c r="C1078" s="315" t="s">
        <v>447</v>
      </c>
      <c r="D1078" s="316" t="s">
        <v>1039</v>
      </c>
      <c r="E1078" s="318">
        <v>1.22</v>
      </c>
      <c r="F1078" s="318" t="s">
        <v>395</v>
      </c>
      <c r="G1078" s="318" t="s">
        <v>395</v>
      </c>
      <c r="H1078" s="318" t="s">
        <v>395</v>
      </c>
      <c r="I1078" s="318" t="s">
        <v>406</v>
      </c>
      <c r="J1078" s="318">
        <v>11</v>
      </c>
      <c r="K1078" s="317" t="s">
        <v>410</v>
      </c>
      <c r="L1078" s="317">
        <v>47.277470000000001</v>
      </c>
      <c r="M1078" s="317">
        <v>39.754289999999997</v>
      </c>
    </row>
    <row r="1079" spans="1:13" ht="45" hidden="1" x14ac:dyDescent="0.25">
      <c r="A1079" s="313">
        <f t="shared" si="16"/>
        <v>1078</v>
      </c>
      <c r="B1079" s="314" t="s">
        <v>1042</v>
      </c>
      <c r="C1079" s="315" t="s">
        <v>412</v>
      </c>
      <c r="D1079" s="316" t="s">
        <v>1044</v>
      </c>
      <c r="E1079" s="318">
        <v>1.36</v>
      </c>
      <c r="F1079" s="318" t="s">
        <v>395</v>
      </c>
      <c r="G1079" s="318" t="s">
        <v>395</v>
      </c>
      <c r="H1079" s="318" t="s">
        <v>395</v>
      </c>
      <c r="I1079" s="318" t="s">
        <v>406</v>
      </c>
      <c r="J1079" s="318">
        <v>18</v>
      </c>
      <c r="K1079" s="317" t="s">
        <v>410</v>
      </c>
      <c r="L1079" s="317">
        <v>47.324509999999997</v>
      </c>
      <c r="M1079" s="317">
        <v>39.752429999999997</v>
      </c>
    </row>
    <row r="1080" spans="1:13" ht="60" hidden="1" x14ac:dyDescent="0.25">
      <c r="A1080" s="313">
        <f t="shared" si="16"/>
        <v>1079</v>
      </c>
      <c r="B1080" s="314" t="s">
        <v>1046</v>
      </c>
      <c r="C1080" s="315" t="s">
        <v>447</v>
      </c>
      <c r="D1080" s="316" t="s">
        <v>1048</v>
      </c>
      <c r="E1080" s="318">
        <v>1.2</v>
      </c>
      <c r="F1080" s="318" t="s">
        <v>395</v>
      </c>
      <c r="G1080" s="318" t="s">
        <v>395</v>
      </c>
      <c r="H1080" s="318" t="s">
        <v>395</v>
      </c>
      <c r="I1080" s="318" t="s">
        <v>406</v>
      </c>
      <c r="J1080" s="318">
        <v>10</v>
      </c>
      <c r="K1080" s="317" t="s">
        <v>410</v>
      </c>
      <c r="L1080" s="317">
        <v>47.262500000000003</v>
      </c>
      <c r="M1080" s="317">
        <v>39.788829999999997</v>
      </c>
    </row>
    <row r="1081" spans="1:13" ht="75" hidden="1" x14ac:dyDescent="0.25">
      <c r="A1081" s="313">
        <f t="shared" si="16"/>
        <v>1080</v>
      </c>
      <c r="B1081" s="314" t="s">
        <v>1050</v>
      </c>
      <c r="C1081" s="315" t="s">
        <v>428</v>
      </c>
      <c r="D1081" s="316" t="s">
        <v>1052</v>
      </c>
      <c r="E1081" s="318">
        <v>1.34</v>
      </c>
      <c r="F1081" s="318" t="s">
        <v>395</v>
      </c>
      <c r="G1081" s="318" t="s">
        <v>395</v>
      </c>
      <c r="H1081" s="318" t="s">
        <v>395</v>
      </c>
      <c r="I1081" s="318" t="s">
        <v>406</v>
      </c>
      <c r="J1081" s="318">
        <v>17</v>
      </c>
      <c r="K1081" s="317" t="s">
        <v>410</v>
      </c>
      <c r="L1081" s="317">
        <v>47.296219999999998</v>
      </c>
      <c r="M1081" s="317">
        <v>39.821129999999997</v>
      </c>
    </row>
    <row r="1082" spans="1:13" ht="60" hidden="1" x14ac:dyDescent="0.25">
      <c r="A1082" s="313">
        <f t="shared" si="16"/>
        <v>1081</v>
      </c>
      <c r="B1082" s="314" t="s">
        <v>1054</v>
      </c>
      <c r="C1082" s="315" t="s">
        <v>447</v>
      </c>
      <c r="D1082" s="316" t="s">
        <v>1056</v>
      </c>
      <c r="E1082" s="318">
        <v>2.62</v>
      </c>
      <c r="F1082" s="318" t="s">
        <v>395</v>
      </c>
      <c r="G1082" s="318" t="s">
        <v>395</v>
      </c>
      <c r="H1082" s="318" t="s">
        <v>395</v>
      </c>
      <c r="I1082" s="318" t="s">
        <v>406</v>
      </c>
      <c r="J1082" s="318">
        <v>81</v>
      </c>
      <c r="K1082" s="317" t="s">
        <v>410</v>
      </c>
      <c r="L1082" s="317">
        <v>47.701889999999999</v>
      </c>
      <c r="M1082" s="317">
        <v>40.230350000000001</v>
      </c>
    </row>
    <row r="1083" spans="1:13" ht="75" hidden="1" x14ac:dyDescent="0.25">
      <c r="A1083" s="313">
        <f t="shared" si="16"/>
        <v>1082</v>
      </c>
      <c r="B1083" s="314" t="s">
        <v>1058</v>
      </c>
      <c r="C1083" s="315" t="s">
        <v>428</v>
      </c>
      <c r="D1083" s="316" t="s">
        <v>1060</v>
      </c>
      <c r="E1083" s="318">
        <v>2.06</v>
      </c>
      <c r="F1083" s="318" t="s">
        <v>395</v>
      </c>
      <c r="G1083" s="318" t="s">
        <v>395</v>
      </c>
      <c r="H1083" s="318" t="s">
        <v>395</v>
      </c>
      <c r="I1083" s="318" t="s">
        <v>406</v>
      </c>
      <c r="J1083" s="318">
        <v>53</v>
      </c>
      <c r="K1083" s="317" t="s">
        <v>410</v>
      </c>
      <c r="L1083" s="317">
        <v>47.476010000000002</v>
      </c>
      <c r="M1083" s="317">
        <v>40.089680000000001</v>
      </c>
    </row>
    <row r="1084" spans="1:13" ht="75" hidden="1" x14ac:dyDescent="0.25">
      <c r="A1084" s="313">
        <f t="shared" si="16"/>
        <v>1083</v>
      </c>
      <c r="B1084" s="314" t="s">
        <v>1062</v>
      </c>
      <c r="C1084" s="315" t="s">
        <v>428</v>
      </c>
      <c r="D1084" s="316" t="s">
        <v>1064</v>
      </c>
      <c r="E1084" s="318">
        <v>2.2799999999999998</v>
      </c>
      <c r="F1084" s="318" t="s">
        <v>395</v>
      </c>
      <c r="G1084" s="318" t="s">
        <v>395</v>
      </c>
      <c r="H1084" s="318" t="s">
        <v>395</v>
      </c>
      <c r="I1084" s="318" t="s">
        <v>406</v>
      </c>
      <c r="J1084" s="318">
        <v>64</v>
      </c>
      <c r="K1084" s="317" t="s">
        <v>410</v>
      </c>
      <c r="L1084" s="317">
        <v>47.890160000000002</v>
      </c>
      <c r="M1084" s="317">
        <v>40.086219999999997</v>
      </c>
    </row>
    <row r="1085" spans="1:13" ht="60" hidden="1" x14ac:dyDescent="0.25">
      <c r="A1085" s="313">
        <f t="shared" si="16"/>
        <v>1084</v>
      </c>
      <c r="B1085" s="314" t="s">
        <v>1067</v>
      </c>
      <c r="C1085" s="315" t="s">
        <v>447</v>
      </c>
      <c r="D1085" s="316" t="s">
        <v>1068</v>
      </c>
      <c r="E1085" s="318">
        <v>1.22</v>
      </c>
      <c r="F1085" s="318" t="s">
        <v>395</v>
      </c>
      <c r="G1085" s="318" t="s">
        <v>395</v>
      </c>
      <c r="H1085" s="318" t="s">
        <v>395</v>
      </c>
      <c r="I1085" s="318" t="s">
        <v>406</v>
      </c>
      <c r="J1085" s="318">
        <v>11</v>
      </c>
      <c r="K1085" s="317" t="s">
        <v>410</v>
      </c>
      <c r="L1085" s="317">
        <v>47.282449999999997</v>
      </c>
      <c r="M1085" s="317">
        <v>39.750079999999997</v>
      </c>
    </row>
    <row r="1086" spans="1:13" ht="45" hidden="1" x14ac:dyDescent="0.25">
      <c r="A1086" s="313">
        <f t="shared" si="16"/>
        <v>1085</v>
      </c>
      <c r="B1086" s="314" t="s">
        <v>1071</v>
      </c>
      <c r="C1086" s="315" t="s">
        <v>412</v>
      </c>
      <c r="D1086" s="316" t="s">
        <v>1072</v>
      </c>
      <c r="E1086" s="318">
        <v>1.6</v>
      </c>
      <c r="F1086" s="318" t="s">
        <v>395</v>
      </c>
      <c r="G1086" s="318" t="s">
        <v>395</v>
      </c>
      <c r="H1086" s="318" t="s">
        <v>395</v>
      </c>
      <c r="I1086" s="318" t="s">
        <v>406</v>
      </c>
      <c r="J1086" s="318">
        <v>30</v>
      </c>
      <c r="K1086" s="317" t="s">
        <v>410</v>
      </c>
      <c r="L1086" s="317">
        <v>47.35087</v>
      </c>
      <c r="M1086" s="317">
        <v>39.815899999999999</v>
      </c>
    </row>
    <row r="1087" spans="1:13" ht="75" hidden="1" x14ac:dyDescent="0.25">
      <c r="A1087" s="313">
        <f t="shared" si="16"/>
        <v>1086</v>
      </c>
      <c r="B1087" s="314" t="s">
        <v>1075</v>
      </c>
      <c r="C1087" s="315" t="s">
        <v>428</v>
      </c>
      <c r="D1087" s="316" t="s">
        <v>1076</v>
      </c>
      <c r="E1087" s="318">
        <v>1.92</v>
      </c>
      <c r="F1087" s="318" t="s">
        <v>395</v>
      </c>
      <c r="G1087" s="318" t="s">
        <v>395</v>
      </c>
      <c r="H1087" s="318" t="s">
        <v>395</v>
      </c>
      <c r="I1087" s="318" t="s">
        <v>406</v>
      </c>
      <c r="J1087" s="318">
        <v>46</v>
      </c>
      <c r="K1087" s="317" t="s">
        <v>410</v>
      </c>
      <c r="L1087" s="317">
        <v>46.898499999999999</v>
      </c>
      <c r="M1087" s="317">
        <v>39.782029999999999</v>
      </c>
    </row>
    <row r="1088" spans="1:13" ht="75" hidden="1" x14ac:dyDescent="0.25">
      <c r="A1088" s="313">
        <f t="shared" si="16"/>
        <v>1087</v>
      </c>
      <c r="B1088" s="314" t="s">
        <v>1079</v>
      </c>
      <c r="C1088" s="315" t="s">
        <v>428</v>
      </c>
      <c r="D1088" s="316" t="s">
        <v>1080</v>
      </c>
      <c r="E1088" s="318">
        <v>2.2000000000000002</v>
      </c>
      <c r="F1088" s="318" t="s">
        <v>395</v>
      </c>
      <c r="G1088" s="318" t="s">
        <v>395</v>
      </c>
      <c r="H1088" s="318" t="s">
        <v>395</v>
      </c>
      <c r="I1088" s="318" t="s">
        <v>406</v>
      </c>
      <c r="J1088" s="318">
        <v>60</v>
      </c>
      <c r="K1088" s="317" t="s">
        <v>410</v>
      </c>
      <c r="L1088" s="317">
        <v>47.520650000000003</v>
      </c>
      <c r="M1088" s="317">
        <v>40.123069999999998</v>
      </c>
    </row>
    <row r="1089" spans="1:13" ht="60" hidden="1" x14ac:dyDescent="0.25">
      <c r="A1089" s="313">
        <f t="shared" si="16"/>
        <v>1088</v>
      </c>
      <c r="B1089" s="314" t="s">
        <v>1082</v>
      </c>
      <c r="C1089" s="315" t="s">
        <v>447</v>
      </c>
      <c r="D1089" s="316" t="s">
        <v>1084</v>
      </c>
      <c r="E1089" s="318">
        <v>1.44</v>
      </c>
      <c r="F1089" s="318" t="s">
        <v>395</v>
      </c>
      <c r="G1089" s="318" t="s">
        <v>395</v>
      </c>
      <c r="H1089" s="318" t="s">
        <v>395</v>
      </c>
      <c r="I1089" s="318" t="s">
        <v>406</v>
      </c>
      <c r="J1089" s="318">
        <v>22</v>
      </c>
      <c r="K1089" s="317" t="s">
        <v>410</v>
      </c>
      <c r="L1089" s="317">
        <v>47.078220000000002</v>
      </c>
      <c r="M1089" s="317">
        <v>39.753549999999997</v>
      </c>
    </row>
    <row r="1090" spans="1:13" ht="60" hidden="1" x14ac:dyDescent="0.25">
      <c r="A1090" s="313">
        <f t="shared" si="16"/>
        <v>1089</v>
      </c>
      <c r="B1090" s="314" t="s">
        <v>1086</v>
      </c>
      <c r="C1090" s="315" t="s">
        <v>447</v>
      </c>
      <c r="D1090" s="316" t="s">
        <v>1088</v>
      </c>
      <c r="E1090" s="318">
        <v>1.3</v>
      </c>
      <c r="F1090" s="318" t="s">
        <v>395</v>
      </c>
      <c r="G1090" s="318" t="s">
        <v>395</v>
      </c>
      <c r="H1090" s="318" t="s">
        <v>395</v>
      </c>
      <c r="I1090" s="318" t="s">
        <v>406</v>
      </c>
      <c r="J1090" s="318">
        <v>15</v>
      </c>
      <c r="K1090" s="317" t="s">
        <v>410</v>
      </c>
      <c r="L1090" s="317">
        <v>47.302329999999998</v>
      </c>
      <c r="M1090" s="317">
        <v>39.77122</v>
      </c>
    </row>
    <row r="1091" spans="1:13" ht="60" hidden="1" x14ac:dyDescent="0.25">
      <c r="A1091" s="313">
        <f t="shared" si="16"/>
        <v>1090</v>
      </c>
      <c r="B1091" s="314" t="s">
        <v>1090</v>
      </c>
      <c r="C1091" s="315" t="s">
        <v>447</v>
      </c>
      <c r="D1091" s="316" t="s">
        <v>1092</v>
      </c>
      <c r="E1091" s="318">
        <v>1.84</v>
      </c>
      <c r="F1091" s="318" t="s">
        <v>395</v>
      </c>
      <c r="G1091" s="318" t="s">
        <v>395</v>
      </c>
      <c r="H1091" s="318" t="s">
        <v>395</v>
      </c>
      <c r="I1091" s="318" t="s">
        <v>406</v>
      </c>
      <c r="J1091" s="318">
        <v>42</v>
      </c>
      <c r="K1091" s="317" t="s">
        <v>410</v>
      </c>
      <c r="L1091" s="317">
        <v>47.418709999999997</v>
      </c>
      <c r="M1091" s="317">
        <v>40.089730000000003</v>
      </c>
    </row>
    <row r="1092" spans="1:13" ht="45" hidden="1" x14ac:dyDescent="0.25">
      <c r="A1092" s="313">
        <f t="shared" ref="A1092:A1155" si="17">A1091+1</f>
        <v>1091</v>
      </c>
      <c r="B1092" s="314" t="s">
        <v>1094</v>
      </c>
      <c r="C1092" s="315" t="s">
        <v>412</v>
      </c>
      <c r="D1092" s="316" t="s">
        <v>1096</v>
      </c>
      <c r="E1092" s="318">
        <v>1.2</v>
      </c>
      <c r="F1092" s="318" t="s">
        <v>395</v>
      </c>
      <c r="G1092" s="318" t="s">
        <v>395</v>
      </c>
      <c r="H1092" s="318" t="s">
        <v>395</v>
      </c>
      <c r="I1092" s="318" t="s">
        <v>406</v>
      </c>
      <c r="J1092" s="318">
        <v>10</v>
      </c>
      <c r="K1092" s="317" t="s">
        <v>410</v>
      </c>
      <c r="L1092" s="317">
        <v>47.263359999999999</v>
      </c>
      <c r="M1092" s="317">
        <v>39.732810000000001</v>
      </c>
    </row>
    <row r="1093" spans="1:13" ht="45" hidden="1" x14ac:dyDescent="0.25">
      <c r="A1093" s="313">
        <f t="shared" si="17"/>
        <v>1092</v>
      </c>
      <c r="B1093" s="314" t="s">
        <v>1098</v>
      </c>
      <c r="C1093" s="315" t="s">
        <v>412</v>
      </c>
      <c r="D1093" s="316" t="s">
        <v>1100</v>
      </c>
      <c r="E1093" s="318">
        <v>1.38</v>
      </c>
      <c r="F1093" s="318" t="s">
        <v>395</v>
      </c>
      <c r="G1093" s="318" t="s">
        <v>395</v>
      </c>
      <c r="H1093" s="318" t="s">
        <v>395</v>
      </c>
      <c r="I1093" s="318" t="s">
        <v>406</v>
      </c>
      <c r="J1093" s="318">
        <v>19</v>
      </c>
      <c r="K1093" s="317" t="s">
        <v>410</v>
      </c>
      <c r="L1093" s="317">
        <v>47.127699999999997</v>
      </c>
      <c r="M1093" s="317">
        <v>39.695700000000002</v>
      </c>
    </row>
    <row r="1094" spans="1:13" ht="60" hidden="1" x14ac:dyDescent="0.25">
      <c r="A1094" s="313">
        <f t="shared" si="17"/>
        <v>1093</v>
      </c>
      <c r="B1094" s="314" t="s">
        <v>1102</v>
      </c>
      <c r="C1094" s="315" t="s">
        <v>447</v>
      </c>
      <c r="D1094" s="316" t="s">
        <v>1104</v>
      </c>
      <c r="E1094" s="318">
        <v>2.1</v>
      </c>
      <c r="F1094" s="318" t="s">
        <v>395</v>
      </c>
      <c r="G1094" s="318" t="s">
        <v>395</v>
      </c>
      <c r="H1094" s="318" t="s">
        <v>395</v>
      </c>
      <c r="I1094" s="318" t="s">
        <v>406</v>
      </c>
      <c r="J1094" s="318">
        <v>55</v>
      </c>
      <c r="K1094" s="317" t="s">
        <v>410</v>
      </c>
      <c r="L1094" s="317">
        <v>46.936109999999999</v>
      </c>
      <c r="M1094" s="317">
        <v>39.657620000000001</v>
      </c>
    </row>
    <row r="1095" spans="1:13" ht="30" hidden="1" x14ac:dyDescent="0.25">
      <c r="A1095" s="313">
        <f t="shared" si="17"/>
        <v>1094</v>
      </c>
      <c r="B1095" s="314" t="s">
        <v>1106</v>
      </c>
      <c r="C1095" s="315" t="s">
        <v>399</v>
      </c>
      <c r="D1095" s="316" t="s">
        <v>1108</v>
      </c>
      <c r="E1095" s="318">
        <v>1.24</v>
      </c>
      <c r="F1095" s="318" t="s">
        <v>395</v>
      </c>
      <c r="G1095" s="318" t="s">
        <v>395</v>
      </c>
      <c r="H1095" s="318" t="s">
        <v>395</v>
      </c>
      <c r="I1095" s="318" t="s">
        <v>406</v>
      </c>
      <c r="J1095" s="318">
        <v>12</v>
      </c>
      <c r="K1095" s="317" t="s">
        <v>410</v>
      </c>
      <c r="L1095" s="317">
        <v>47.299849999999999</v>
      </c>
      <c r="M1095" s="317">
        <v>39.747259999999997</v>
      </c>
    </row>
    <row r="1096" spans="1:13" ht="75" hidden="1" x14ac:dyDescent="0.25">
      <c r="A1096" s="313">
        <f t="shared" si="17"/>
        <v>1095</v>
      </c>
      <c r="B1096" s="314" t="s">
        <v>1110</v>
      </c>
      <c r="C1096" s="315" t="s">
        <v>428</v>
      </c>
      <c r="D1096" s="316" t="s">
        <v>1112</v>
      </c>
      <c r="E1096" s="318">
        <v>3.04</v>
      </c>
      <c r="F1096" s="318" t="s">
        <v>395</v>
      </c>
      <c r="G1096" s="318" t="s">
        <v>395</v>
      </c>
      <c r="H1096" s="318" t="s">
        <v>395</v>
      </c>
      <c r="I1096" s="318" t="s">
        <v>406</v>
      </c>
      <c r="J1096" s="318">
        <v>102</v>
      </c>
      <c r="K1096" s="317" t="s">
        <v>410</v>
      </c>
      <c r="L1096" s="317">
        <v>47.850029999999997</v>
      </c>
      <c r="M1096" s="317">
        <v>39.781280000000002</v>
      </c>
    </row>
    <row r="1097" spans="1:13" ht="75" hidden="1" x14ac:dyDescent="0.25">
      <c r="A1097" s="313">
        <f t="shared" si="17"/>
        <v>1096</v>
      </c>
      <c r="B1097" s="314" t="s">
        <v>1114</v>
      </c>
      <c r="C1097" s="315" t="s">
        <v>428</v>
      </c>
      <c r="D1097" s="316" t="s">
        <v>1116</v>
      </c>
      <c r="E1097" s="318">
        <v>2.42</v>
      </c>
      <c r="F1097" s="318" t="s">
        <v>395</v>
      </c>
      <c r="G1097" s="318" t="s">
        <v>395</v>
      </c>
      <c r="H1097" s="318" t="s">
        <v>395</v>
      </c>
      <c r="I1097" s="318" t="s">
        <v>406</v>
      </c>
      <c r="J1097" s="318">
        <v>71</v>
      </c>
      <c r="K1097" s="317" t="s">
        <v>410</v>
      </c>
      <c r="L1097" s="317">
        <v>46.850909999999999</v>
      </c>
      <c r="M1097" s="317">
        <v>40.054969999999997</v>
      </c>
    </row>
    <row r="1098" spans="1:13" ht="75" hidden="1" x14ac:dyDescent="0.25">
      <c r="A1098" s="313">
        <f t="shared" si="17"/>
        <v>1097</v>
      </c>
      <c r="B1098" s="314" t="s">
        <v>1118</v>
      </c>
      <c r="C1098" s="315" t="s">
        <v>428</v>
      </c>
      <c r="D1098" s="316" t="s">
        <v>1120</v>
      </c>
      <c r="E1098" s="318">
        <v>3</v>
      </c>
      <c r="F1098" s="318" t="s">
        <v>395</v>
      </c>
      <c r="G1098" s="318" t="s">
        <v>395</v>
      </c>
      <c r="H1098" s="318" t="s">
        <v>395</v>
      </c>
      <c r="I1098" s="318" t="s">
        <v>406</v>
      </c>
      <c r="J1098" s="318">
        <v>100</v>
      </c>
      <c r="K1098" s="317" t="s">
        <v>410</v>
      </c>
      <c r="L1098" s="317">
        <v>47.899720000000002</v>
      </c>
      <c r="M1098" s="317">
        <v>40.056399999999996</v>
      </c>
    </row>
    <row r="1099" spans="1:13" ht="60" hidden="1" x14ac:dyDescent="0.25">
      <c r="A1099" s="313">
        <f t="shared" si="17"/>
        <v>1098</v>
      </c>
      <c r="B1099" s="314" t="s">
        <v>1122</v>
      </c>
      <c r="C1099" s="315" t="s">
        <v>447</v>
      </c>
      <c r="D1099" s="316" t="s">
        <v>1123</v>
      </c>
      <c r="E1099" s="318">
        <v>1.04</v>
      </c>
      <c r="F1099" s="318" t="s">
        <v>395</v>
      </c>
      <c r="G1099" s="318" t="s">
        <v>395</v>
      </c>
      <c r="H1099" s="318" t="s">
        <v>395</v>
      </c>
      <c r="I1099" s="318" t="s">
        <v>406</v>
      </c>
      <c r="J1099" s="318">
        <v>2</v>
      </c>
      <c r="K1099" s="317" t="s">
        <v>410</v>
      </c>
      <c r="L1099" s="317">
        <v>47.227809999999998</v>
      </c>
      <c r="M1099" s="317">
        <v>39.712240000000001</v>
      </c>
    </row>
    <row r="1100" spans="1:13" ht="30" hidden="1" x14ac:dyDescent="0.25">
      <c r="A1100" s="313">
        <f t="shared" si="17"/>
        <v>1099</v>
      </c>
      <c r="B1100" s="314" t="s">
        <v>1125</v>
      </c>
      <c r="C1100" s="315" t="s">
        <v>637</v>
      </c>
      <c r="D1100" s="316" t="s">
        <v>1127</v>
      </c>
      <c r="E1100" s="318">
        <v>3.3</v>
      </c>
      <c r="F1100" s="318" t="s">
        <v>395</v>
      </c>
      <c r="G1100" s="318" t="s">
        <v>395</v>
      </c>
      <c r="H1100" s="318" t="s">
        <v>395</v>
      </c>
      <c r="I1100" s="318" t="s">
        <v>406</v>
      </c>
      <c r="J1100" s="318">
        <v>115</v>
      </c>
      <c r="K1100" s="317" t="s">
        <v>410</v>
      </c>
      <c r="L1100" s="317">
        <v>47.84948</v>
      </c>
      <c r="M1100" s="317">
        <v>40.6008</v>
      </c>
    </row>
    <row r="1101" spans="1:13" ht="30" hidden="1" x14ac:dyDescent="0.25">
      <c r="A1101" s="313">
        <f t="shared" si="17"/>
        <v>1100</v>
      </c>
      <c r="B1101" s="314" t="s">
        <v>1129</v>
      </c>
      <c r="C1101" s="315" t="s">
        <v>637</v>
      </c>
      <c r="D1101" s="316" t="s">
        <v>1131</v>
      </c>
      <c r="E1101" s="318">
        <v>3.54</v>
      </c>
      <c r="F1101" s="318" t="s">
        <v>395</v>
      </c>
      <c r="G1101" s="318" t="s">
        <v>395</v>
      </c>
      <c r="H1101" s="318" t="s">
        <v>395</v>
      </c>
      <c r="I1101" s="318" t="s">
        <v>406</v>
      </c>
      <c r="J1101" s="318">
        <v>127</v>
      </c>
      <c r="K1101" s="317" t="s">
        <v>410</v>
      </c>
      <c r="L1101" s="317">
        <v>47.419350000000001</v>
      </c>
      <c r="M1101" s="317">
        <v>40.906350000000003</v>
      </c>
    </row>
    <row r="1102" spans="1:13" ht="45" hidden="1" x14ac:dyDescent="0.25">
      <c r="A1102" s="313">
        <f t="shared" si="17"/>
        <v>1101</v>
      </c>
      <c r="B1102" s="314" t="s">
        <v>1133</v>
      </c>
      <c r="C1102" s="315" t="s">
        <v>412</v>
      </c>
      <c r="D1102" s="316" t="s">
        <v>1135</v>
      </c>
      <c r="E1102" s="318">
        <v>1.34</v>
      </c>
      <c r="F1102" s="318" t="s">
        <v>395</v>
      </c>
      <c r="G1102" s="318" t="s">
        <v>395</v>
      </c>
      <c r="H1102" s="318" t="s">
        <v>395</v>
      </c>
      <c r="I1102" s="318" t="s">
        <v>406</v>
      </c>
      <c r="J1102" s="318">
        <v>17</v>
      </c>
      <c r="K1102" s="317" t="s">
        <v>410</v>
      </c>
      <c r="L1102" s="317">
        <v>47.30782</v>
      </c>
      <c r="M1102" s="317">
        <v>39.783859999999997</v>
      </c>
    </row>
    <row r="1103" spans="1:13" ht="30" hidden="1" x14ac:dyDescent="0.25">
      <c r="A1103" s="313">
        <f t="shared" si="17"/>
        <v>1102</v>
      </c>
      <c r="B1103" s="314" t="s">
        <v>1137</v>
      </c>
      <c r="C1103" s="315" t="s">
        <v>503</v>
      </c>
      <c r="D1103" s="316" t="s">
        <v>1139</v>
      </c>
      <c r="E1103" s="318">
        <v>2.02</v>
      </c>
      <c r="F1103" s="318" t="s">
        <v>395</v>
      </c>
      <c r="G1103" s="318" t="s">
        <v>395</v>
      </c>
      <c r="H1103" s="318" t="s">
        <v>395</v>
      </c>
      <c r="I1103" s="318" t="s">
        <v>406</v>
      </c>
      <c r="J1103" s="318">
        <v>51</v>
      </c>
      <c r="K1103" s="317" t="s">
        <v>410</v>
      </c>
      <c r="L1103" s="317">
        <v>47.041060000000002</v>
      </c>
      <c r="M1103" s="317">
        <v>40.065669999999997</v>
      </c>
    </row>
    <row r="1104" spans="1:13" ht="45" hidden="1" x14ac:dyDescent="0.25">
      <c r="A1104" s="313">
        <f t="shared" si="17"/>
        <v>1103</v>
      </c>
      <c r="B1104" s="314" t="s">
        <v>1141</v>
      </c>
      <c r="C1104" s="315" t="s">
        <v>412</v>
      </c>
      <c r="D1104" s="316" t="s">
        <v>1143</v>
      </c>
      <c r="E1104" s="318">
        <v>3</v>
      </c>
      <c r="F1104" s="318" t="s">
        <v>395</v>
      </c>
      <c r="G1104" s="318" t="s">
        <v>395</v>
      </c>
      <c r="H1104" s="318" t="s">
        <v>395</v>
      </c>
      <c r="I1104" s="318" t="s">
        <v>406</v>
      </c>
      <c r="J1104" s="318">
        <v>100</v>
      </c>
      <c r="K1104" s="317" t="s">
        <v>410</v>
      </c>
      <c r="L1104" s="317">
        <v>47.914499999999997</v>
      </c>
      <c r="M1104" s="317">
        <v>40.21931</v>
      </c>
    </row>
    <row r="1105" spans="1:13" ht="30" hidden="1" x14ac:dyDescent="0.25">
      <c r="A1105" s="313">
        <f t="shared" si="17"/>
        <v>1104</v>
      </c>
      <c r="B1105" s="314" t="s">
        <v>1145</v>
      </c>
      <c r="C1105" s="315" t="s">
        <v>503</v>
      </c>
      <c r="D1105" s="316" t="s">
        <v>1146</v>
      </c>
      <c r="E1105" s="318">
        <v>1.5</v>
      </c>
      <c r="F1105" s="318" t="s">
        <v>395</v>
      </c>
      <c r="G1105" s="318" t="s">
        <v>395</v>
      </c>
      <c r="H1105" s="318" t="s">
        <v>395</v>
      </c>
      <c r="I1105" s="318" t="s">
        <v>406</v>
      </c>
      <c r="J1105" s="318">
        <v>25</v>
      </c>
      <c r="K1105" s="317" t="s">
        <v>410</v>
      </c>
      <c r="L1105" s="317">
        <v>47.039169999999999</v>
      </c>
      <c r="M1105" s="317">
        <v>39.741669999999999</v>
      </c>
    </row>
    <row r="1106" spans="1:13" ht="60" hidden="1" x14ac:dyDescent="0.25">
      <c r="A1106" s="313">
        <f t="shared" si="17"/>
        <v>1105</v>
      </c>
      <c r="B1106" s="314" t="s">
        <v>1149</v>
      </c>
      <c r="C1106" s="315" t="s">
        <v>447</v>
      </c>
      <c r="D1106" s="316" t="s">
        <v>1150</v>
      </c>
      <c r="E1106" s="318">
        <v>2.02</v>
      </c>
      <c r="F1106" s="318" t="s">
        <v>395</v>
      </c>
      <c r="G1106" s="318" t="s">
        <v>395</v>
      </c>
      <c r="H1106" s="318" t="s">
        <v>395</v>
      </c>
      <c r="I1106" s="318" t="s">
        <v>406</v>
      </c>
      <c r="J1106" s="318">
        <v>51</v>
      </c>
      <c r="K1106" s="317" t="s">
        <v>410</v>
      </c>
      <c r="L1106" s="317">
        <v>46.814889999999998</v>
      </c>
      <c r="M1106" s="317">
        <v>39.675170000000001</v>
      </c>
    </row>
    <row r="1107" spans="1:13" ht="45" hidden="1" x14ac:dyDescent="0.25">
      <c r="A1107" s="313">
        <f t="shared" si="17"/>
        <v>1106</v>
      </c>
      <c r="B1107" s="314" t="s">
        <v>1153</v>
      </c>
      <c r="C1107" s="315" t="s">
        <v>582</v>
      </c>
      <c r="D1107" s="316" t="s">
        <v>1155</v>
      </c>
      <c r="E1107" s="318">
        <v>2.96</v>
      </c>
      <c r="F1107" s="318" t="s">
        <v>395</v>
      </c>
      <c r="G1107" s="318" t="s">
        <v>395</v>
      </c>
      <c r="H1107" s="318" t="s">
        <v>395</v>
      </c>
      <c r="I1107" s="318" t="s">
        <v>406</v>
      </c>
      <c r="J1107" s="318">
        <v>98</v>
      </c>
      <c r="K1107" s="317" t="s">
        <v>410</v>
      </c>
      <c r="L1107" s="317">
        <v>47.731749999999998</v>
      </c>
      <c r="M1107" s="317">
        <v>40.465980000000002</v>
      </c>
    </row>
    <row r="1108" spans="1:13" ht="45" hidden="1" x14ac:dyDescent="0.25">
      <c r="A1108" s="313">
        <f t="shared" si="17"/>
        <v>1107</v>
      </c>
      <c r="B1108" s="314" t="s">
        <v>1157</v>
      </c>
      <c r="C1108" s="315" t="s">
        <v>582</v>
      </c>
      <c r="D1108" s="316" t="s">
        <v>1159</v>
      </c>
      <c r="E1108" s="318">
        <v>3.4</v>
      </c>
      <c r="F1108" s="318" t="s">
        <v>395</v>
      </c>
      <c r="G1108" s="318" t="s">
        <v>395</v>
      </c>
      <c r="H1108" s="318" t="s">
        <v>395</v>
      </c>
      <c r="I1108" s="318" t="s">
        <v>406</v>
      </c>
      <c r="J1108" s="318">
        <v>120</v>
      </c>
      <c r="K1108" s="317" t="s">
        <v>410</v>
      </c>
      <c r="L1108" s="317">
        <v>47.971469999999997</v>
      </c>
      <c r="M1108" s="317">
        <v>39.821539999999999</v>
      </c>
    </row>
    <row r="1109" spans="1:13" ht="45" hidden="1" x14ac:dyDescent="0.25">
      <c r="A1109" s="313">
        <f t="shared" si="17"/>
        <v>1108</v>
      </c>
      <c r="B1109" s="314" t="s">
        <v>1161</v>
      </c>
      <c r="C1109" s="315" t="s">
        <v>582</v>
      </c>
      <c r="D1109" s="316" t="s">
        <v>1163</v>
      </c>
      <c r="E1109" s="318">
        <v>3.34</v>
      </c>
      <c r="F1109" s="318" t="s">
        <v>395</v>
      </c>
      <c r="G1109" s="318" t="s">
        <v>395</v>
      </c>
      <c r="H1109" s="318" t="s">
        <v>395</v>
      </c>
      <c r="I1109" s="318" t="s">
        <v>406</v>
      </c>
      <c r="J1109" s="318">
        <v>117</v>
      </c>
      <c r="K1109" s="317" t="s">
        <v>410</v>
      </c>
      <c r="L1109" s="317">
        <v>47.970129999999997</v>
      </c>
      <c r="M1109" s="317">
        <v>39.85736</v>
      </c>
    </row>
    <row r="1110" spans="1:13" ht="45" hidden="1" x14ac:dyDescent="0.25">
      <c r="A1110" s="313">
        <f t="shared" si="17"/>
        <v>1109</v>
      </c>
      <c r="B1110" s="314" t="s">
        <v>1165</v>
      </c>
      <c r="C1110" s="315" t="s">
        <v>582</v>
      </c>
      <c r="D1110" s="316" t="s">
        <v>1167</v>
      </c>
      <c r="E1110" s="318">
        <v>2.56</v>
      </c>
      <c r="F1110" s="318" t="s">
        <v>395</v>
      </c>
      <c r="G1110" s="318" t="s">
        <v>395</v>
      </c>
      <c r="H1110" s="318" t="s">
        <v>395</v>
      </c>
      <c r="I1110" s="318" t="s">
        <v>406</v>
      </c>
      <c r="J1110" s="318">
        <v>78</v>
      </c>
      <c r="K1110" s="317" t="s">
        <v>410</v>
      </c>
      <c r="L1110" s="317">
        <v>47.819479999999999</v>
      </c>
      <c r="M1110" s="317">
        <v>39.77581</v>
      </c>
    </row>
    <row r="1111" spans="1:13" ht="45" hidden="1" x14ac:dyDescent="0.25">
      <c r="A1111" s="313">
        <f t="shared" si="17"/>
        <v>1110</v>
      </c>
      <c r="B1111" s="314" t="s">
        <v>1169</v>
      </c>
      <c r="C1111" s="315" t="s">
        <v>582</v>
      </c>
      <c r="D1111" s="316" t="s">
        <v>1171</v>
      </c>
      <c r="E1111" s="318">
        <v>2.6</v>
      </c>
      <c r="F1111" s="318" t="s">
        <v>395</v>
      </c>
      <c r="G1111" s="318" t="s">
        <v>395</v>
      </c>
      <c r="H1111" s="318" t="s">
        <v>395</v>
      </c>
      <c r="I1111" s="318" t="s">
        <v>406</v>
      </c>
      <c r="J1111" s="318">
        <v>80</v>
      </c>
      <c r="K1111" s="317" t="s">
        <v>410</v>
      </c>
      <c r="L1111" s="317">
        <v>47.207070000000002</v>
      </c>
      <c r="M1111" s="317">
        <v>40.463619999999999</v>
      </c>
    </row>
    <row r="1112" spans="1:13" ht="45" hidden="1" x14ac:dyDescent="0.25">
      <c r="A1112" s="313">
        <f t="shared" si="17"/>
        <v>1111</v>
      </c>
      <c r="B1112" s="314" t="s">
        <v>1173</v>
      </c>
      <c r="C1112" s="315" t="s">
        <v>582</v>
      </c>
      <c r="D1112" s="316" t="s">
        <v>1175</v>
      </c>
      <c r="E1112" s="318">
        <v>2.74</v>
      </c>
      <c r="F1112" s="318" t="s">
        <v>395</v>
      </c>
      <c r="G1112" s="318" t="s">
        <v>395</v>
      </c>
      <c r="H1112" s="318" t="s">
        <v>395</v>
      </c>
      <c r="I1112" s="318" t="s">
        <v>406</v>
      </c>
      <c r="J1112" s="318">
        <v>87</v>
      </c>
      <c r="K1112" s="317" t="s">
        <v>410</v>
      </c>
      <c r="L1112" s="317">
        <v>47.547739999999997</v>
      </c>
      <c r="M1112" s="317">
        <v>40.322490000000002</v>
      </c>
    </row>
    <row r="1113" spans="1:13" ht="45" hidden="1" x14ac:dyDescent="0.25">
      <c r="A1113" s="313">
        <f t="shared" si="17"/>
        <v>1112</v>
      </c>
      <c r="B1113" s="314" t="s">
        <v>1177</v>
      </c>
      <c r="C1113" s="315" t="s">
        <v>582</v>
      </c>
      <c r="D1113" s="316" t="s">
        <v>1179</v>
      </c>
      <c r="E1113" s="318">
        <v>2.62</v>
      </c>
      <c r="F1113" s="318" t="s">
        <v>395</v>
      </c>
      <c r="G1113" s="318" t="s">
        <v>395</v>
      </c>
      <c r="H1113" s="318" t="s">
        <v>395</v>
      </c>
      <c r="I1113" s="318" t="s">
        <v>406</v>
      </c>
      <c r="J1113" s="318">
        <v>81</v>
      </c>
      <c r="K1113" s="317" t="s">
        <v>410</v>
      </c>
      <c r="L1113" s="317">
        <v>46.802709999999998</v>
      </c>
      <c r="M1113" s="317">
        <v>40.142479999999999</v>
      </c>
    </row>
    <row r="1114" spans="1:13" ht="30" hidden="1" x14ac:dyDescent="0.25">
      <c r="A1114" s="313">
        <f t="shared" si="17"/>
        <v>1113</v>
      </c>
      <c r="B1114" s="314" t="s">
        <v>1181</v>
      </c>
      <c r="C1114" s="315" t="s">
        <v>399</v>
      </c>
      <c r="D1114" s="316" t="s">
        <v>1183</v>
      </c>
      <c r="E1114" s="318">
        <v>1.18</v>
      </c>
      <c r="F1114" s="318" t="s">
        <v>395</v>
      </c>
      <c r="G1114" s="318" t="s">
        <v>395</v>
      </c>
      <c r="H1114" s="318" t="s">
        <v>395</v>
      </c>
      <c r="I1114" s="318" t="s">
        <v>406</v>
      </c>
      <c r="J1114" s="318">
        <v>9</v>
      </c>
      <c r="K1114" s="317" t="s">
        <v>410</v>
      </c>
      <c r="L1114" s="317">
        <v>47.207189999999997</v>
      </c>
      <c r="M1114" s="317">
        <v>39.756160000000001</v>
      </c>
    </row>
    <row r="1115" spans="1:13" ht="60" hidden="1" x14ac:dyDescent="0.25">
      <c r="A1115" s="313">
        <f t="shared" si="17"/>
        <v>1114</v>
      </c>
      <c r="B1115" s="314" t="s">
        <v>1185</v>
      </c>
      <c r="C1115" s="315" t="s">
        <v>447</v>
      </c>
      <c r="D1115" s="316" t="s">
        <v>1187</v>
      </c>
      <c r="E1115" s="318">
        <v>1.32</v>
      </c>
      <c r="F1115" s="318" t="s">
        <v>395</v>
      </c>
      <c r="G1115" s="318" t="s">
        <v>395</v>
      </c>
      <c r="H1115" s="318" t="s">
        <v>395</v>
      </c>
      <c r="I1115" s="318" t="s">
        <v>406</v>
      </c>
      <c r="J1115" s="318">
        <v>16</v>
      </c>
      <c r="K1115" s="317" t="s">
        <v>410</v>
      </c>
      <c r="L1115" s="317">
        <v>47.133540000000004</v>
      </c>
      <c r="M1115" s="317">
        <v>39.786720000000003</v>
      </c>
    </row>
    <row r="1116" spans="1:13" ht="30" hidden="1" x14ac:dyDescent="0.25">
      <c r="A1116" s="313">
        <f t="shared" si="17"/>
        <v>1115</v>
      </c>
      <c r="B1116" s="314" t="s">
        <v>1190</v>
      </c>
      <c r="C1116" s="315" t="s">
        <v>503</v>
      </c>
      <c r="D1116" s="316" t="s">
        <v>1193</v>
      </c>
      <c r="E1116" s="318">
        <v>1.1000000000000001</v>
      </c>
      <c r="F1116" s="318" t="s">
        <v>395</v>
      </c>
      <c r="G1116" s="318" t="s">
        <v>395</v>
      </c>
      <c r="H1116" s="318" t="s">
        <v>395</v>
      </c>
      <c r="I1116" s="318" t="s">
        <v>406</v>
      </c>
      <c r="J1116" s="318">
        <v>5</v>
      </c>
      <c r="K1116" s="317" t="s">
        <v>410</v>
      </c>
      <c r="L1116" s="317">
        <v>47.243209999999998</v>
      </c>
      <c r="M1116" s="317">
        <v>39.725969999999997</v>
      </c>
    </row>
    <row r="1117" spans="1:13" ht="25.5" hidden="1" x14ac:dyDescent="0.25">
      <c r="A1117" s="313">
        <f t="shared" si="17"/>
        <v>1116</v>
      </c>
      <c r="B1117" s="314" t="s">
        <v>1195</v>
      </c>
      <c r="C1117" s="315" t="s">
        <v>402</v>
      </c>
      <c r="D1117" s="316" t="s">
        <v>691</v>
      </c>
      <c r="E1117" s="318">
        <v>1.2</v>
      </c>
      <c r="F1117" s="318" t="s">
        <v>395</v>
      </c>
      <c r="G1117" s="318" t="s">
        <v>395</v>
      </c>
      <c r="H1117" s="318" t="s">
        <v>395</v>
      </c>
      <c r="I1117" s="318" t="s">
        <v>406</v>
      </c>
      <c r="J1117" s="318">
        <v>10</v>
      </c>
      <c r="K1117" s="317" t="s">
        <v>410</v>
      </c>
      <c r="L1117" s="317">
        <v>47.289430000000003</v>
      </c>
      <c r="M1117" s="317">
        <v>39.713520000000003</v>
      </c>
    </row>
    <row r="1118" spans="1:13" ht="30" hidden="1" x14ac:dyDescent="0.25">
      <c r="A1118" s="313">
        <f t="shared" si="17"/>
        <v>1117</v>
      </c>
      <c r="B1118" s="314" t="s">
        <v>1197</v>
      </c>
      <c r="C1118" s="315" t="s">
        <v>399</v>
      </c>
      <c r="D1118" s="316" t="s">
        <v>1199</v>
      </c>
      <c r="E1118" s="318">
        <v>1.1200000000000001</v>
      </c>
      <c r="F1118" s="318" t="s">
        <v>395</v>
      </c>
      <c r="G1118" s="318" t="s">
        <v>395</v>
      </c>
      <c r="H1118" s="318" t="s">
        <v>395</v>
      </c>
      <c r="I1118" s="318" t="s">
        <v>406</v>
      </c>
      <c r="J1118" s="318">
        <v>6</v>
      </c>
      <c r="K1118" s="317" t="s">
        <v>410</v>
      </c>
      <c r="L1118" s="317">
        <v>47.208750000000002</v>
      </c>
      <c r="M1118" s="317">
        <v>39.733890000000002</v>
      </c>
    </row>
    <row r="1119" spans="1:13" ht="30" hidden="1" x14ac:dyDescent="0.25">
      <c r="A1119" s="313">
        <f t="shared" si="17"/>
        <v>1118</v>
      </c>
      <c r="B1119" s="314" t="s">
        <v>1201</v>
      </c>
      <c r="C1119" s="315" t="s">
        <v>503</v>
      </c>
      <c r="D1119" s="316" t="s">
        <v>1203</v>
      </c>
      <c r="E1119" s="318">
        <v>2</v>
      </c>
      <c r="F1119" s="318" t="s">
        <v>395</v>
      </c>
      <c r="G1119" s="318" t="s">
        <v>395</v>
      </c>
      <c r="H1119" s="318" t="s">
        <v>395</v>
      </c>
      <c r="I1119" s="318" t="s">
        <v>406</v>
      </c>
      <c r="J1119" s="318">
        <v>50</v>
      </c>
      <c r="K1119" s="317" t="s">
        <v>410</v>
      </c>
      <c r="L1119" s="317">
        <v>47.409959999999998</v>
      </c>
      <c r="M1119" s="317">
        <v>39.975119999999997</v>
      </c>
    </row>
    <row r="1120" spans="1:13" ht="30" hidden="1" x14ac:dyDescent="0.25">
      <c r="A1120" s="313">
        <f t="shared" si="17"/>
        <v>1119</v>
      </c>
      <c r="B1120" s="314" t="s">
        <v>1205</v>
      </c>
      <c r="C1120" s="315" t="s">
        <v>503</v>
      </c>
      <c r="D1120" s="316" t="s">
        <v>1207</v>
      </c>
      <c r="E1120" s="318">
        <v>1.9</v>
      </c>
      <c r="F1120" s="318" t="s">
        <v>395</v>
      </c>
      <c r="G1120" s="318" t="s">
        <v>395</v>
      </c>
      <c r="H1120" s="318" t="s">
        <v>395</v>
      </c>
      <c r="I1120" s="318" t="s">
        <v>406</v>
      </c>
      <c r="J1120" s="318">
        <v>45</v>
      </c>
      <c r="K1120" s="317" t="s">
        <v>410</v>
      </c>
      <c r="L1120" s="317">
        <v>47.329720000000002</v>
      </c>
      <c r="M1120" s="317">
        <v>39.933329999999998</v>
      </c>
    </row>
    <row r="1121" spans="1:13" ht="30" hidden="1" x14ac:dyDescent="0.25">
      <c r="A1121" s="313">
        <f t="shared" si="17"/>
        <v>1120</v>
      </c>
      <c r="B1121" s="314" t="s">
        <v>1209</v>
      </c>
      <c r="C1121" s="315" t="s">
        <v>503</v>
      </c>
      <c r="D1121" s="316" t="s">
        <v>1211</v>
      </c>
      <c r="E1121" s="318">
        <v>1.56</v>
      </c>
      <c r="F1121" s="318" t="s">
        <v>395</v>
      </c>
      <c r="G1121" s="318" t="s">
        <v>395</v>
      </c>
      <c r="H1121" s="318" t="s">
        <v>395</v>
      </c>
      <c r="I1121" s="318" t="s">
        <v>406</v>
      </c>
      <c r="J1121" s="318">
        <v>28</v>
      </c>
      <c r="K1121" s="317" t="s">
        <v>410</v>
      </c>
      <c r="L1121" s="317">
        <v>47.206110000000002</v>
      </c>
      <c r="M1121" s="317">
        <v>39.932499999999997</v>
      </c>
    </row>
    <row r="1122" spans="1:13" ht="30" hidden="1" x14ac:dyDescent="0.25">
      <c r="A1122" s="313">
        <f t="shared" si="17"/>
        <v>1121</v>
      </c>
      <c r="B1122" s="314" t="s">
        <v>1213</v>
      </c>
      <c r="C1122" s="315" t="s">
        <v>503</v>
      </c>
      <c r="D1122" s="316" t="s">
        <v>1215</v>
      </c>
      <c r="E1122" s="318">
        <v>1.56</v>
      </c>
      <c r="F1122" s="318" t="s">
        <v>395</v>
      </c>
      <c r="G1122" s="318" t="s">
        <v>395</v>
      </c>
      <c r="H1122" s="318" t="s">
        <v>395</v>
      </c>
      <c r="I1122" s="318" t="s">
        <v>406</v>
      </c>
      <c r="J1122" s="318">
        <v>28</v>
      </c>
      <c r="K1122" s="317" t="s">
        <v>410</v>
      </c>
      <c r="L1122" s="317">
        <v>47.147779999999997</v>
      </c>
      <c r="M1122" s="317">
        <v>39.874720000000003</v>
      </c>
    </row>
    <row r="1123" spans="1:13" ht="45" hidden="1" x14ac:dyDescent="0.25">
      <c r="A1123" s="313">
        <f t="shared" si="17"/>
        <v>1122</v>
      </c>
      <c r="B1123" s="314" t="s">
        <v>1217</v>
      </c>
      <c r="C1123" s="315" t="s">
        <v>412</v>
      </c>
      <c r="D1123" s="316" t="s">
        <v>1219</v>
      </c>
      <c r="E1123" s="318">
        <v>1.54</v>
      </c>
      <c r="F1123" s="318" t="s">
        <v>395</v>
      </c>
      <c r="G1123" s="318" t="s">
        <v>395</v>
      </c>
      <c r="H1123" s="318" t="s">
        <v>395</v>
      </c>
      <c r="I1123" s="318" t="s">
        <v>406</v>
      </c>
      <c r="J1123" s="318">
        <v>27</v>
      </c>
      <c r="K1123" s="317" t="s">
        <v>410</v>
      </c>
      <c r="L1123" s="317">
        <v>47.090229999999998</v>
      </c>
      <c r="M1123" s="317">
        <v>39.821420000000003</v>
      </c>
    </row>
    <row r="1124" spans="1:13" ht="60" hidden="1" x14ac:dyDescent="0.25">
      <c r="A1124" s="313">
        <f t="shared" si="17"/>
        <v>1123</v>
      </c>
      <c r="B1124" s="314" t="s">
        <v>1221</v>
      </c>
      <c r="C1124" s="315" t="s">
        <v>447</v>
      </c>
      <c r="D1124" s="316" t="s">
        <v>1222</v>
      </c>
      <c r="E1124" s="318">
        <v>2.66</v>
      </c>
      <c r="F1124" s="318" t="s">
        <v>395</v>
      </c>
      <c r="G1124" s="318" t="s">
        <v>395</v>
      </c>
      <c r="H1124" s="318" t="s">
        <v>395</v>
      </c>
      <c r="I1124" s="318" t="s">
        <v>406</v>
      </c>
      <c r="J1124" s="318">
        <v>83</v>
      </c>
      <c r="K1124" s="317" t="s">
        <v>410</v>
      </c>
      <c r="L1124" s="317">
        <v>47.696550000000002</v>
      </c>
      <c r="M1124" s="317">
        <v>40.134219999999999</v>
      </c>
    </row>
    <row r="1125" spans="1:13" ht="60" hidden="1" x14ac:dyDescent="0.25">
      <c r="A1125" s="313">
        <f t="shared" si="17"/>
        <v>1124</v>
      </c>
      <c r="B1125" s="314" t="s">
        <v>1225</v>
      </c>
      <c r="C1125" s="315" t="s">
        <v>447</v>
      </c>
      <c r="D1125" s="316" t="s">
        <v>1227</v>
      </c>
      <c r="E1125" s="318">
        <v>1.28</v>
      </c>
      <c r="F1125" s="318" t="s">
        <v>395</v>
      </c>
      <c r="G1125" s="318" t="s">
        <v>395</v>
      </c>
      <c r="H1125" s="318" t="s">
        <v>395</v>
      </c>
      <c r="I1125" s="318" t="s">
        <v>406</v>
      </c>
      <c r="J1125" s="318">
        <v>14</v>
      </c>
      <c r="K1125" s="317" t="s">
        <v>410</v>
      </c>
      <c r="L1125" s="317">
        <v>47.307540000000003</v>
      </c>
      <c r="M1125" s="317">
        <v>39.732030000000002</v>
      </c>
    </row>
    <row r="1126" spans="1:13" ht="30" hidden="1" x14ac:dyDescent="0.25">
      <c r="A1126" s="313">
        <f t="shared" si="17"/>
        <v>1125</v>
      </c>
      <c r="B1126" s="314" t="s">
        <v>1229</v>
      </c>
      <c r="C1126" s="315" t="s">
        <v>1230</v>
      </c>
      <c r="D1126" s="316" t="s">
        <v>1232</v>
      </c>
      <c r="E1126" s="318">
        <v>1.1000000000000001</v>
      </c>
      <c r="F1126" s="318" t="s">
        <v>395</v>
      </c>
      <c r="G1126" s="318" t="s">
        <v>395</v>
      </c>
      <c r="H1126" s="318" t="s">
        <v>395</v>
      </c>
      <c r="I1126" s="318" t="s">
        <v>406</v>
      </c>
      <c r="J1126" s="318">
        <v>5</v>
      </c>
      <c r="K1126" s="317" t="s">
        <v>410</v>
      </c>
      <c r="L1126" s="317">
        <v>47.226529999999997</v>
      </c>
      <c r="M1126" s="317">
        <v>39.735419999999998</v>
      </c>
    </row>
    <row r="1127" spans="1:13" ht="30" hidden="1" x14ac:dyDescent="0.25">
      <c r="A1127" s="313">
        <f t="shared" si="17"/>
        <v>1126</v>
      </c>
      <c r="B1127" s="314" t="s">
        <v>1234</v>
      </c>
      <c r="C1127" s="315" t="s">
        <v>1230</v>
      </c>
      <c r="D1127" s="316" t="s">
        <v>1232</v>
      </c>
      <c r="E1127" s="318">
        <v>1.1000000000000001</v>
      </c>
      <c r="F1127" s="318" t="s">
        <v>395</v>
      </c>
      <c r="G1127" s="318" t="s">
        <v>395</v>
      </c>
      <c r="H1127" s="318" t="s">
        <v>395</v>
      </c>
      <c r="I1127" s="318" t="s">
        <v>406</v>
      </c>
      <c r="J1127" s="318">
        <v>5</v>
      </c>
      <c r="K1127" s="317" t="s">
        <v>410</v>
      </c>
      <c r="L1127" s="317">
        <v>47.226529999999997</v>
      </c>
      <c r="M1127" s="317">
        <v>39.735419999999998</v>
      </c>
    </row>
    <row r="1128" spans="1:13" ht="45" hidden="1" x14ac:dyDescent="0.25">
      <c r="A1128" s="313">
        <f t="shared" si="17"/>
        <v>1127</v>
      </c>
      <c r="B1128" s="314" t="s">
        <v>1237</v>
      </c>
      <c r="C1128" s="315" t="s">
        <v>582</v>
      </c>
      <c r="D1128" s="316" t="s">
        <v>1239</v>
      </c>
      <c r="E1128" s="318">
        <v>2.58</v>
      </c>
      <c r="F1128" s="318" t="s">
        <v>395</v>
      </c>
      <c r="G1128" s="318" t="s">
        <v>395</v>
      </c>
      <c r="H1128" s="318" t="s">
        <v>395</v>
      </c>
      <c r="I1128" s="318" t="s">
        <v>406</v>
      </c>
      <c r="J1128" s="318">
        <v>79</v>
      </c>
      <c r="K1128" s="317" t="s">
        <v>410</v>
      </c>
      <c r="L1128" s="317">
        <v>46.810560000000002</v>
      </c>
      <c r="M1128" s="317">
        <v>39.173499999999997</v>
      </c>
    </row>
    <row r="1129" spans="1:13" ht="45" hidden="1" x14ac:dyDescent="0.25">
      <c r="A1129" s="313">
        <f t="shared" si="17"/>
        <v>1128</v>
      </c>
      <c r="B1129" s="314" t="s">
        <v>1241</v>
      </c>
      <c r="C1129" s="315" t="s">
        <v>582</v>
      </c>
      <c r="D1129" s="316" t="s">
        <v>1243</v>
      </c>
      <c r="E1129" s="318">
        <v>2.72</v>
      </c>
      <c r="F1129" s="318" t="s">
        <v>395</v>
      </c>
      <c r="G1129" s="318" t="s">
        <v>395</v>
      </c>
      <c r="H1129" s="318" t="s">
        <v>395</v>
      </c>
      <c r="I1129" s="318" t="s">
        <v>406</v>
      </c>
      <c r="J1129" s="318">
        <v>86</v>
      </c>
      <c r="K1129" s="317" t="s">
        <v>410</v>
      </c>
      <c r="L1129" s="317">
        <v>46.882249999999999</v>
      </c>
      <c r="M1129" s="317">
        <v>39.072240000000001</v>
      </c>
    </row>
    <row r="1130" spans="1:13" ht="45" hidden="1" x14ac:dyDescent="0.25">
      <c r="A1130" s="313">
        <f t="shared" si="17"/>
        <v>1129</v>
      </c>
      <c r="B1130" s="314" t="s">
        <v>1245</v>
      </c>
      <c r="C1130" s="315" t="s">
        <v>582</v>
      </c>
      <c r="D1130" s="316" t="s">
        <v>1247</v>
      </c>
      <c r="E1130" s="318">
        <v>3.1</v>
      </c>
      <c r="F1130" s="318" t="s">
        <v>395</v>
      </c>
      <c r="G1130" s="318" t="s">
        <v>395</v>
      </c>
      <c r="H1130" s="318" t="s">
        <v>395</v>
      </c>
      <c r="I1130" s="318" t="s">
        <v>406</v>
      </c>
      <c r="J1130" s="318">
        <v>105</v>
      </c>
      <c r="K1130" s="317" t="s">
        <v>410</v>
      </c>
      <c r="L1130" s="317">
        <v>47.318339999999999</v>
      </c>
      <c r="M1130" s="317">
        <v>40.715820000000001</v>
      </c>
    </row>
    <row r="1131" spans="1:13" ht="45" hidden="1" x14ac:dyDescent="0.25">
      <c r="A1131" s="313">
        <f t="shared" si="17"/>
        <v>1130</v>
      </c>
      <c r="B1131" s="314" t="s">
        <v>1249</v>
      </c>
      <c r="C1131" s="315" t="s">
        <v>582</v>
      </c>
      <c r="D1131" s="316" t="s">
        <v>1251</v>
      </c>
      <c r="E1131" s="318">
        <v>3.02</v>
      </c>
      <c r="F1131" s="318" t="s">
        <v>395</v>
      </c>
      <c r="G1131" s="318" t="s">
        <v>395</v>
      </c>
      <c r="H1131" s="318" t="s">
        <v>395</v>
      </c>
      <c r="I1131" s="318" t="s">
        <v>406</v>
      </c>
      <c r="J1131" s="318">
        <v>101</v>
      </c>
      <c r="K1131" s="317" t="s">
        <v>410</v>
      </c>
      <c r="L1131" s="317">
        <v>47.580019999999998</v>
      </c>
      <c r="M1131" s="317">
        <v>40.402830000000002</v>
      </c>
    </row>
    <row r="1132" spans="1:13" ht="45" hidden="1" x14ac:dyDescent="0.25">
      <c r="A1132" s="313">
        <f t="shared" si="17"/>
        <v>1131</v>
      </c>
      <c r="B1132" s="314" t="s">
        <v>1254</v>
      </c>
      <c r="C1132" s="315" t="s">
        <v>582</v>
      </c>
      <c r="D1132" s="316" t="s">
        <v>1256</v>
      </c>
      <c r="E1132" s="318">
        <v>1.64</v>
      </c>
      <c r="F1132" s="318" t="s">
        <v>395</v>
      </c>
      <c r="G1132" s="318" t="s">
        <v>395</v>
      </c>
      <c r="H1132" s="318" t="s">
        <v>395</v>
      </c>
      <c r="I1132" s="318" t="s">
        <v>406</v>
      </c>
      <c r="J1132" s="318">
        <v>32</v>
      </c>
      <c r="K1132" s="317" t="s">
        <v>410</v>
      </c>
      <c r="L1132" s="317">
        <v>46.994199999999999</v>
      </c>
      <c r="M1132" s="317">
        <v>39.849719999999998</v>
      </c>
    </row>
    <row r="1133" spans="1:13" ht="75" hidden="1" x14ac:dyDescent="0.25">
      <c r="A1133" s="313">
        <f t="shared" si="17"/>
        <v>1132</v>
      </c>
      <c r="B1133" s="314" t="s">
        <v>1258</v>
      </c>
      <c r="C1133" s="315" t="s">
        <v>428</v>
      </c>
      <c r="D1133" s="316" t="s">
        <v>1260</v>
      </c>
      <c r="E1133" s="318">
        <v>1.48</v>
      </c>
      <c r="F1133" s="318" t="s">
        <v>395</v>
      </c>
      <c r="G1133" s="318" t="s">
        <v>395</v>
      </c>
      <c r="H1133" s="318" t="s">
        <v>395</v>
      </c>
      <c r="I1133" s="318" t="s">
        <v>406</v>
      </c>
      <c r="J1133" s="318">
        <v>24</v>
      </c>
      <c r="K1133" s="317" t="s">
        <v>410</v>
      </c>
      <c r="L1133" s="317">
        <v>47.088940000000001</v>
      </c>
      <c r="M1133" s="317">
        <v>39.762540000000001</v>
      </c>
    </row>
    <row r="1134" spans="1:13" ht="60" hidden="1" x14ac:dyDescent="0.25">
      <c r="A1134" s="313">
        <f t="shared" si="17"/>
        <v>1133</v>
      </c>
      <c r="B1134" s="314" t="s">
        <v>1261</v>
      </c>
      <c r="C1134" s="315" t="s">
        <v>447</v>
      </c>
      <c r="D1134" s="316" t="s">
        <v>1263</v>
      </c>
      <c r="E1134" s="318">
        <v>1.86</v>
      </c>
      <c r="F1134" s="318" t="s">
        <v>395</v>
      </c>
      <c r="G1134" s="318" t="s">
        <v>395</v>
      </c>
      <c r="H1134" s="318" t="s">
        <v>395</v>
      </c>
      <c r="I1134" s="318" t="s">
        <v>406</v>
      </c>
      <c r="J1134" s="318">
        <v>43</v>
      </c>
      <c r="K1134" s="317" t="s">
        <v>410</v>
      </c>
      <c r="L1134" s="317">
        <v>47.022089999999999</v>
      </c>
      <c r="M1134" s="317">
        <v>39.445030000000003</v>
      </c>
    </row>
    <row r="1135" spans="1:13" ht="45" hidden="1" x14ac:dyDescent="0.25">
      <c r="A1135" s="313">
        <f t="shared" si="17"/>
        <v>1134</v>
      </c>
      <c r="B1135" s="314" t="s">
        <v>1265</v>
      </c>
      <c r="C1135" s="315" t="s">
        <v>412</v>
      </c>
      <c r="D1135" s="316" t="s">
        <v>1267</v>
      </c>
      <c r="E1135" s="318">
        <v>2.46</v>
      </c>
      <c r="F1135" s="318" t="s">
        <v>395</v>
      </c>
      <c r="G1135" s="318" t="s">
        <v>395</v>
      </c>
      <c r="H1135" s="318" t="s">
        <v>395</v>
      </c>
      <c r="I1135" s="318" t="s">
        <v>406</v>
      </c>
      <c r="J1135" s="318">
        <v>73</v>
      </c>
      <c r="K1135" s="317" t="s">
        <v>410</v>
      </c>
      <c r="L1135" s="317">
        <v>47.036070000000002</v>
      </c>
      <c r="M1135" s="317">
        <v>39.101999999999997</v>
      </c>
    </row>
    <row r="1136" spans="1:13" ht="30" hidden="1" x14ac:dyDescent="0.25">
      <c r="A1136" s="313">
        <f t="shared" si="17"/>
        <v>1135</v>
      </c>
      <c r="B1136" s="314" t="s">
        <v>1269</v>
      </c>
      <c r="C1136" s="315" t="s">
        <v>399</v>
      </c>
      <c r="D1136" s="316" t="s">
        <v>1271</v>
      </c>
      <c r="E1136" s="318">
        <v>2</v>
      </c>
      <c r="F1136" s="318" t="s">
        <v>395</v>
      </c>
      <c r="G1136" s="318" t="s">
        <v>395</v>
      </c>
      <c r="H1136" s="318" t="s">
        <v>395</v>
      </c>
      <c r="I1136" s="318" t="s">
        <v>406</v>
      </c>
      <c r="J1136" s="318">
        <v>50</v>
      </c>
      <c r="K1136" s="317" t="s">
        <v>410</v>
      </c>
      <c r="L1136" s="317">
        <v>47.474699999999999</v>
      </c>
      <c r="M1136" s="317">
        <v>40.064990000000002</v>
      </c>
    </row>
    <row r="1137" spans="1:13" ht="30" hidden="1" x14ac:dyDescent="0.25">
      <c r="A1137" s="313">
        <f t="shared" si="17"/>
        <v>1136</v>
      </c>
      <c r="B1137" s="314" t="s">
        <v>1273</v>
      </c>
      <c r="C1137" s="315" t="s">
        <v>399</v>
      </c>
      <c r="D1137" s="316" t="s">
        <v>1275</v>
      </c>
      <c r="E1137" s="318">
        <v>1.3</v>
      </c>
      <c r="F1137" s="318" t="s">
        <v>395</v>
      </c>
      <c r="G1137" s="318" t="s">
        <v>395</v>
      </c>
      <c r="H1137" s="318" t="s">
        <v>395</v>
      </c>
      <c r="I1137" s="318" t="s">
        <v>406</v>
      </c>
      <c r="J1137" s="318">
        <v>15</v>
      </c>
      <c r="K1137" s="317" t="s">
        <v>410</v>
      </c>
      <c r="L1137" s="317">
        <v>47.136800000000001</v>
      </c>
      <c r="M1137" s="317">
        <v>39.770350000000001</v>
      </c>
    </row>
    <row r="1138" spans="1:13" ht="60" hidden="1" x14ac:dyDescent="0.25">
      <c r="A1138" s="313">
        <f t="shared" si="17"/>
        <v>1137</v>
      </c>
      <c r="B1138" s="314" t="s">
        <v>1277</v>
      </c>
      <c r="C1138" s="315" t="s">
        <v>447</v>
      </c>
      <c r="D1138" s="316" t="s">
        <v>1278</v>
      </c>
      <c r="E1138" s="318">
        <v>1.1200000000000001</v>
      </c>
      <c r="F1138" s="318" t="s">
        <v>395</v>
      </c>
      <c r="G1138" s="318" t="s">
        <v>395</v>
      </c>
      <c r="H1138" s="318" t="s">
        <v>395</v>
      </c>
      <c r="I1138" s="318" t="s">
        <v>406</v>
      </c>
      <c r="J1138" s="318">
        <v>6</v>
      </c>
      <c r="K1138" s="317" t="s">
        <v>410</v>
      </c>
      <c r="L1138" s="317">
        <v>47.248629999999999</v>
      </c>
      <c r="M1138" s="317">
        <v>39.728720000000003</v>
      </c>
    </row>
    <row r="1139" spans="1:13" ht="60" hidden="1" x14ac:dyDescent="0.25">
      <c r="A1139" s="313">
        <f t="shared" si="17"/>
        <v>1138</v>
      </c>
      <c r="B1139" s="314" t="s">
        <v>1281</v>
      </c>
      <c r="C1139" s="315" t="s">
        <v>408</v>
      </c>
      <c r="D1139" s="316" t="s">
        <v>1282</v>
      </c>
      <c r="E1139" s="318">
        <v>1.7</v>
      </c>
      <c r="F1139" s="318" t="s">
        <v>395</v>
      </c>
      <c r="G1139" s="318" t="s">
        <v>395</v>
      </c>
      <c r="H1139" s="318" t="s">
        <v>395</v>
      </c>
      <c r="I1139" s="318" t="s">
        <v>406</v>
      </c>
      <c r="J1139" s="318">
        <v>35</v>
      </c>
      <c r="K1139" s="317" t="s">
        <v>410</v>
      </c>
      <c r="L1139" s="317">
        <v>47.137210000000003</v>
      </c>
      <c r="M1139" s="317">
        <v>40.006349999999998</v>
      </c>
    </row>
    <row r="1140" spans="1:13" ht="60" hidden="1" x14ac:dyDescent="0.25">
      <c r="A1140" s="313">
        <f t="shared" si="17"/>
        <v>1139</v>
      </c>
      <c r="B1140" s="314" t="s">
        <v>1285</v>
      </c>
      <c r="C1140" s="315" t="s">
        <v>447</v>
      </c>
      <c r="D1140" s="316" t="s">
        <v>1286</v>
      </c>
      <c r="E1140" s="318">
        <v>1.1000000000000001</v>
      </c>
      <c r="F1140" s="318" t="s">
        <v>395</v>
      </c>
      <c r="G1140" s="318" t="s">
        <v>395</v>
      </c>
      <c r="H1140" s="318" t="s">
        <v>395</v>
      </c>
      <c r="I1140" s="318" t="s">
        <v>406</v>
      </c>
      <c r="J1140" s="318">
        <v>5</v>
      </c>
      <c r="K1140" s="317" t="s">
        <v>410</v>
      </c>
      <c r="L1140" s="317">
        <v>47.234020000000001</v>
      </c>
      <c r="M1140" s="317">
        <v>39.73912</v>
      </c>
    </row>
    <row r="1141" spans="1:13" ht="45" hidden="1" x14ac:dyDescent="0.25">
      <c r="A1141" s="313">
        <f t="shared" si="17"/>
        <v>1140</v>
      </c>
      <c r="B1141" s="314" t="s">
        <v>1289</v>
      </c>
      <c r="C1141" s="315" t="s">
        <v>412</v>
      </c>
      <c r="D1141" s="316" t="s">
        <v>1290</v>
      </c>
      <c r="E1141" s="318">
        <v>1.68</v>
      </c>
      <c r="F1141" s="318" t="s">
        <v>395</v>
      </c>
      <c r="G1141" s="318" t="s">
        <v>395</v>
      </c>
      <c r="H1141" s="318" t="s">
        <v>395</v>
      </c>
      <c r="I1141" s="318" t="s">
        <v>406</v>
      </c>
      <c r="J1141" s="318">
        <v>34</v>
      </c>
      <c r="K1141" s="317" t="s">
        <v>410</v>
      </c>
      <c r="L1141" s="317">
        <v>47.002780000000001</v>
      </c>
      <c r="M1141" s="317">
        <v>39.68806</v>
      </c>
    </row>
    <row r="1142" spans="1:13" ht="45" hidden="1" x14ac:dyDescent="0.25">
      <c r="A1142" s="313">
        <f t="shared" si="17"/>
        <v>1141</v>
      </c>
      <c r="B1142" s="314" t="s">
        <v>1293</v>
      </c>
      <c r="C1142" s="315" t="s">
        <v>412</v>
      </c>
      <c r="D1142" s="316" t="s">
        <v>1294</v>
      </c>
      <c r="E1142" s="318">
        <v>2.12</v>
      </c>
      <c r="F1142" s="318" t="s">
        <v>395</v>
      </c>
      <c r="G1142" s="318" t="s">
        <v>395</v>
      </c>
      <c r="H1142" s="318" t="s">
        <v>395</v>
      </c>
      <c r="I1142" s="318" t="s">
        <v>406</v>
      </c>
      <c r="J1142" s="318">
        <v>56</v>
      </c>
      <c r="K1142" s="317" t="s">
        <v>410</v>
      </c>
      <c r="L1142" s="317">
        <v>47.696860000000001</v>
      </c>
      <c r="M1142" s="317">
        <v>40.273809999999997</v>
      </c>
    </row>
    <row r="1143" spans="1:13" ht="25.5" hidden="1" x14ac:dyDescent="0.25">
      <c r="A1143" s="313">
        <f t="shared" si="17"/>
        <v>1142</v>
      </c>
      <c r="B1143" s="314" t="s">
        <v>1297</v>
      </c>
      <c r="C1143" s="315" t="s">
        <v>402</v>
      </c>
      <c r="D1143" s="316" t="s">
        <v>1298</v>
      </c>
      <c r="E1143" s="318">
        <v>1.24</v>
      </c>
      <c r="F1143" s="318" t="s">
        <v>395</v>
      </c>
      <c r="G1143" s="318" t="s">
        <v>395</v>
      </c>
      <c r="H1143" s="318" t="s">
        <v>395</v>
      </c>
      <c r="I1143" s="318" t="s">
        <v>406</v>
      </c>
      <c r="J1143" s="318">
        <v>12</v>
      </c>
      <c r="K1143" s="317" t="s">
        <v>410</v>
      </c>
      <c r="L1143" s="317">
        <v>47.302259999999997</v>
      </c>
      <c r="M1143" s="317">
        <v>39.746490000000001</v>
      </c>
    </row>
    <row r="1144" spans="1:13" ht="60" hidden="1" x14ac:dyDescent="0.25">
      <c r="A1144" s="313">
        <f t="shared" si="17"/>
        <v>1143</v>
      </c>
      <c r="B1144" s="314" t="s">
        <v>1301</v>
      </c>
      <c r="C1144" s="315" t="s">
        <v>447</v>
      </c>
      <c r="D1144" s="316" t="s">
        <v>1302</v>
      </c>
      <c r="E1144" s="318">
        <v>2.06</v>
      </c>
      <c r="F1144" s="318" t="s">
        <v>395</v>
      </c>
      <c r="G1144" s="318" t="s">
        <v>395</v>
      </c>
      <c r="H1144" s="318" t="s">
        <v>395</v>
      </c>
      <c r="I1144" s="318" t="s">
        <v>406</v>
      </c>
      <c r="J1144" s="318">
        <v>53</v>
      </c>
      <c r="K1144" s="317" t="s">
        <v>410</v>
      </c>
      <c r="L1144" s="317">
        <v>47.492440000000002</v>
      </c>
      <c r="M1144" s="317">
        <v>40.041240000000002</v>
      </c>
    </row>
    <row r="1145" spans="1:13" ht="30" hidden="1" x14ac:dyDescent="0.25">
      <c r="A1145" s="313">
        <f t="shared" si="17"/>
        <v>1144</v>
      </c>
      <c r="B1145" s="314" t="s">
        <v>1305</v>
      </c>
      <c r="C1145" s="315" t="s">
        <v>399</v>
      </c>
      <c r="D1145" s="316" t="s">
        <v>1306</v>
      </c>
      <c r="E1145" s="318">
        <v>1.86</v>
      </c>
      <c r="F1145" s="318" t="s">
        <v>395</v>
      </c>
      <c r="G1145" s="318" t="s">
        <v>395</v>
      </c>
      <c r="H1145" s="318" t="s">
        <v>395</v>
      </c>
      <c r="I1145" s="318" t="s">
        <v>406</v>
      </c>
      <c r="J1145" s="318">
        <v>43</v>
      </c>
      <c r="K1145" s="317" t="s">
        <v>410</v>
      </c>
      <c r="L1145" s="317">
        <v>47.411050000000003</v>
      </c>
      <c r="M1145" s="317">
        <v>40.09939</v>
      </c>
    </row>
    <row r="1146" spans="1:13" ht="75" hidden="1" x14ac:dyDescent="0.25">
      <c r="A1146" s="313">
        <f t="shared" si="17"/>
        <v>1145</v>
      </c>
      <c r="B1146" s="314" t="s">
        <v>1309</v>
      </c>
      <c r="C1146" s="315" t="s">
        <v>428</v>
      </c>
      <c r="D1146" s="316" t="s">
        <v>1310</v>
      </c>
      <c r="E1146" s="318">
        <v>1.26</v>
      </c>
      <c r="F1146" s="318" t="s">
        <v>395</v>
      </c>
      <c r="G1146" s="318" t="s">
        <v>395</v>
      </c>
      <c r="H1146" s="318" t="s">
        <v>395</v>
      </c>
      <c r="I1146" s="318" t="s">
        <v>406</v>
      </c>
      <c r="J1146" s="318">
        <v>13</v>
      </c>
      <c r="K1146" s="317" t="s">
        <v>410</v>
      </c>
      <c r="L1146" s="317">
        <v>47.275880000000001</v>
      </c>
      <c r="M1146" s="317">
        <v>39.816290000000002</v>
      </c>
    </row>
    <row r="1147" spans="1:13" ht="30" hidden="1" x14ac:dyDescent="0.25">
      <c r="A1147" s="313">
        <f t="shared" si="17"/>
        <v>1146</v>
      </c>
      <c r="B1147" s="314" t="s">
        <v>1313</v>
      </c>
      <c r="C1147" s="315" t="s">
        <v>399</v>
      </c>
      <c r="D1147" s="316" t="s">
        <v>1314</v>
      </c>
      <c r="E1147" s="318">
        <v>1.1200000000000001</v>
      </c>
      <c r="F1147" s="318" t="s">
        <v>395</v>
      </c>
      <c r="G1147" s="318" t="s">
        <v>395</v>
      </c>
      <c r="H1147" s="318" t="s">
        <v>395</v>
      </c>
      <c r="I1147" s="318" t="s">
        <v>406</v>
      </c>
      <c r="J1147" s="318">
        <v>6</v>
      </c>
      <c r="K1147" s="317" t="s">
        <v>410</v>
      </c>
      <c r="L1147" s="317">
        <v>47.237220000000001</v>
      </c>
      <c r="M1147" s="317">
        <v>39.760210000000001</v>
      </c>
    </row>
    <row r="1148" spans="1:13" ht="45" hidden="1" x14ac:dyDescent="0.25">
      <c r="A1148" s="313">
        <f t="shared" si="17"/>
        <v>1147</v>
      </c>
      <c r="B1148" s="314" t="s">
        <v>1317</v>
      </c>
      <c r="C1148" s="315" t="s">
        <v>412</v>
      </c>
      <c r="D1148" s="316" t="s">
        <v>1318</v>
      </c>
      <c r="E1148" s="318">
        <v>1.88</v>
      </c>
      <c r="F1148" s="318" t="s">
        <v>395</v>
      </c>
      <c r="G1148" s="318" t="s">
        <v>395</v>
      </c>
      <c r="H1148" s="318" t="s">
        <v>395</v>
      </c>
      <c r="I1148" s="318" t="s">
        <v>406</v>
      </c>
      <c r="J1148" s="318">
        <v>44</v>
      </c>
      <c r="K1148" s="317" t="s">
        <v>410</v>
      </c>
      <c r="L1148" s="317">
        <v>47.43526</v>
      </c>
      <c r="M1148" s="317">
        <v>39.940249999999999</v>
      </c>
    </row>
    <row r="1149" spans="1:13" ht="60" hidden="1" x14ac:dyDescent="0.25">
      <c r="A1149" s="313">
        <f t="shared" si="17"/>
        <v>1148</v>
      </c>
      <c r="B1149" s="314" t="s">
        <v>1321</v>
      </c>
      <c r="C1149" s="315" t="s">
        <v>447</v>
      </c>
      <c r="D1149" s="316" t="s">
        <v>1322</v>
      </c>
      <c r="E1149" s="318">
        <v>1.02</v>
      </c>
      <c r="F1149" s="318" t="s">
        <v>395</v>
      </c>
      <c r="G1149" s="318" t="s">
        <v>395</v>
      </c>
      <c r="H1149" s="318" t="s">
        <v>395</v>
      </c>
      <c r="I1149" s="318" t="s">
        <v>406</v>
      </c>
      <c r="J1149" s="318">
        <v>1</v>
      </c>
      <c r="K1149" s="317" t="s">
        <v>410</v>
      </c>
      <c r="L1149" s="317">
        <v>47.218690000000002</v>
      </c>
      <c r="M1149" s="317">
        <v>39.694310000000002</v>
      </c>
    </row>
    <row r="1150" spans="1:13" ht="60" hidden="1" x14ac:dyDescent="0.25">
      <c r="A1150" s="313">
        <f t="shared" si="17"/>
        <v>1149</v>
      </c>
      <c r="B1150" s="314" t="s">
        <v>1325</v>
      </c>
      <c r="C1150" s="315" t="s">
        <v>447</v>
      </c>
      <c r="D1150" s="316" t="s">
        <v>1326</v>
      </c>
      <c r="E1150" s="318">
        <v>1.1200000000000001</v>
      </c>
      <c r="F1150" s="318" t="s">
        <v>395</v>
      </c>
      <c r="G1150" s="318" t="s">
        <v>395</v>
      </c>
      <c r="H1150" s="318" t="s">
        <v>395</v>
      </c>
      <c r="I1150" s="318" t="s">
        <v>406</v>
      </c>
      <c r="J1150" s="318">
        <v>6</v>
      </c>
      <c r="K1150" s="317" t="s">
        <v>410</v>
      </c>
      <c r="L1150" s="317">
        <v>47.252330000000001</v>
      </c>
      <c r="M1150" s="317">
        <v>39.713500000000003</v>
      </c>
    </row>
    <row r="1151" spans="1:13" ht="60" hidden="1" x14ac:dyDescent="0.25">
      <c r="A1151" s="313">
        <f t="shared" si="17"/>
        <v>1150</v>
      </c>
      <c r="B1151" s="314" t="s">
        <v>1329</v>
      </c>
      <c r="C1151" s="315" t="s">
        <v>447</v>
      </c>
      <c r="D1151" s="316" t="s">
        <v>1330</v>
      </c>
      <c r="E1151" s="318">
        <v>1.1399999999999999</v>
      </c>
      <c r="F1151" s="318" t="s">
        <v>395</v>
      </c>
      <c r="G1151" s="318" t="s">
        <v>395</v>
      </c>
      <c r="H1151" s="318" t="s">
        <v>395</v>
      </c>
      <c r="I1151" s="318" t="s">
        <v>406</v>
      </c>
      <c r="J1151" s="318">
        <v>7</v>
      </c>
      <c r="K1151" s="317" t="s">
        <v>410</v>
      </c>
      <c r="L1151" s="317">
        <v>47.246560000000002</v>
      </c>
      <c r="M1151" s="317">
        <v>39.771909999999998</v>
      </c>
    </row>
    <row r="1152" spans="1:13" ht="60" hidden="1" x14ac:dyDescent="0.25">
      <c r="A1152" s="313">
        <f t="shared" si="17"/>
        <v>1151</v>
      </c>
      <c r="B1152" s="314" t="s">
        <v>1333</v>
      </c>
      <c r="C1152" s="315" t="s">
        <v>447</v>
      </c>
      <c r="D1152" s="316" t="s">
        <v>1334</v>
      </c>
      <c r="E1152" s="318">
        <v>1.82</v>
      </c>
      <c r="F1152" s="318" t="s">
        <v>395</v>
      </c>
      <c r="G1152" s="318" t="s">
        <v>395</v>
      </c>
      <c r="H1152" s="318" t="s">
        <v>395</v>
      </c>
      <c r="I1152" s="318" t="s">
        <v>406</v>
      </c>
      <c r="J1152" s="318">
        <v>41</v>
      </c>
      <c r="K1152" s="317" t="s">
        <v>410</v>
      </c>
      <c r="L1152" s="317">
        <v>47.413870000000003</v>
      </c>
      <c r="M1152" s="317">
        <v>40.075620000000001</v>
      </c>
    </row>
    <row r="1153" spans="1:13" ht="75" hidden="1" x14ac:dyDescent="0.25">
      <c r="A1153" s="313">
        <f t="shared" si="17"/>
        <v>1152</v>
      </c>
      <c r="B1153" s="314" t="s">
        <v>1337</v>
      </c>
      <c r="C1153" s="315" t="s">
        <v>428</v>
      </c>
      <c r="D1153" s="316" t="s">
        <v>1338</v>
      </c>
      <c r="E1153" s="318">
        <v>3.06</v>
      </c>
      <c r="F1153" s="318" t="s">
        <v>395</v>
      </c>
      <c r="G1153" s="318" t="s">
        <v>395</v>
      </c>
      <c r="H1153" s="318" t="s">
        <v>395</v>
      </c>
      <c r="I1153" s="318" t="s">
        <v>406</v>
      </c>
      <c r="J1153" s="318">
        <v>103</v>
      </c>
      <c r="K1153" s="317" t="s">
        <v>410</v>
      </c>
      <c r="L1153" s="317">
        <v>47.901440000000001</v>
      </c>
      <c r="M1153" s="317">
        <v>40.03978</v>
      </c>
    </row>
    <row r="1154" spans="1:13" ht="60" hidden="1" x14ac:dyDescent="0.25">
      <c r="A1154" s="313">
        <f t="shared" si="17"/>
        <v>1153</v>
      </c>
      <c r="B1154" s="314" t="s">
        <v>1341</v>
      </c>
      <c r="C1154" s="315" t="s">
        <v>447</v>
      </c>
      <c r="D1154" s="316" t="s">
        <v>1342</v>
      </c>
      <c r="E1154" s="318">
        <v>1.02</v>
      </c>
      <c r="F1154" s="318" t="s">
        <v>395</v>
      </c>
      <c r="G1154" s="318" t="s">
        <v>395</v>
      </c>
      <c r="H1154" s="318" t="s">
        <v>395</v>
      </c>
      <c r="I1154" s="318" t="s">
        <v>406</v>
      </c>
      <c r="J1154" s="318">
        <v>1</v>
      </c>
      <c r="K1154" s="317" t="s">
        <v>410</v>
      </c>
      <c r="L1154" s="317">
        <v>47.223770000000002</v>
      </c>
      <c r="M1154" s="317">
        <v>39.781680000000001</v>
      </c>
    </row>
    <row r="1155" spans="1:13" ht="75" hidden="1" x14ac:dyDescent="0.25">
      <c r="A1155" s="313">
        <f t="shared" si="17"/>
        <v>1154</v>
      </c>
      <c r="B1155" s="314" t="s">
        <v>1345</v>
      </c>
      <c r="C1155" s="315" t="s">
        <v>428</v>
      </c>
      <c r="D1155" s="316" t="s">
        <v>1346</v>
      </c>
      <c r="E1155" s="318">
        <v>2.1</v>
      </c>
      <c r="F1155" s="318" t="s">
        <v>395</v>
      </c>
      <c r="G1155" s="318" t="s">
        <v>395</v>
      </c>
      <c r="H1155" s="318" t="s">
        <v>395</v>
      </c>
      <c r="I1155" s="318" t="s">
        <v>406</v>
      </c>
      <c r="J1155" s="318">
        <v>55</v>
      </c>
      <c r="K1155" s="317" t="s">
        <v>410</v>
      </c>
      <c r="L1155" s="317">
        <v>47.517150000000001</v>
      </c>
      <c r="M1155" s="317">
        <v>40.101970000000001</v>
      </c>
    </row>
    <row r="1156" spans="1:13" ht="25.5" hidden="1" x14ac:dyDescent="0.25">
      <c r="A1156" s="313">
        <f t="shared" ref="A1156:A1219" si="18">A1155+1</f>
        <v>1155</v>
      </c>
      <c r="B1156" s="314" t="s">
        <v>1349</v>
      </c>
      <c r="C1156" s="315" t="s">
        <v>848</v>
      </c>
      <c r="D1156" s="316" t="s">
        <v>1350</v>
      </c>
      <c r="E1156" s="318">
        <v>1.1000000000000001</v>
      </c>
      <c r="F1156" s="318" t="s">
        <v>395</v>
      </c>
      <c r="G1156" s="318" t="s">
        <v>395</v>
      </c>
      <c r="H1156" s="318" t="s">
        <v>395</v>
      </c>
      <c r="I1156" s="318" t="s">
        <v>406</v>
      </c>
      <c r="J1156" s="318">
        <v>5</v>
      </c>
      <c r="K1156" s="317" t="s">
        <v>410</v>
      </c>
      <c r="L1156" s="317">
        <v>47.219650000000001</v>
      </c>
      <c r="M1156" s="317">
        <v>39.712780000000002</v>
      </c>
    </row>
    <row r="1157" spans="1:13" ht="60" hidden="1" x14ac:dyDescent="0.25">
      <c r="A1157" s="313">
        <f t="shared" si="18"/>
        <v>1156</v>
      </c>
      <c r="B1157" s="314" t="s">
        <v>1353</v>
      </c>
      <c r="C1157" s="315" t="s">
        <v>447</v>
      </c>
      <c r="D1157" s="316" t="s">
        <v>1354</v>
      </c>
      <c r="E1157" s="318">
        <v>2.82</v>
      </c>
      <c r="F1157" s="318" t="s">
        <v>395</v>
      </c>
      <c r="G1157" s="318" t="s">
        <v>395</v>
      </c>
      <c r="H1157" s="318" t="s">
        <v>395</v>
      </c>
      <c r="I1157" s="318" t="s">
        <v>406</v>
      </c>
      <c r="J1157" s="318">
        <v>91</v>
      </c>
      <c r="K1157" s="317" t="s">
        <v>410</v>
      </c>
      <c r="L1157" s="317">
        <v>47.737290000000002</v>
      </c>
      <c r="M1157" s="317">
        <v>40.336410000000001</v>
      </c>
    </row>
    <row r="1158" spans="1:13" ht="75" hidden="1" x14ac:dyDescent="0.25">
      <c r="A1158" s="313">
        <f t="shared" si="18"/>
        <v>1157</v>
      </c>
      <c r="B1158" s="314" t="s">
        <v>1357</v>
      </c>
      <c r="C1158" s="315" t="s">
        <v>428</v>
      </c>
      <c r="D1158" s="316" t="s">
        <v>1358</v>
      </c>
      <c r="E1158" s="318">
        <v>1.9</v>
      </c>
      <c r="F1158" s="318" t="s">
        <v>395</v>
      </c>
      <c r="G1158" s="318" t="s">
        <v>395</v>
      </c>
      <c r="H1158" s="318" t="s">
        <v>395</v>
      </c>
      <c r="I1158" s="318" t="s">
        <v>406</v>
      </c>
      <c r="J1158" s="318">
        <v>45</v>
      </c>
      <c r="K1158" s="317" t="s">
        <v>410</v>
      </c>
      <c r="L1158" s="317">
        <v>47.445250000000001</v>
      </c>
      <c r="M1158" s="317">
        <v>40.110880000000002</v>
      </c>
    </row>
    <row r="1159" spans="1:13" ht="60" hidden="1" x14ac:dyDescent="0.25">
      <c r="A1159" s="313">
        <f t="shared" si="18"/>
        <v>1158</v>
      </c>
      <c r="B1159" s="314" t="s">
        <v>1361</v>
      </c>
      <c r="C1159" s="315" t="s">
        <v>447</v>
      </c>
      <c r="D1159" s="316" t="s">
        <v>1362</v>
      </c>
      <c r="E1159" s="318">
        <v>2.64</v>
      </c>
      <c r="F1159" s="318" t="s">
        <v>395</v>
      </c>
      <c r="G1159" s="318" t="s">
        <v>395</v>
      </c>
      <c r="H1159" s="318" t="s">
        <v>395</v>
      </c>
      <c r="I1159" s="318" t="s">
        <v>406</v>
      </c>
      <c r="J1159" s="318">
        <v>82</v>
      </c>
      <c r="K1159" s="317" t="s">
        <v>410</v>
      </c>
      <c r="L1159" s="317">
        <v>47.662590000000002</v>
      </c>
      <c r="M1159" s="317">
        <v>40.203270000000003</v>
      </c>
    </row>
    <row r="1160" spans="1:13" ht="60" hidden="1" x14ac:dyDescent="0.25">
      <c r="A1160" s="313">
        <f t="shared" si="18"/>
        <v>1159</v>
      </c>
      <c r="B1160" s="314" t="s">
        <v>1365</v>
      </c>
      <c r="C1160" s="315" t="s">
        <v>447</v>
      </c>
      <c r="D1160" s="316" t="s">
        <v>1366</v>
      </c>
      <c r="E1160" s="318">
        <v>1.22</v>
      </c>
      <c r="F1160" s="318" t="s">
        <v>395</v>
      </c>
      <c r="G1160" s="318" t="s">
        <v>395</v>
      </c>
      <c r="H1160" s="318" t="s">
        <v>395</v>
      </c>
      <c r="I1160" s="318" t="s">
        <v>406</v>
      </c>
      <c r="J1160" s="318">
        <v>11</v>
      </c>
      <c r="K1160" s="317" t="s">
        <v>410</v>
      </c>
      <c r="L1160" s="317">
        <v>47.288539999999998</v>
      </c>
      <c r="M1160" s="317">
        <v>39.735219999999998</v>
      </c>
    </row>
    <row r="1161" spans="1:13" ht="60" hidden="1" x14ac:dyDescent="0.25">
      <c r="A1161" s="313">
        <f t="shared" si="18"/>
        <v>1160</v>
      </c>
      <c r="B1161" s="314" t="s">
        <v>1369</v>
      </c>
      <c r="C1161" s="315" t="s">
        <v>447</v>
      </c>
      <c r="D1161" s="316" t="s">
        <v>1370</v>
      </c>
      <c r="E1161" s="318">
        <v>1.1000000000000001</v>
      </c>
      <c r="F1161" s="318" t="s">
        <v>395</v>
      </c>
      <c r="G1161" s="318" t="s">
        <v>395</v>
      </c>
      <c r="H1161" s="318" t="s">
        <v>395</v>
      </c>
      <c r="I1161" s="318" t="s">
        <v>406</v>
      </c>
      <c r="J1161" s="318">
        <v>5</v>
      </c>
      <c r="K1161" s="317" t="s">
        <v>410</v>
      </c>
      <c r="L1161" s="317">
        <v>47.25508</v>
      </c>
      <c r="M1161" s="317">
        <v>39.700650000000003</v>
      </c>
    </row>
    <row r="1162" spans="1:13" ht="60" hidden="1" x14ac:dyDescent="0.25">
      <c r="A1162" s="313">
        <f t="shared" si="18"/>
        <v>1161</v>
      </c>
      <c r="B1162" s="314" t="s">
        <v>1373</v>
      </c>
      <c r="C1162" s="315" t="s">
        <v>447</v>
      </c>
      <c r="D1162" s="316" t="s">
        <v>1374</v>
      </c>
      <c r="E1162" s="318">
        <v>1.1200000000000001</v>
      </c>
      <c r="F1162" s="318" t="s">
        <v>395</v>
      </c>
      <c r="G1162" s="318" t="s">
        <v>395</v>
      </c>
      <c r="H1162" s="318" t="s">
        <v>395</v>
      </c>
      <c r="I1162" s="318" t="s">
        <v>406</v>
      </c>
      <c r="J1162" s="318">
        <v>6</v>
      </c>
      <c r="K1162" s="317" t="s">
        <v>410</v>
      </c>
      <c r="L1162" s="317">
        <v>47.25224</v>
      </c>
      <c r="M1162" s="317">
        <v>39.688450000000003</v>
      </c>
    </row>
    <row r="1163" spans="1:13" ht="30" hidden="1" x14ac:dyDescent="0.25">
      <c r="A1163" s="313">
        <f t="shared" si="18"/>
        <v>1162</v>
      </c>
      <c r="B1163" s="314" t="s">
        <v>1377</v>
      </c>
      <c r="C1163" s="315" t="s">
        <v>1378</v>
      </c>
      <c r="D1163" s="316" t="s">
        <v>1379</v>
      </c>
      <c r="E1163" s="318">
        <v>1.1000000000000001</v>
      </c>
      <c r="F1163" s="318" t="s">
        <v>395</v>
      </c>
      <c r="G1163" s="318" t="s">
        <v>395</v>
      </c>
      <c r="H1163" s="318" t="s">
        <v>395</v>
      </c>
      <c r="I1163" s="318" t="s">
        <v>406</v>
      </c>
      <c r="J1163" s="318">
        <v>5</v>
      </c>
      <c r="K1163" s="317" t="s">
        <v>410</v>
      </c>
      <c r="L1163" s="317">
        <v>47.246299999999998</v>
      </c>
      <c r="M1163" s="317">
        <v>39.703240000000001</v>
      </c>
    </row>
    <row r="1164" spans="1:13" ht="60" hidden="1" x14ac:dyDescent="0.25">
      <c r="A1164" s="313">
        <f t="shared" si="18"/>
        <v>1163</v>
      </c>
      <c r="B1164" s="314" t="s">
        <v>1382</v>
      </c>
      <c r="C1164" s="315" t="s">
        <v>447</v>
      </c>
      <c r="D1164" s="316" t="s">
        <v>1383</v>
      </c>
      <c r="E1164" s="318">
        <v>1.04</v>
      </c>
      <c r="F1164" s="318" t="s">
        <v>395</v>
      </c>
      <c r="G1164" s="318" t="s">
        <v>395</v>
      </c>
      <c r="H1164" s="318" t="s">
        <v>395</v>
      </c>
      <c r="I1164" s="318" t="s">
        <v>406</v>
      </c>
      <c r="J1164" s="318">
        <v>2</v>
      </c>
      <c r="K1164" s="317" t="s">
        <v>410</v>
      </c>
      <c r="L1164" s="317">
        <v>47.235050000000001</v>
      </c>
      <c r="M1164" s="317">
        <v>39.690640000000002</v>
      </c>
    </row>
    <row r="1165" spans="1:13" ht="60" hidden="1" x14ac:dyDescent="0.25">
      <c r="A1165" s="313">
        <f t="shared" si="18"/>
        <v>1164</v>
      </c>
      <c r="B1165" s="314" t="s">
        <v>1386</v>
      </c>
      <c r="C1165" s="315" t="s">
        <v>447</v>
      </c>
      <c r="D1165" s="316" t="s">
        <v>1387</v>
      </c>
      <c r="E1165" s="318">
        <v>1.06</v>
      </c>
      <c r="F1165" s="318" t="s">
        <v>395</v>
      </c>
      <c r="G1165" s="318" t="s">
        <v>395</v>
      </c>
      <c r="H1165" s="318" t="s">
        <v>395</v>
      </c>
      <c r="I1165" s="318" t="s">
        <v>406</v>
      </c>
      <c r="J1165" s="318">
        <v>3</v>
      </c>
      <c r="K1165" s="317" t="s">
        <v>410</v>
      </c>
      <c r="L1165" s="317">
        <v>47.216009999999997</v>
      </c>
      <c r="M1165" s="317">
        <v>39.719079999999998</v>
      </c>
    </row>
    <row r="1166" spans="1:13" ht="60" hidden="1" x14ac:dyDescent="0.25">
      <c r="A1166" s="313">
        <f t="shared" si="18"/>
        <v>1165</v>
      </c>
      <c r="B1166" s="314" t="s">
        <v>1389</v>
      </c>
      <c r="C1166" s="315" t="s">
        <v>447</v>
      </c>
      <c r="D1166" s="316" t="s">
        <v>1391</v>
      </c>
      <c r="E1166" s="318">
        <v>1.1000000000000001</v>
      </c>
      <c r="F1166" s="318" t="s">
        <v>395</v>
      </c>
      <c r="G1166" s="318" t="s">
        <v>395</v>
      </c>
      <c r="H1166" s="318" t="s">
        <v>395</v>
      </c>
      <c r="I1166" s="318" t="s">
        <v>406</v>
      </c>
      <c r="J1166" s="318">
        <v>5</v>
      </c>
      <c r="K1166" s="317" t="s">
        <v>410</v>
      </c>
      <c r="L1166" s="317">
        <v>47.223109999999998</v>
      </c>
      <c r="M1166" s="317">
        <v>39.746250000000003</v>
      </c>
    </row>
    <row r="1167" spans="1:13" ht="38.25" hidden="1" x14ac:dyDescent="0.25">
      <c r="A1167" s="313">
        <f t="shared" si="18"/>
        <v>1166</v>
      </c>
      <c r="B1167" s="314" t="s">
        <v>1393</v>
      </c>
      <c r="C1167" s="315" t="s">
        <v>399</v>
      </c>
      <c r="D1167" s="316" t="s">
        <v>1395</v>
      </c>
      <c r="E1167" s="318">
        <v>1.1599999999999999</v>
      </c>
      <c r="F1167" s="318" t="s">
        <v>395</v>
      </c>
      <c r="G1167" s="318" t="s">
        <v>395</v>
      </c>
      <c r="H1167" s="318" t="s">
        <v>395</v>
      </c>
      <c r="I1167" s="318" t="s">
        <v>406</v>
      </c>
      <c r="J1167" s="318">
        <v>8</v>
      </c>
      <c r="K1167" s="317" t="s">
        <v>410</v>
      </c>
      <c r="L1167" s="317">
        <v>47.239870000000003</v>
      </c>
      <c r="M1167" s="317">
        <v>39.77328</v>
      </c>
    </row>
    <row r="1168" spans="1:13" ht="45" hidden="1" x14ac:dyDescent="0.25">
      <c r="A1168" s="313">
        <f t="shared" si="18"/>
        <v>1167</v>
      </c>
      <c r="B1168" s="314" t="s">
        <v>1397</v>
      </c>
      <c r="C1168" s="315" t="s">
        <v>412</v>
      </c>
      <c r="D1168" s="316" t="s">
        <v>1399</v>
      </c>
      <c r="E1168" s="318">
        <v>1.36</v>
      </c>
      <c r="F1168" s="318" t="s">
        <v>395</v>
      </c>
      <c r="G1168" s="318" t="s">
        <v>395</v>
      </c>
      <c r="H1168" s="318" t="s">
        <v>395</v>
      </c>
      <c r="I1168" s="318" t="s">
        <v>406</v>
      </c>
      <c r="J1168" s="318">
        <v>18</v>
      </c>
      <c r="K1168" s="317" t="s">
        <v>410</v>
      </c>
      <c r="L1168" s="317">
        <v>47.254399999999997</v>
      </c>
      <c r="M1168" s="317">
        <v>39.844999999999999</v>
      </c>
    </row>
    <row r="1169" spans="1:13" ht="30" hidden="1" x14ac:dyDescent="0.25">
      <c r="A1169" s="313">
        <f t="shared" si="18"/>
        <v>1168</v>
      </c>
      <c r="B1169" s="314" t="s">
        <v>1401</v>
      </c>
      <c r="C1169" s="315" t="s">
        <v>1403</v>
      </c>
      <c r="D1169" s="316" t="s">
        <v>1404</v>
      </c>
      <c r="E1169" s="318">
        <v>1.28</v>
      </c>
      <c r="F1169" s="318" t="s">
        <v>395</v>
      </c>
      <c r="G1169" s="318" t="s">
        <v>395</v>
      </c>
      <c r="H1169" s="318" t="s">
        <v>395</v>
      </c>
      <c r="I1169" s="318" t="s">
        <v>406</v>
      </c>
      <c r="J1169" s="318">
        <v>14</v>
      </c>
      <c r="K1169" s="317" t="s">
        <v>410</v>
      </c>
      <c r="L1169" s="317">
        <v>47.123249999999999</v>
      </c>
      <c r="M1169" s="317">
        <v>39.730089999999997</v>
      </c>
    </row>
    <row r="1170" spans="1:13" ht="60" hidden="1" x14ac:dyDescent="0.25">
      <c r="A1170" s="313">
        <f t="shared" si="18"/>
        <v>1169</v>
      </c>
      <c r="B1170" s="314" t="s">
        <v>1406</v>
      </c>
      <c r="C1170" s="315" t="s">
        <v>447</v>
      </c>
      <c r="D1170" s="316" t="s">
        <v>1408</v>
      </c>
      <c r="E1170" s="318">
        <v>1.2</v>
      </c>
      <c r="F1170" s="318" t="s">
        <v>395</v>
      </c>
      <c r="G1170" s="318" t="s">
        <v>395</v>
      </c>
      <c r="H1170" s="318" t="s">
        <v>395</v>
      </c>
      <c r="I1170" s="318" t="s">
        <v>406</v>
      </c>
      <c r="J1170" s="318">
        <v>10</v>
      </c>
      <c r="K1170" s="317" t="s">
        <v>410</v>
      </c>
      <c r="L1170" s="317">
        <v>47.25817</v>
      </c>
      <c r="M1170" s="317">
        <v>39.78942</v>
      </c>
    </row>
    <row r="1171" spans="1:13" ht="30" hidden="1" x14ac:dyDescent="0.25">
      <c r="A1171" s="313">
        <f t="shared" si="18"/>
        <v>1170</v>
      </c>
      <c r="B1171" s="314" t="s">
        <v>1410</v>
      </c>
      <c r="C1171" s="315" t="s">
        <v>399</v>
      </c>
      <c r="D1171" s="316" t="s">
        <v>1412</v>
      </c>
      <c r="E1171" s="318">
        <v>1.2</v>
      </c>
      <c r="F1171" s="318" t="s">
        <v>395</v>
      </c>
      <c r="G1171" s="318" t="s">
        <v>395</v>
      </c>
      <c r="H1171" s="318" t="s">
        <v>395</v>
      </c>
      <c r="I1171" s="318" t="s">
        <v>406</v>
      </c>
      <c r="J1171" s="318">
        <v>10</v>
      </c>
      <c r="K1171" s="317" t="s">
        <v>410</v>
      </c>
      <c r="L1171" s="317">
        <v>47.243110000000001</v>
      </c>
      <c r="M1171" s="317">
        <v>39.802050000000001</v>
      </c>
    </row>
    <row r="1172" spans="1:13" ht="60" hidden="1" x14ac:dyDescent="0.25">
      <c r="A1172" s="313">
        <f t="shared" si="18"/>
        <v>1171</v>
      </c>
      <c r="B1172" s="314" t="s">
        <v>1414</v>
      </c>
      <c r="C1172" s="315" t="s">
        <v>447</v>
      </c>
      <c r="D1172" s="316" t="s">
        <v>1416</v>
      </c>
      <c r="E1172" s="318">
        <v>1.22</v>
      </c>
      <c r="F1172" s="318" t="s">
        <v>395</v>
      </c>
      <c r="G1172" s="318" t="s">
        <v>395</v>
      </c>
      <c r="H1172" s="318" t="s">
        <v>395</v>
      </c>
      <c r="I1172" s="318" t="s">
        <v>406</v>
      </c>
      <c r="J1172" s="318">
        <v>11</v>
      </c>
      <c r="K1172" s="317" t="s">
        <v>410</v>
      </c>
      <c r="L1172" s="317">
        <v>47.286369999999998</v>
      </c>
      <c r="M1172" s="317">
        <v>39.752859999999998</v>
      </c>
    </row>
    <row r="1173" spans="1:13" ht="45" hidden="1" x14ac:dyDescent="0.25">
      <c r="A1173" s="313">
        <f t="shared" si="18"/>
        <v>1172</v>
      </c>
      <c r="B1173" s="314" t="s">
        <v>1418</v>
      </c>
      <c r="C1173" s="315" t="s">
        <v>412</v>
      </c>
      <c r="D1173" s="316" t="s">
        <v>1420</v>
      </c>
      <c r="E1173" s="318">
        <v>1.22</v>
      </c>
      <c r="F1173" s="318" t="s">
        <v>395</v>
      </c>
      <c r="G1173" s="318" t="s">
        <v>395</v>
      </c>
      <c r="H1173" s="318" t="s">
        <v>395</v>
      </c>
      <c r="I1173" s="318" t="s">
        <v>406</v>
      </c>
      <c r="J1173" s="318">
        <v>11</v>
      </c>
      <c r="K1173" s="317" t="s">
        <v>410</v>
      </c>
      <c r="L1173" s="317">
        <v>47.292059999999999</v>
      </c>
      <c r="M1173" s="317">
        <v>39.709209999999999</v>
      </c>
    </row>
    <row r="1174" spans="1:13" ht="30" hidden="1" x14ac:dyDescent="0.25">
      <c r="A1174" s="313">
        <f t="shared" si="18"/>
        <v>1173</v>
      </c>
      <c r="B1174" s="314" t="s">
        <v>1421</v>
      </c>
      <c r="C1174" s="315" t="s">
        <v>399</v>
      </c>
      <c r="D1174" s="316" t="s">
        <v>1423</v>
      </c>
      <c r="E1174" s="318">
        <v>1.2</v>
      </c>
      <c r="F1174" s="318" t="s">
        <v>395</v>
      </c>
      <c r="G1174" s="318" t="s">
        <v>395</v>
      </c>
      <c r="H1174" s="318" t="s">
        <v>395</v>
      </c>
      <c r="I1174" s="318" t="s">
        <v>406</v>
      </c>
      <c r="J1174" s="318">
        <v>10</v>
      </c>
      <c r="K1174" s="317" t="s">
        <v>410</v>
      </c>
      <c r="L1174" s="317">
        <v>47.289290000000001</v>
      </c>
      <c r="M1174" s="317">
        <v>39.702210000000001</v>
      </c>
    </row>
    <row r="1175" spans="1:13" ht="30" hidden="1" x14ac:dyDescent="0.25">
      <c r="A1175" s="313">
        <f t="shared" si="18"/>
        <v>1174</v>
      </c>
      <c r="B1175" s="314" t="s">
        <v>1425</v>
      </c>
      <c r="C1175" s="315" t="s">
        <v>399</v>
      </c>
      <c r="D1175" s="316" t="s">
        <v>1427</v>
      </c>
      <c r="E1175" s="318">
        <v>1.24</v>
      </c>
      <c r="F1175" s="318" t="s">
        <v>395</v>
      </c>
      <c r="G1175" s="318" t="s">
        <v>395</v>
      </c>
      <c r="H1175" s="318" t="s">
        <v>395</v>
      </c>
      <c r="I1175" s="318" t="s">
        <v>406</v>
      </c>
      <c r="J1175" s="318">
        <v>12</v>
      </c>
      <c r="K1175" s="317" t="s">
        <v>410</v>
      </c>
      <c r="L1175" s="317">
        <v>47.287089999999999</v>
      </c>
      <c r="M1175" s="317">
        <v>39.743639999999999</v>
      </c>
    </row>
    <row r="1176" spans="1:13" ht="30" hidden="1" x14ac:dyDescent="0.25">
      <c r="A1176" s="313">
        <f t="shared" si="18"/>
        <v>1175</v>
      </c>
      <c r="B1176" s="314" t="s">
        <v>1429</v>
      </c>
      <c r="C1176" s="315" t="s">
        <v>399</v>
      </c>
      <c r="D1176" s="316" t="s">
        <v>1431</v>
      </c>
      <c r="E1176" s="318">
        <v>1.22</v>
      </c>
      <c r="F1176" s="318" t="s">
        <v>395</v>
      </c>
      <c r="G1176" s="318" t="s">
        <v>395</v>
      </c>
      <c r="H1176" s="318" t="s">
        <v>395</v>
      </c>
      <c r="I1176" s="318" t="s">
        <v>406</v>
      </c>
      <c r="J1176" s="318">
        <v>11</v>
      </c>
      <c r="K1176" s="317" t="s">
        <v>410</v>
      </c>
      <c r="L1176" s="317">
        <v>47.299700000000001</v>
      </c>
      <c r="M1176" s="317">
        <v>39.743189999999998</v>
      </c>
    </row>
    <row r="1177" spans="1:13" ht="30" hidden="1" x14ac:dyDescent="0.25">
      <c r="A1177" s="313">
        <f t="shared" si="18"/>
        <v>1176</v>
      </c>
      <c r="B1177" s="314" t="s">
        <v>1433</v>
      </c>
      <c r="C1177" s="315" t="s">
        <v>399</v>
      </c>
      <c r="D1177" s="316" t="s">
        <v>1434</v>
      </c>
      <c r="E1177" s="318">
        <v>1.26</v>
      </c>
      <c r="F1177" s="318" t="s">
        <v>395</v>
      </c>
      <c r="G1177" s="318" t="s">
        <v>395</v>
      </c>
      <c r="H1177" s="318" t="s">
        <v>395</v>
      </c>
      <c r="I1177" s="318" t="s">
        <v>406</v>
      </c>
      <c r="J1177" s="318">
        <v>13</v>
      </c>
      <c r="K1177" s="317" t="s">
        <v>410</v>
      </c>
      <c r="L1177" s="317">
        <v>47.297699999999999</v>
      </c>
      <c r="M1177" s="317">
        <v>39.75123</v>
      </c>
    </row>
    <row r="1178" spans="1:13" ht="30" hidden="1" x14ac:dyDescent="0.25">
      <c r="A1178" s="313">
        <f t="shared" si="18"/>
        <v>1177</v>
      </c>
      <c r="B1178" s="314" t="s">
        <v>1437</v>
      </c>
      <c r="C1178" s="315" t="s">
        <v>399</v>
      </c>
      <c r="D1178" s="316" t="s">
        <v>1438</v>
      </c>
      <c r="E1178" s="318">
        <v>1.2</v>
      </c>
      <c r="F1178" s="318" t="s">
        <v>395</v>
      </c>
      <c r="G1178" s="318" t="s">
        <v>395</v>
      </c>
      <c r="H1178" s="318" t="s">
        <v>395</v>
      </c>
      <c r="I1178" s="318" t="s">
        <v>406</v>
      </c>
      <c r="J1178" s="318">
        <v>10</v>
      </c>
      <c r="K1178" s="317" t="s">
        <v>410</v>
      </c>
      <c r="L1178" s="317">
        <v>47.271099999999997</v>
      </c>
      <c r="M1178" s="317">
        <v>39.773560000000003</v>
      </c>
    </row>
    <row r="1179" spans="1:13" ht="75" hidden="1" x14ac:dyDescent="0.25">
      <c r="A1179" s="313">
        <f t="shared" si="18"/>
        <v>1178</v>
      </c>
      <c r="B1179" s="314" t="s">
        <v>1441</v>
      </c>
      <c r="C1179" s="315" t="s">
        <v>428</v>
      </c>
      <c r="D1179" s="316" t="s">
        <v>1442</v>
      </c>
      <c r="E1179" s="318">
        <v>1.7</v>
      </c>
      <c r="F1179" s="318" t="s">
        <v>395</v>
      </c>
      <c r="G1179" s="318" t="s">
        <v>395</v>
      </c>
      <c r="H1179" s="318" t="s">
        <v>395</v>
      </c>
      <c r="I1179" s="318" t="s">
        <v>406</v>
      </c>
      <c r="J1179" s="318">
        <v>35</v>
      </c>
      <c r="K1179" s="317" t="s">
        <v>410</v>
      </c>
      <c r="L1179" s="317">
        <v>47.08811</v>
      </c>
      <c r="M1179" s="317">
        <v>39.449219999999997</v>
      </c>
    </row>
    <row r="1180" spans="1:13" ht="60" hidden="1" x14ac:dyDescent="0.25">
      <c r="A1180" s="313">
        <f t="shared" si="18"/>
        <v>1179</v>
      </c>
      <c r="B1180" s="314" t="s">
        <v>1445</v>
      </c>
      <c r="C1180" s="315" t="s">
        <v>408</v>
      </c>
      <c r="D1180" s="316" t="s">
        <v>1446</v>
      </c>
      <c r="E1180" s="318">
        <v>1.8</v>
      </c>
      <c r="F1180" s="318" t="s">
        <v>395</v>
      </c>
      <c r="G1180" s="318" t="s">
        <v>395</v>
      </c>
      <c r="H1180" s="318" t="s">
        <v>395</v>
      </c>
      <c r="I1180" s="318" t="s">
        <v>406</v>
      </c>
      <c r="J1180" s="318">
        <v>40</v>
      </c>
      <c r="K1180" s="317" t="s">
        <v>410</v>
      </c>
      <c r="L1180" s="317">
        <v>47.104329999999997</v>
      </c>
      <c r="M1180" s="317">
        <v>39.408299999999997</v>
      </c>
    </row>
    <row r="1181" spans="1:13" ht="30" hidden="1" x14ac:dyDescent="0.25">
      <c r="A1181" s="313">
        <f t="shared" si="18"/>
        <v>1180</v>
      </c>
      <c r="B1181" s="314" t="s">
        <v>1449</v>
      </c>
      <c r="C1181" s="315" t="s">
        <v>399</v>
      </c>
      <c r="D1181" s="316" t="s">
        <v>1450</v>
      </c>
      <c r="E1181" s="318">
        <v>1.74</v>
      </c>
      <c r="F1181" s="318" t="s">
        <v>395</v>
      </c>
      <c r="G1181" s="318" t="s">
        <v>395</v>
      </c>
      <c r="H1181" s="318" t="s">
        <v>395</v>
      </c>
      <c r="I1181" s="318" t="s">
        <v>406</v>
      </c>
      <c r="J1181" s="318">
        <v>37</v>
      </c>
      <c r="K1181" s="317" t="s">
        <v>410</v>
      </c>
      <c r="L1181" s="317">
        <v>47.107329999999997</v>
      </c>
      <c r="M1181" s="317">
        <v>39.429549999999999</v>
      </c>
    </row>
    <row r="1182" spans="1:13" ht="60" hidden="1" x14ac:dyDescent="0.25">
      <c r="A1182" s="313">
        <f t="shared" si="18"/>
        <v>1181</v>
      </c>
      <c r="B1182" s="314" t="s">
        <v>1453</v>
      </c>
      <c r="C1182" s="315" t="s">
        <v>447</v>
      </c>
      <c r="D1182" s="316" t="s">
        <v>1454</v>
      </c>
      <c r="E1182" s="318">
        <v>1.38</v>
      </c>
      <c r="F1182" s="318" t="s">
        <v>395</v>
      </c>
      <c r="G1182" s="318" t="s">
        <v>395</v>
      </c>
      <c r="H1182" s="318" t="s">
        <v>395</v>
      </c>
      <c r="I1182" s="318" t="s">
        <v>406</v>
      </c>
      <c r="J1182" s="318">
        <v>19</v>
      </c>
      <c r="K1182" s="317" t="s">
        <v>410</v>
      </c>
      <c r="L1182" s="317">
        <v>47.254339999999999</v>
      </c>
      <c r="M1182" s="317">
        <v>39.868859999999998</v>
      </c>
    </row>
    <row r="1183" spans="1:13" ht="75" hidden="1" x14ac:dyDescent="0.25">
      <c r="A1183" s="313">
        <f t="shared" si="18"/>
        <v>1182</v>
      </c>
      <c r="B1183" s="314" t="s">
        <v>1457</v>
      </c>
      <c r="C1183" s="315" t="s">
        <v>428</v>
      </c>
      <c r="D1183" s="316" t="s">
        <v>1458</v>
      </c>
      <c r="E1183" s="318">
        <v>1.48</v>
      </c>
      <c r="F1183" s="318" t="s">
        <v>395</v>
      </c>
      <c r="G1183" s="318" t="s">
        <v>395</v>
      </c>
      <c r="H1183" s="318" t="s">
        <v>395</v>
      </c>
      <c r="I1183" s="318" t="s">
        <v>406</v>
      </c>
      <c r="J1183" s="318">
        <v>24</v>
      </c>
      <c r="K1183" s="317" t="s">
        <v>410</v>
      </c>
      <c r="L1183" s="317">
        <v>47.27158</v>
      </c>
      <c r="M1183" s="317">
        <v>39.876260000000002</v>
      </c>
    </row>
    <row r="1184" spans="1:13" ht="60" hidden="1" x14ac:dyDescent="0.25">
      <c r="A1184" s="313">
        <f t="shared" si="18"/>
        <v>1183</v>
      </c>
      <c r="B1184" s="314" t="s">
        <v>1461</v>
      </c>
      <c r="C1184" s="315" t="s">
        <v>447</v>
      </c>
      <c r="D1184" s="316" t="s">
        <v>1462</v>
      </c>
      <c r="E1184" s="318">
        <v>1.3</v>
      </c>
      <c r="F1184" s="318" t="s">
        <v>395</v>
      </c>
      <c r="G1184" s="318" t="s">
        <v>395</v>
      </c>
      <c r="H1184" s="318" t="s">
        <v>395</v>
      </c>
      <c r="I1184" s="318" t="s">
        <v>406</v>
      </c>
      <c r="J1184" s="318">
        <v>15</v>
      </c>
      <c r="K1184" s="317" t="s">
        <v>410</v>
      </c>
      <c r="L1184" s="317">
        <v>47.132599999999996</v>
      </c>
      <c r="M1184" s="317">
        <v>39.691459999999999</v>
      </c>
    </row>
    <row r="1185" spans="1:13" ht="60" hidden="1" x14ac:dyDescent="0.25">
      <c r="A1185" s="313">
        <f t="shared" si="18"/>
        <v>1184</v>
      </c>
      <c r="B1185" s="314" t="s">
        <v>1465</v>
      </c>
      <c r="C1185" s="315" t="s">
        <v>447</v>
      </c>
      <c r="D1185" s="316" t="s">
        <v>1466</v>
      </c>
      <c r="E1185" s="318">
        <v>2.94</v>
      </c>
      <c r="F1185" s="318" t="s">
        <v>395</v>
      </c>
      <c r="G1185" s="318" t="s">
        <v>395</v>
      </c>
      <c r="H1185" s="318" t="s">
        <v>395</v>
      </c>
      <c r="I1185" s="318" t="s">
        <v>406</v>
      </c>
      <c r="J1185" s="318">
        <v>97</v>
      </c>
      <c r="K1185" s="317" t="s">
        <v>410</v>
      </c>
      <c r="L1185" s="317">
        <v>47.728250000000003</v>
      </c>
      <c r="M1185" s="317">
        <v>40.291530000000002</v>
      </c>
    </row>
    <row r="1186" spans="1:13" ht="60" hidden="1" x14ac:dyDescent="0.25">
      <c r="A1186" s="313">
        <f t="shared" si="18"/>
        <v>1185</v>
      </c>
      <c r="B1186" s="314" t="s">
        <v>1469</v>
      </c>
      <c r="C1186" s="315" t="s">
        <v>447</v>
      </c>
      <c r="D1186" s="316" t="s">
        <v>1470</v>
      </c>
      <c r="E1186" s="318">
        <v>3.42</v>
      </c>
      <c r="F1186" s="318" t="s">
        <v>395</v>
      </c>
      <c r="G1186" s="318" t="s">
        <v>395</v>
      </c>
      <c r="H1186" s="318" t="s">
        <v>395</v>
      </c>
      <c r="I1186" s="318" t="s">
        <v>406</v>
      </c>
      <c r="J1186" s="318">
        <v>121</v>
      </c>
      <c r="K1186" s="317" t="s">
        <v>410</v>
      </c>
      <c r="L1186" s="317">
        <v>48.058410000000002</v>
      </c>
      <c r="M1186" s="317">
        <v>39.957169999999998</v>
      </c>
    </row>
    <row r="1187" spans="1:13" ht="60" hidden="1" x14ac:dyDescent="0.25">
      <c r="A1187" s="313">
        <f t="shared" si="18"/>
        <v>1186</v>
      </c>
      <c r="B1187" s="314" t="s">
        <v>1473</v>
      </c>
      <c r="C1187" s="315" t="s">
        <v>447</v>
      </c>
      <c r="D1187" s="316" t="s">
        <v>1474</v>
      </c>
      <c r="E1187" s="318">
        <v>1.8</v>
      </c>
      <c r="F1187" s="318" t="s">
        <v>395</v>
      </c>
      <c r="G1187" s="318" t="s">
        <v>395</v>
      </c>
      <c r="H1187" s="318" t="s">
        <v>395</v>
      </c>
      <c r="I1187" s="318" t="s">
        <v>406</v>
      </c>
      <c r="J1187" s="318">
        <v>40</v>
      </c>
      <c r="K1187" s="317" t="s">
        <v>410</v>
      </c>
      <c r="L1187" s="317">
        <v>47.424779999999998</v>
      </c>
      <c r="M1187" s="317">
        <v>40.045140000000004</v>
      </c>
    </row>
    <row r="1188" spans="1:13" ht="60" hidden="1" x14ac:dyDescent="0.25">
      <c r="A1188" s="313">
        <f t="shared" si="18"/>
        <v>1187</v>
      </c>
      <c r="B1188" s="314" t="s">
        <v>1477</v>
      </c>
      <c r="C1188" s="315" t="s">
        <v>447</v>
      </c>
      <c r="D1188" s="316" t="s">
        <v>1478</v>
      </c>
      <c r="E1188" s="318">
        <v>1.78</v>
      </c>
      <c r="F1188" s="318" t="s">
        <v>395</v>
      </c>
      <c r="G1188" s="318" t="s">
        <v>395</v>
      </c>
      <c r="H1188" s="318" t="s">
        <v>395</v>
      </c>
      <c r="I1188" s="318" t="s">
        <v>406</v>
      </c>
      <c r="J1188" s="318">
        <v>39</v>
      </c>
      <c r="K1188" s="317" t="s">
        <v>410</v>
      </c>
      <c r="L1188" s="317">
        <v>47.420920000000002</v>
      </c>
      <c r="M1188" s="317">
        <v>40.047440000000002</v>
      </c>
    </row>
    <row r="1189" spans="1:13" ht="60" hidden="1" x14ac:dyDescent="0.25">
      <c r="A1189" s="313">
        <f t="shared" si="18"/>
        <v>1188</v>
      </c>
      <c r="B1189" s="314" t="s">
        <v>1481</v>
      </c>
      <c r="C1189" s="315" t="s">
        <v>447</v>
      </c>
      <c r="D1189" s="316" t="s">
        <v>1482</v>
      </c>
      <c r="E1189" s="318">
        <v>1.88</v>
      </c>
      <c r="F1189" s="318" t="s">
        <v>395</v>
      </c>
      <c r="G1189" s="318" t="s">
        <v>395</v>
      </c>
      <c r="H1189" s="318" t="s">
        <v>395</v>
      </c>
      <c r="I1189" s="318" t="s">
        <v>406</v>
      </c>
      <c r="J1189" s="318">
        <v>44</v>
      </c>
      <c r="K1189" s="317" t="s">
        <v>410</v>
      </c>
      <c r="L1189" s="317">
        <v>47.40981</v>
      </c>
      <c r="M1189" s="317">
        <v>40.11298</v>
      </c>
    </row>
    <row r="1190" spans="1:13" ht="30" hidden="1" x14ac:dyDescent="0.25">
      <c r="A1190" s="313">
        <f t="shared" si="18"/>
        <v>1189</v>
      </c>
      <c r="B1190" s="314" t="s">
        <v>1485</v>
      </c>
      <c r="C1190" s="315" t="s">
        <v>399</v>
      </c>
      <c r="D1190" s="316" t="s">
        <v>1486</v>
      </c>
      <c r="E1190" s="318">
        <v>2.7</v>
      </c>
      <c r="F1190" s="318" t="s">
        <v>395</v>
      </c>
      <c r="G1190" s="318" t="s">
        <v>395</v>
      </c>
      <c r="H1190" s="318" t="s">
        <v>395</v>
      </c>
      <c r="I1190" s="318" t="s">
        <v>406</v>
      </c>
      <c r="J1190" s="318">
        <v>85</v>
      </c>
      <c r="K1190" s="317" t="s">
        <v>410</v>
      </c>
      <c r="L1190" s="317">
        <v>47.753689999999999</v>
      </c>
      <c r="M1190" s="317">
        <v>39.934429999999999</v>
      </c>
    </row>
    <row r="1191" spans="1:13" ht="60" hidden="1" x14ac:dyDescent="0.25">
      <c r="A1191" s="313">
        <f t="shared" si="18"/>
        <v>1190</v>
      </c>
      <c r="B1191" s="314" t="s">
        <v>1489</v>
      </c>
      <c r="C1191" s="315" t="s">
        <v>415</v>
      </c>
      <c r="D1191" s="316" t="s">
        <v>1490</v>
      </c>
      <c r="E1191" s="318">
        <v>1.06</v>
      </c>
      <c r="F1191" s="318" t="s">
        <v>395</v>
      </c>
      <c r="G1191" s="318" t="s">
        <v>395</v>
      </c>
      <c r="H1191" s="318" t="s">
        <v>395</v>
      </c>
      <c r="I1191" s="318" t="s">
        <v>406</v>
      </c>
      <c r="J1191" s="318">
        <v>3</v>
      </c>
      <c r="K1191" s="317" t="s">
        <v>410</v>
      </c>
      <c r="L1191" s="317">
        <v>47.22316</v>
      </c>
      <c r="M1191" s="317">
        <v>39.714869999999998</v>
      </c>
    </row>
    <row r="1192" spans="1:13" ht="60" hidden="1" x14ac:dyDescent="0.25">
      <c r="A1192" s="313">
        <f t="shared" si="18"/>
        <v>1191</v>
      </c>
      <c r="B1192" s="314" t="s">
        <v>1493</v>
      </c>
      <c r="C1192" s="315" t="s">
        <v>415</v>
      </c>
      <c r="D1192" s="316" t="s">
        <v>1494</v>
      </c>
      <c r="E1192" s="318">
        <v>2.6</v>
      </c>
      <c r="F1192" s="318" t="s">
        <v>395</v>
      </c>
      <c r="G1192" s="318" t="s">
        <v>395</v>
      </c>
      <c r="H1192" s="318" t="s">
        <v>395</v>
      </c>
      <c r="I1192" s="318" t="s">
        <v>406</v>
      </c>
      <c r="J1192" s="318">
        <v>80</v>
      </c>
      <c r="K1192" s="317" t="s">
        <v>410</v>
      </c>
      <c r="L1192" s="317">
        <v>47.713360000000002</v>
      </c>
      <c r="M1192" s="317">
        <v>40.208730000000003</v>
      </c>
    </row>
    <row r="1193" spans="1:13" ht="45" hidden="1" x14ac:dyDescent="0.25">
      <c r="A1193" s="313">
        <f t="shared" si="18"/>
        <v>1192</v>
      </c>
      <c r="B1193" s="314" t="s">
        <v>1497</v>
      </c>
      <c r="C1193" s="315" t="s">
        <v>412</v>
      </c>
      <c r="D1193" s="316" t="s">
        <v>1498</v>
      </c>
      <c r="E1193" s="318">
        <v>3</v>
      </c>
      <c r="F1193" s="318" t="s">
        <v>395</v>
      </c>
      <c r="G1193" s="318" t="s">
        <v>395</v>
      </c>
      <c r="H1193" s="318" t="s">
        <v>395</v>
      </c>
      <c r="I1193" s="318" t="s">
        <v>1499</v>
      </c>
      <c r="J1193" s="318">
        <v>100</v>
      </c>
      <c r="K1193" s="317" t="s">
        <v>410</v>
      </c>
      <c r="L1193" s="317">
        <v>48.835830000000001</v>
      </c>
      <c r="M1193" s="317">
        <v>40.750279999999997</v>
      </c>
    </row>
    <row r="1194" spans="1:13" ht="60" hidden="1" x14ac:dyDescent="0.25">
      <c r="A1194" s="313">
        <f t="shared" si="18"/>
        <v>1193</v>
      </c>
      <c r="B1194" s="314" t="s">
        <v>1502</v>
      </c>
      <c r="C1194" s="315" t="s">
        <v>677</v>
      </c>
      <c r="D1194" s="316" t="s">
        <v>1503</v>
      </c>
      <c r="E1194" s="318">
        <v>1.4</v>
      </c>
      <c r="F1194" s="318" t="s">
        <v>395</v>
      </c>
      <c r="G1194" s="318" t="s">
        <v>395</v>
      </c>
      <c r="H1194" s="318" t="s">
        <v>395</v>
      </c>
      <c r="I1194" s="318" t="s">
        <v>1499</v>
      </c>
      <c r="J1194" s="318">
        <v>20</v>
      </c>
      <c r="K1194" s="317" t="s">
        <v>410</v>
      </c>
      <c r="L1194" s="317">
        <v>48.22522</v>
      </c>
      <c r="M1194" s="317">
        <v>40.119050000000001</v>
      </c>
    </row>
    <row r="1195" spans="1:13" ht="60" hidden="1" x14ac:dyDescent="0.25">
      <c r="A1195" s="313">
        <f t="shared" si="18"/>
        <v>1194</v>
      </c>
      <c r="B1195" s="314" t="s">
        <v>1506</v>
      </c>
      <c r="C1195" s="315" t="s">
        <v>452</v>
      </c>
      <c r="D1195" s="316" t="s">
        <v>1507</v>
      </c>
      <c r="E1195" s="318">
        <v>1.5</v>
      </c>
      <c r="F1195" s="318" t="s">
        <v>395</v>
      </c>
      <c r="G1195" s="318" t="s">
        <v>395</v>
      </c>
      <c r="H1195" s="318" t="s">
        <v>395</v>
      </c>
      <c r="I1195" s="318" t="s">
        <v>1499</v>
      </c>
      <c r="J1195" s="318">
        <v>25</v>
      </c>
      <c r="K1195" s="317" t="s">
        <v>410</v>
      </c>
      <c r="L1195" s="317">
        <v>48.125</v>
      </c>
      <c r="M1195" s="317">
        <v>40.203609999999998</v>
      </c>
    </row>
    <row r="1196" spans="1:13" ht="75" hidden="1" x14ac:dyDescent="0.25">
      <c r="A1196" s="313">
        <f t="shared" si="18"/>
        <v>1195</v>
      </c>
      <c r="B1196" s="314" t="s">
        <v>1510</v>
      </c>
      <c r="C1196" s="315" t="s">
        <v>428</v>
      </c>
      <c r="D1196" s="316" t="s">
        <v>1511</v>
      </c>
      <c r="E1196" s="318">
        <v>2.08</v>
      </c>
      <c r="F1196" s="318" t="s">
        <v>395</v>
      </c>
      <c r="G1196" s="318" t="s">
        <v>395</v>
      </c>
      <c r="H1196" s="318" t="s">
        <v>395</v>
      </c>
      <c r="I1196" s="318" t="s">
        <v>1499</v>
      </c>
      <c r="J1196" s="318">
        <v>54</v>
      </c>
      <c r="K1196" s="317" t="s">
        <v>410</v>
      </c>
      <c r="L1196" s="317">
        <v>48.040280000000003</v>
      </c>
      <c r="M1196" s="317">
        <v>40.00056</v>
      </c>
    </row>
    <row r="1197" spans="1:13" ht="75" hidden="1" x14ac:dyDescent="0.25">
      <c r="A1197" s="313">
        <f t="shared" si="18"/>
        <v>1196</v>
      </c>
      <c r="B1197" s="314" t="s">
        <v>1514</v>
      </c>
      <c r="C1197" s="315" t="s">
        <v>428</v>
      </c>
      <c r="D1197" s="316" t="s">
        <v>1515</v>
      </c>
      <c r="E1197" s="318">
        <v>2.04</v>
      </c>
      <c r="F1197" s="318" t="s">
        <v>395</v>
      </c>
      <c r="G1197" s="318" t="s">
        <v>395</v>
      </c>
      <c r="H1197" s="318" t="s">
        <v>395</v>
      </c>
      <c r="I1197" s="318" t="s">
        <v>1499</v>
      </c>
      <c r="J1197" s="318">
        <v>52</v>
      </c>
      <c r="K1197" s="317" t="s">
        <v>410</v>
      </c>
      <c r="L1197" s="317">
        <v>48.050690000000003</v>
      </c>
      <c r="M1197" s="317">
        <v>40.035969999999999</v>
      </c>
    </row>
    <row r="1198" spans="1:13" ht="60" hidden="1" x14ac:dyDescent="0.25">
      <c r="A1198" s="313">
        <f t="shared" si="18"/>
        <v>1197</v>
      </c>
      <c r="B1198" s="314" t="s">
        <v>1518</v>
      </c>
      <c r="C1198" s="315" t="s">
        <v>408</v>
      </c>
      <c r="D1198" s="316" t="s">
        <v>1519</v>
      </c>
      <c r="E1198" s="318">
        <v>1.82</v>
      </c>
      <c r="F1198" s="318" t="s">
        <v>395</v>
      </c>
      <c r="G1198" s="318" t="s">
        <v>395</v>
      </c>
      <c r="H1198" s="318" t="s">
        <v>395</v>
      </c>
      <c r="I1198" s="318" t="s">
        <v>1499</v>
      </c>
      <c r="J1198" s="318">
        <v>41</v>
      </c>
      <c r="K1198" s="317" t="s">
        <v>410</v>
      </c>
      <c r="L1198" s="317">
        <v>48.316969999999998</v>
      </c>
      <c r="M1198" s="317">
        <v>39.859529999999999</v>
      </c>
    </row>
    <row r="1199" spans="1:13" ht="30" hidden="1" x14ac:dyDescent="0.25">
      <c r="A1199" s="313">
        <f t="shared" si="18"/>
        <v>1198</v>
      </c>
      <c r="B1199" s="314" t="s">
        <v>1522</v>
      </c>
      <c r="C1199" s="315" t="s">
        <v>399</v>
      </c>
      <c r="D1199" s="316" t="s">
        <v>1523</v>
      </c>
      <c r="E1199" s="318">
        <v>2.14</v>
      </c>
      <c r="F1199" s="318" t="s">
        <v>395</v>
      </c>
      <c r="G1199" s="318" t="s">
        <v>395</v>
      </c>
      <c r="H1199" s="318" t="s">
        <v>395</v>
      </c>
      <c r="I1199" s="318" t="s">
        <v>1499</v>
      </c>
      <c r="J1199" s="318">
        <v>57</v>
      </c>
      <c r="K1199" s="317" t="s">
        <v>410</v>
      </c>
      <c r="L1199" s="317">
        <v>48.057470000000002</v>
      </c>
      <c r="M1199" s="317">
        <v>39.947830000000003</v>
      </c>
    </row>
    <row r="1200" spans="1:13" ht="75" hidden="1" x14ac:dyDescent="0.25">
      <c r="A1200" s="313">
        <f t="shared" si="18"/>
        <v>1199</v>
      </c>
      <c r="B1200" s="314" t="s">
        <v>1526</v>
      </c>
      <c r="C1200" s="315" t="s">
        <v>428</v>
      </c>
      <c r="D1200" s="316" t="s">
        <v>1527</v>
      </c>
      <c r="E1200" s="318">
        <v>2.2799999999999998</v>
      </c>
      <c r="F1200" s="318" t="s">
        <v>395</v>
      </c>
      <c r="G1200" s="318" t="s">
        <v>395</v>
      </c>
      <c r="H1200" s="318" t="s">
        <v>395</v>
      </c>
      <c r="I1200" s="318" t="s">
        <v>1499</v>
      </c>
      <c r="J1200" s="318">
        <v>64</v>
      </c>
      <c r="K1200" s="317" t="s">
        <v>410</v>
      </c>
      <c r="L1200" s="317">
        <v>48.056939999999997</v>
      </c>
      <c r="M1200" s="317">
        <v>39.887500000000003</v>
      </c>
    </row>
    <row r="1201" spans="1:13" ht="75" hidden="1" x14ac:dyDescent="0.25">
      <c r="A1201" s="313">
        <f t="shared" si="18"/>
        <v>1200</v>
      </c>
      <c r="B1201" s="314" t="s">
        <v>1530</v>
      </c>
      <c r="C1201" s="315" t="s">
        <v>428</v>
      </c>
      <c r="D1201" s="316" t="s">
        <v>1531</v>
      </c>
      <c r="E1201" s="318">
        <v>2.2799999999999998</v>
      </c>
      <c r="F1201" s="318" t="s">
        <v>395</v>
      </c>
      <c r="G1201" s="318" t="s">
        <v>395</v>
      </c>
      <c r="H1201" s="318" t="s">
        <v>395</v>
      </c>
      <c r="I1201" s="318" t="s">
        <v>1499</v>
      </c>
      <c r="J1201" s="318">
        <v>64</v>
      </c>
      <c r="K1201" s="317" t="s">
        <v>410</v>
      </c>
      <c r="L1201" s="317">
        <v>48.012500000000003</v>
      </c>
      <c r="M1201" s="317">
        <v>39.879170000000002</v>
      </c>
    </row>
    <row r="1202" spans="1:13" ht="75" hidden="1" x14ac:dyDescent="0.25">
      <c r="A1202" s="313">
        <f t="shared" si="18"/>
        <v>1201</v>
      </c>
      <c r="B1202" s="314" t="s">
        <v>1533</v>
      </c>
      <c r="C1202" s="315" t="s">
        <v>428</v>
      </c>
      <c r="D1202" s="316" t="s">
        <v>1534</v>
      </c>
      <c r="E1202" s="318">
        <v>2.16</v>
      </c>
      <c r="F1202" s="318" t="s">
        <v>395</v>
      </c>
      <c r="G1202" s="318" t="s">
        <v>395</v>
      </c>
      <c r="H1202" s="318" t="s">
        <v>395</v>
      </c>
      <c r="I1202" s="318" t="s">
        <v>1499</v>
      </c>
      <c r="J1202" s="318">
        <v>58</v>
      </c>
      <c r="K1202" s="317" t="s">
        <v>410</v>
      </c>
      <c r="L1202" s="317">
        <v>48.031059999999997</v>
      </c>
      <c r="M1202" s="317">
        <v>39.938189999999999</v>
      </c>
    </row>
    <row r="1203" spans="1:13" ht="75" hidden="1" x14ac:dyDescent="0.25">
      <c r="A1203" s="313">
        <f t="shared" si="18"/>
        <v>1202</v>
      </c>
      <c r="B1203" s="314" t="s">
        <v>1536</v>
      </c>
      <c r="C1203" s="315" t="s">
        <v>428</v>
      </c>
      <c r="D1203" s="316" t="s">
        <v>1538</v>
      </c>
      <c r="E1203" s="318">
        <v>1.1399999999999999</v>
      </c>
      <c r="F1203" s="318" t="s">
        <v>395</v>
      </c>
      <c r="G1203" s="318" t="s">
        <v>395</v>
      </c>
      <c r="H1203" s="318" t="s">
        <v>395</v>
      </c>
      <c r="I1203" s="318" t="s">
        <v>1499</v>
      </c>
      <c r="J1203" s="318">
        <v>7</v>
      </c>
      <c r="K1203" s="317" t="s">
        <v>410</v>
      </c>
      <c r="L1203" s="317">
        <v>48.374690000000001</v>
      </c>
      <c r="M1203" s="317">
        <v>40.259970000000003</v>
      </c>
    </row>
    <row r="1204" spans="1:13" ht="45" hidden="1" x14ac:dyDescent="0.25">
      <c r="A1204" s="313">
        <f t="shared" si="18"/>
        <v>1203</v>
      </c>
      <c r="B1204" s="314" t="s">
        <v>1540</v>
      </c>
      <c r="C1204" s="315" t="s">
        <v>412</v>
      </c>
      <c r="D1204" s="316" t="s">
        <v>1542</v>
      </c>
      <c r="E1204" s="318">
        <v>2</v>
      </c>
      <c r="F1204" s="318" t="s">
        <v>395</v>
      </c>
      <c r="G1204" s="318" t="s">
        <v>395</v>
      </c>
      <c r="H1204" s="318" t="s">
        <v>395</v>
      </c>
      <c r="I1204" s="318" t="s">
        <v>1499</v>
      </c>
      <c r="J1204" s="318">
        <v>50</v>
      </c>
      <c r="K1204" s="317" t="s">
        <v>410</v>
      </c>
      <c r="L1204" s="317">
        <v>48.058250000000001</v>
      </c>
      <c r="M1204" s="317">
        <v>39.93817</v>
      </c>
    </row>
    <row r="1205" spans="1:13" ht="45" hidden="1" x14ac:dyDescent="0.25">
      <c r="A1205" s="313">
        <f t="shared" si="18"/>
        <v>1204</v>
      </c>
      <c r="B1205" s="314" t="s">
        <v>1544</v>
      </c>
      <c r="C1205" s="315" t="s">
        <v>393</v>
      </c>
      <c r="D1205" s="316" t="s">
        <v>1546</v>
      </c>
      <c r="E1205" s="318">
        <v>2.12</v>
      </c>
      <c r="F1205" s="318" t="s">
        <v>395</v>
      </c>
      <c r="G1205" s="318" t="s">
        <v>395</v>
      </c>
      <c r="H1205" s="318" t="s">
        <v>395</v>
      </c>
      <c r="I1205" s="318" t="s">
        <v>1499</v>
      </c>
      <c r="J1205" s="318">
        <v>56</v>
      </c>
      <c r="K1205" s="317" t="s">
        <v>410</v>
      </c>
      <c r="L1205" s="317">
        <v>48.021279999999997</v>
      </c>
      <c r="M1205" s="317">
        <v>39.872219999999999</v>
      </c>
    </row>
    <row r="1206" spans="1:13" ht="45" hidden="1" x14ac:dyDescent="0.25">
      <c r="A1206" s="313">
        <f t="shared" si="18"/>
        <v>1205</v>
      </c>
      <c r="B1206" s="314" t="s">
        <v>1548</v>
      </c>
      <c r="C1206" s="315" t="s">
        <v>412</v>
      </c>
      <c r="D1206" s="316" t="s">
        <v>1550</v>
      </c>
      <c r="E1206" s="318">
        <v>1.1200000000000001</v>
      </c>
      <c r="F1206" s="318" t="s">
        <v>395</v>
      </c>
      <c r="G1206" s="318" t="s">
        <v>395</v>
      </c>
      <c r="H1206" s="318" t="s">
        <v>395</v>
      </c>
      <c r="I1206" s="318" t="s">
        <v>1499</v>
      </c>
      <c r="J1206" s="318">
        <v>6</v>
      </c>
      <c r="K1206" s="317" t="s">
        <v>410</v>
      </c>
      <c r="L1206" s="317">
        <v>48.295529999999999</v>
      </c>
      <c r="M1206" s="317">
        <v>40.283999999999999</v>
      </c>
    </row>
    <row r="1207" spans="1:13" ht="60" hidden="1" x14ac:dyDescent="0.25">
      <c r="A1207" s="313">
        <f t="shared" si="18"/>
        <v>1206</v>
      </c>
      <c r="B1207" s="314" t="s">
        <v>1552</v>
      </c>
      <c r="C1207" s="315" t="s">
        <v>408</v>
      </c>
      <c r="D1207" s="316" t="s">
        <v>1554</v>
      </c>
      <c r="E1207" s="318">
        <v>1.1000000000000001</v>
      </c>
      <c r="F1207" s="318" t="s">
        <v>395</v>
      </c>
      <c r="G1207" s="318" t="s">
        <v>395</v>
      </c>
      <c r="H1207" s="318" t="s">
        <v>395</v>
      </c>
      <c r="I1207" s="318" t="s">
        <v>1499</v>
      </c>
      <c r="J1207" s="318">
        <v>5</v>
      </c>
      <c r="K1207" s="317" t="s">
        <v>410</v>
      </c>
      <c r="L1207" s="317">
        <v>48.329360000000001</v>
      </c>
      <c r="M1207" s="317">
        <v>40.250799999999998</v>
      </c>
    </row>
    <row r="1208" spans="1:13" ht="45" hidden="1" x14ac:dyDescent="0.25">
      <c r="A1208" s="313">
        <f t="shared" si="18"/>
        <v>1207</v>
      </c>
      <c r="B1208" s="314" t="s">
        <v>1556</v>
      </c>
      <c r="C1208" s="315" t="s">
        <v>412</v>
      </c>
      <c r="D1208" s="316" t="s">
        <v>1558</v>
      </c>
      <c r="E1208" s="318">
        <v>1.46</v>
      </c>
      <c r="F1208" s="318" t="s">
        <v>395</v>
      </c>
      <c r="G1208" s="318" t="s">
        <v>395</v>
      </c>
      <c r="H1208" s="318" t="s">
        <v>395</v>
      </c>
      <c r="I1208" s="318" t="s">
        <v>1499</v>
      </c>
      <c r="J1208" s="318">
        <v>23</v>
      </c>
      <c r="K1208" s="317" t="s">
        <v>410</v>
      </c>
      <c r="L1208" s="317">
        <v>48.155749999999998</v>
      </c>
      <c r="M1208" s="317">
        <v>40.193109999999997</v>
      </c>
    </row>
    <row r="1209" spans="1:13" ht="45" hidden="1" x14ac:dyDescent="0.25">
      <c r="A1209" s="313">
        <f t="shared" si="18"/>
        <v>1208</v>
      </c>
      <c r="B1209" s="314" t="s">
        <v>1560</v>
      </c>
      <c r="C1209" s="315" t="s">
        <v>393</v>
      </c>
      <c r="D1209" s="316" t="s">
        <v>1562</v>
      </c>
      <c r="E1209" s="318">
        <v>1.72</v>
      </c>
      <c r="F1209" s="318" t="s">
        <v>395</v>
      </c>
      <c r="G1209" s="318" t="s">
        <v>395</v>
      </c>
      <c r="H1209" s="318" t="s">
        <v>395</v>
      </c>
      <c r="I1209" s="318" t="s">
        <v>1499</v>
      </c>
      <c r="J1209" s="318">
        <v>36</v>
      </c>
      <c r="K1209" s="317" t="s">
        <v>410</v>
      </c>
      <c r="L1209" s="317">
        <v>48.321530000000003</v>
      </c>
      <c r="M1209" s="317">
        <v>39.941920000000003</v>
      </c>
    </row>
    <row r="1210" spans="1:13" ht="60" hidden="1" x14ac:dyDescent="0.25">
      <c r="A1210" s="313">
        <f t="shared" si="18"/>
        <v>1209</v>
      </c>
      <c r="B1210" s="314" t="s">
        <v>1564</v>
      </c>
      <c r="C1210" s="315" t="s">
        <v>408</v>
      </c>
      <c r="D1210" s="316" t="s">
        <v>1566</v>
      </c>
      <c r="E1210" s="318">
        <v>1.84</v>
      </c>
      <c r="F1210" s="318" t="s">
        <v>395</v>
      </c>
      <c r="G1210" s="318" t="s">
        <v>395</v>
      </c>
      <c r="H1210" s="318" t="s">
        <v>395</v>
      </c>
      <c r="I1210" s="318" t="s">
        <v>1499</v>
      </c>
      <c r="J1210" s="318">
        <v>42</v>
      </c>
      <c r="K1210" s="317" t="s">
        <v>410</v>
      </c>
      <c r="L1210" s="317">
        <v>48.039499999999997</v>
      </c>
      <c r="M1210" s="317">
        <v>40.120109999999997</v>
      </c>
    </row>
    <row r="1211" spans="1:13" ht="75" hidden="1" x14ac:dyDescent="0.25">
      <c r="A1211" s="313">
        <f t="shared" si="18"/>
        <v>1210</v>
      </c>
      <c r="B1211" s="314" t="s">
        <v>1568</v>
      </c>
      <c r="C1211" s="315" t="s">
        <v>428</v>
      </c>
      <c r="D1211" s="316" t="s">
        <v>1570</v>
      </c>
      <c r="E1211" s="318">
        <v>1.04</v>
      </c>
      <c r="F1211" s="318" t="s">
        <v>395</v>
      </c>
      <c r="G1211" s="318" t="s">
        <v>395</v>
      </c>
      <c r="H1211" s="318" t="s">
        <v>395</v>
      </c>
      <c r="I1211" s="318" t="s">
        <v>1499</v>
      </c>
      <c r="J1211" s="318">
        <v>2</v>
      </c>
      <c r="K1211" s="317" t="s">
        <v>410</v>
      </c>
      <c r="L1211" s="317">
        <v>48.318629999999999</v>
      </c>
      <c r="M1211" s="317">
        <v>40.266480000000001</v>
      </c>
    </row>
    <row r="1212" spans="1:13" ht="45" hidden="1" x14ac:dyDescent="0.25">
      <c r="A1212" s="313">
        <f t="shared" si="18"/>
        <v>1211</v>
      </c>
      <c r="B1212" s="314" t="s">
        <v>1572</v>
      </c>
      <c r="C1212" s="315" t="s">
        <v>412</v>
      </c>
      <c r="D1212" s="316" t="s">
        <v>1574</v>
      </c>
      <c r="E1212" s="318">
        <v>2.12</v>
      </c>
      <c r="F1212" s="318" t="s">
        <v>395</v>
      </c>
      <c r="G1212" s="318" t="s">
        <v>395</v>
      </c>
      <c r="H1212" s="318" t="s">
        <v>395</v>
      </c>
      <c r="I1212" s="318" t="s">
        <v>1499</v>
      </c>
      <c r="J1212" s="318">
        <v>56</v>
      </c>
      <c r="K1212" s="317" t="s">
        <v>410</v>
      </c>
      <c r="L1212" s="317">
        <v>48.737810000000003</v>
      </c>
      <c r="M1212" s="317">
        <v>40.343809999999998</v>
      </c>
    </row>
    <row r="1213" spans="1:13" ht="60" hidden="1" x14ac:dyDescent="0.25">
      <c r="A1213" s="313">
        <f t="shared" si="18"/>
        <v>1212</v>
      </c>
      <c r="B1213" s="314" t="s">
        <v>1576</v>
      </c>
      <c r="C1213" s="315" t="s">
        <v>447</v>
      </c>
      <c r="D1213" s="316" t="s">
        <v>1578</v>
      </c>
      <c r="E1213" s="318">
        <v>1.36</v>
      </c>
      <c r="F1213" s="318" t="s">
        <v>395</v>
      </c>
      <c r="G1213" s="318" t="s">
        <v>395</v>
      </c>
      <c r="H1213" s="318" t="s">
        <v>395</v>
      </c>
      <c r="I1213" s="318" t="s">
        <v>1499</v>
      </c>
      <c r="J1213" s="318">
        <v>18</v>
      </c>
      <c r="K1213" s="317" t="s">
        <v>410</v>
      </c>
      <c r="L1213" s="317">
        <v>48.411720000000003</v>
      </c>
      <c r="M1213" s="317">
        <v>40.288559999999997</v>
      </c>
    </row>
    <row r="1214" spans="1:13" ht="60" hidden="1" x14ac:dyDescent="0.25">
      <c r="A1214" s="313">
        <f t="shared" si="18"/>
        <v>1213</v>
      </c>
      <c r="B1214" s="314" t="s">
        <v>1580</v>
      </c>
      <c r="C1214" s="315" t="s">
        <v>408</v>
      </c>
      <c r="D1214" s="316" t="s">
        <v>1582</v>
      </c>
      <c r="E1214" s="318">
        <v>2.7</v>
      </c>
      <c r="F1214" s="318" t="s">
        <v>395</v>
      </c>
      <c r="G1214" s="318" t="s">
        <v>395</v>
      </c>
      <c r="H1214" s="318" t="s">
        <v>395</v>
      </c>
      <c r="I1214" s="318" t="s">
        <v>1499</v>
      </c>
      <c r="J1214" s="318">
        <v>85</v>
      </c>
      <c r="K1214" s="317" t="s">
        <v>410</v>
      </c>
      <c r="L1214" s="317">
        <v>48.925750000000001</v>
      </c>
      <c r="M1214" s="317">
        <v>40.409579999999998</v>
      </c>
    </row>
    <row r="1215" spans="1:13" ht="45" hidden="1" x14ac:dyDescent="0.25">
      <c r="A1215" s="313">
        <f t="shared" si="18"/>
        <v>1214</v>
      </c>
      <c r="B1215" s="314" t="s">
        <v>1586</v>
      </c>
      <c r="C1215" s="315" t="s">
        <v>393</v>
      </c>
      <c r="D1215" s="316" t="s">
        <v>1587</v>
      </c>
      <c r="E1215" s="318">
        <v>2.62</v>
      </c>
      <c r="F1215" s="318" t="s">
        <v>395</v>
      </c>
      <c r="G1215" s="318" t="s">
        <v>395</v>
      </c>
      <c r="H1215" s="318" t="s">
        <v>395</v>
      </c>
      <c r="I1215" s="318" t="s">
        <v>1499</v>
      </c>
      <c r="J1215" s="318">
        <v>81</v>
      </c>
      <c r="K1215" s="317" t="s">
        <v>410</v>
      </c>
      <c r="L1215" s="317">
        <v>48.927300000000002</v>
      </c>
      <c r="M1215" s="317">
        <v>40.387500000000003</v>
      </c>
    </row>
    <row r="1216" spans="1:13" ht="60" hidden="1" x14ac:dyDescent="0.25">
      <c r="A1216" s="313">
        <f t="shared" si="18"/>
        <v>1215</v>
      </c>
      <c r="B1216" s="314" t="s">
        <v>1590</v>
      </c>
      <c r="C1216" s="315" t="s">
        <v>447</v>
      </c>
      <c r="D1216" s="316" t="s">
        <v>1591</v>
      </c>
      <c r="E1216" s="318">
        <v>1.62</v>
      </c>
      <c r="F1216" s="318" t="s">
        <v>395</v>
      </c>
      <c r="G1216" s="318" t="s">
        <v>395</v>
      </c>
      <c r="H1216" s="318" t="s">
        <v>395</v>
      </c>
      <c r="I1216" s="318" t="s">
        <v>1499</v>
      </c>
      <c r="J1216" s="318">
        <v>31</v>
      </c>
      <c r="K1216" s="317" t="s">
        <v>410</v>
      </c>
      <c r="L1216" s="317">
        <v>48.527439999999999</v>
      </c>
      <c r="M1216" s="317">
        <v>40.326329999999999</v>
      </c>
    </row>
    <row r="1217" spans="1:13" ht="60" hidden="1" x14ac:dyDescent="0.25">
      <c r="A1217" s="313">
        <f t="shared" si="18"/>
        <v>1216</v>
      </c>
      <c r="B1217" s="314" t="s">
        <v>1594</v>
      </c>
      <c r="C1217" s="315" t="s">
        <v>447</v>
      </c>
      <c r="D1217" s="316" t="s">
        <v>1595</v>
      </c>
      <c r="E1217" s="318">
        <v>4.4000000000000004</v>
      </c>
      <c r="F1217" s="318" t="s">
        <v>395</v>
      </c>
      <c r="G1217" s="318" t="s">
        <v>395</v>
      </c>
      <c r="H1217" s="318" t="s">
        <v>395</v>
      </c>
      <c r="I1217" s="318" t="s">
        <v>1499</v>
      </c>
      <c r="J1217" s="318">
        <v>170</v>
      </c>
      <c r="K1217" s="317" t="s">
        <v>410</v>
      </c>
      <c r="L1217" s="317">
        <v>49.378860000000003</v>
      </c>
      <c r="M1217" s="317">
        <v>40.144530000000003</v>
      </c>
    </row>
    <row r="1218" spans="1:13" ht="75" hidden="1" x14ac:dyDescent="0.25">
      <c r="A1218" s="313">
        <f t="shared" si="18"/>
        <v>1217</v>
      </c>
      <c r="B1218" s="314" t="s">
        <v>1598</v>
      </c>
      <c r="C1218" s="315" t="s">
        <v>428</v>
      </c>
      <c r="D1218" s="316" t="s">
        <v>1599</v>
      </c>
      <c r="E1218" s="318">
        <v>1.68</v>
      </c>
      <c r="F1218" s="318" t="s">
        <v>395</v>
      </c>
      <c r="G1218" s="318" t="s">
        <v>395</v>
      </c>
      <c r="H1218" s="318" t="s">
        <v>395</v>
      </c>
      <c r="I1218" s="318" t="s">
        <v>1499</v>
      </c>
      <c r="J1218" s="318">
        <v>34</v>
      </c>
      <c r="K1218" s="317" t="s">
        <v>410</v>
      </c>
      <c r="L1218" s="317">
        <v>48.33475</v>
      </c>
      <c r="M1218" s="317">
        <v>39.952390000000001</v>
      </c>
    </row>
    <row r="1219" spans="1:13" ht="75" hidden="1" x14ac:dyDescent="0.25">
      <c r="A1219" s="313">
        <f t="shared" si="18"/>
        <v>1218</v>
      </c>
      <c r="B1219" s="314" t="s">
        <v>1602</v>
      </c>
      <c r="C1219" s="315" t="s">
        <v>428</v>
      </c>
      <c r="D1219" s="316" t="s">
        <v>1603</v>
      </c>
      <c r="E1219" s="318">
        <v>1.98</v>
      </c>
      <c r="F1219" s="318" t="s">
        <v>395</v>
      </c>
      <c r="G1219" s="318" t="s">
        <v>395</v>
      </c>
      <c r="H1219" s="318" t="s">
        <v>395</v>
      </c>
      <c r="I1219" s="318" t="s">
        <v>1499</v>
      </c>
      <c r="J1219" s="318">
        <v>49</v>
      </c>
      <c r="K1219" s="317" t="s">
        <v>410</v>
      </c>
      <c r="L1219" s="317">
        <v>48.018610000000002</v>
      </c>
      <c r="M1219" s="317">
        <v>40.11833</v>
      </c>
    </row>
    <row r="1220" spans="1:13" ht="38.25" hidden="1" x14ac:dyDescent="0.25">
      <c r="A1220" s="313">
        <f t="shared" ref="A1220:A1283" si="19">A1219+1</f>
        <v>1219</v>
      </c>
      <c r="B1220" s="314" t="s">
        <v>1606</v>
      </c>
      <c r="C1220" s="315" t="s">
        <v>399</v>
      </c>
      <c r="D1220" s="316" t="s">
        <v>1607</v>
      </c>
      <c r="E1220" s="318">
        <v>1.76</v>
      </c>
      <c r="F1220" s="318" t="s">
        <v>395</v>
      </c>
      <c r="G1220" s="318" t="s">
        <v>395</v>
      </c>
      <c r="H1220" s="318" t="s">
        <v>395</v>
      </c>
      <c r="I1220" s="318" t="s">
        <v>1499</v>
      </c>
      <c r="J1220" s="318">
        <v>38</v>
      </c>
      <c r="K1220" s="317" t="s">
        <v>410</v>
      </c>
      <c r="L1220" s="317">
        <v>48.033740000000002</v>
      </c>
      <c r="M1220" s="317">
        <v>40.209350000000001</v>
      </c>
    </row>
    <row r="1221" spans="1:13" ht="45" hidden="1" x14ac:dyDescent="0.25">
      <c r="A1221" s="313">
        <f t="shared" si="19"/>
        <v>1220</v>
      </c>
      <c r="B1221" s="314" t="s">
        <v>1610</v>
      </c>
      <c r="C1221" s="315" t="s">
        <v>412</v>
      </c>
      <c r="D1221" s="316" t="s">
        <v>1611</v>
      </c>
      <c r="E1221" s="318">
        <v>3.4</v>
      </c>
      <c r="F1221" s="318" t="s">
        <v>395</v>
      </c>
      <c r="G1221" s="318" t="s">
        <v>395</v>
      </c>
      <c r="H1221" s="318" t="s">
        <v>395</v>
      </c>
      <c r="I1221" s="318" t="s">
        <v>1499</v>
      </c>
      <c r="J1221" s="318">
        <v>120</v>
      </c>
      <c r="K1221" s="317" t="s">
        <v>410</v>
      </c>
      <c r="L1221" s="317">
        <v>49.181890000000003</v>
      </c>
      <c r="M1221" s="317">
        <v>40.678310000000003</v>
      </c>
    </row>
    <row r="1222" spans="1:13" ht="45" hidden="1" x14ac:dyDescent="0.25">
      <c r="A1222" s="313">
        <f t="shared" si="19"/>
        <v>1221</v>
      </c>
      <c r="B1222" s="314" t="s">
        <v>1614</v>
      </c>
      <c r="C1222" s="315" t="s">
        <v>412</v>
      </c>
      <c r="D1222" s="316" t="s">
        <v>1615</v>
      </c>
      <c r="E1222" s="318">
        <v>3</v>
      </c>
      <c r="F1222" s="318" t="s">
        <v>395</v>
      </c>
      <c r="G1222" s="318" t="s">
        <v>395</v>
      </c>
      <c r="H1222" s="318" t="s">
        <v>395</v>
      </c>
      <c r="I1222" s="318" t="s">
        <v>1499</v>
      </c>
      <c r="J1222" s="318">
        <v>100</v>
      </c>
      <c r="K1222" s="317" t="s">
        <v>410</v>
      </c>
      <c r="L1222" s="317">
        <v>49.00067</v>
      </c>
      <c r="M1222" s="317">
        <v>40.653030000000001</v>
      </c>
    </row>
    <row r="1223" spans="1:13" ht="45" hidden="1" x14ac:dyDescent="0.25">
      <c r="A1223" s="313">
        <f t="shared" si="19"/>
        <v>1222</v>
      </c>
      <c r="B1223" s="314" t="s">
        <v>1618</v>
      </c>
      <c r="C1223" s="315" t="s">
        <v>412</v>
      </c>
      <c r="D1223" s="316" t="s">
        <v>1619</v>
      </c>
      <c r="E1223" s="318">
        <v>3.5</v>
      </c>
      <c r="F1223" s="318" t="s">
        <v>395</v>
      </c>
      <c r="G1223" s="318" t="s">
        <v>395</v>
      </c>
      <c r="H1223" s="318" t="s">
        <v>395</v>
      </c>
      <c r="I1223" s="318" t="s">
        <v>1499</v>
      </c>
      <c r="J1223" s="318">
        <v>125</v>
      </c>
      <c r="K1223" s="317" t="s">
        <v>410</v>
      </c>
      <c r="L1223" s="317">
        <v>49.037939999999999</v>
      </c>
      <c r="M1223" s="317">
        <v>40.985169999999997</v>
      </c>
    </row>
    <row r="1224" spans="1:13" ht="60" hidden="1" x14ac:dyDescent="0.25">
      <c r="A1224" s="313">
        <f t="shared" si="19"/>
        <v>1223</v>
      </c>
      <c r="B1224" s="314" t="s">
        <v>1622</v>
      </c>
      <c r="C1224" s="315" t="s">
        <v>452</v>
      </c>
      <c r="D1224" s="316" t="s">
        <v>1623</v>
      </c>
      <c r="E1224" s="318">
        <v>1.74</v>
      </c>
      <c r="F1224" s="318" t="s">
        <v>395</v>
      </c>
      <c r="G1224" s="318" t="s">
        <v>395</v>
      </c>
      <c r="H1224" s="318" t="s">
        <v>395</v>
      </c>
      <c r="I1224" s="318" t="s">
        <v>1499</v>
      </c>
      <c r="J1224" s="318">
        <v>37</v>
      </c>
      <c r="K1224" s="317" t="s">
        <v>410</v>
      </c>
      <c r="L1224" s="317">
        <v>48.30986</v>
      </c>
      <c r="M1224" s="317">
        <v>39.91028</v>
      </c>
    </row>
    <row r="1225" spans="1:13" ht="45" hidden="1" x14ac:dyDescent="0.25">
      <c r="A1225" s="313">
        <f t="shared" si="19"/>
        <v>1224</v>
      </c>
      <c r="B1225" s="314" t="s">
        <v>1626</v>
      </c>
      <c r="C1225" s="315" t="s">
        <v>393</v>
      </c>
      <c r="D1225" s="316" t="s">
        <v>1627</v>
      </c>
      <c r="E1225" s="318">
        <v>1.06</v>
      </c>
      <c r="F1225" s="318" t="s">
        <v>395</v>
      </c>
      <c r="G1225" s="318" t="s">
        <v>395</v>
      </c>
      <c r="H1225" s="318" t="s">
        <v>395</v>
      </c>
      <c r="I1225" s="318" t="s">
        <v>1499</v>
      </c>
      <c r="J1225" s="318">
        <v>3</v>
      </c>
      <c r="K1225" s="317" t="s">
        <v>410</v>
      </c>
      <c r="L1225" s="317">
        <v>48.32967</v>
      </c>
      <c r="M1225" s="317">
        <v>40.274250000000002</v>
      </c>
    </row>
    <row r="1226" spans="1:13" ht="75" hidden="1" x14ac:dyDescent="0.25">
      <c r="A1226" s="313">
        <f t="shared" si="19"/>
        <v>1225</v>
      </c>
      <c r="B1226" s="314" t="s">
        <v>1630</v>
      </c>
      <c r="C1226" s="315" t="s">
        <v>428</v>
      </c>
      <c r="D1226" s="316" t="s">
        <v>1631</v>
      </c>
      <c r="E1226" s="318">
        <v>1.2</v>
      </c>
      <c r="F1226" s="318" t="s">
        <v>395</v>
      </c>
      <c r="G1226" s="318" t="s">
        <v>395</v>
      </c>
      <c r="H1226" s="318" t="s">
        <v>395</v>
      </c>
      <c r="I1226" s="318" t="s">
        <v>1499</v>
      </c>
      <c r="J1226" s="318">
        <v>10</v>
      </c>
      <c r="K1226" s="317" t="s">
        <v>410</v>
      </c>
      <c r="L1226" s="317">
        <v>48.330829999999999</v>
      </c>
      <c r="M1226" s="317">
        <v>40.305059999999997</v>
      </c>
    </row>
    <row r="1227" spans="1:13" ht="75" hidden="1" x14ac:dyDescent="0.25">
      <c r="A1227" s="313">
        <f t="shared" si="19"/>
        <v>1226</v>
      </c>
      <c r="B1227" s="314" t="s">
        <v>1634</v>
      </c>
      <c r="C1227" s="315" t="s">
        <v>428</v>
      </c>
      <c r="D1227" s="316" t="s">
        <v>1635</v>
      </c>
      <c r="E1227" s="318">
        <v>1.02</v>
      </c>
      <c r="F1227" s="318" t="s">
        <v>395</v>
      </c>
      <c r="G1227" s="318" t="s">
        <v>395</v>
      </c>
      <c r="H1227" s="318" t="s">
        <v>395</v>
      </c>
      <c r="I1227" s="318" t="s">
        <v>1499</v>
      </c>
      <c r="J1227" s="318">
        <v>1</v>
      </c>
      <c r="K1227" s="317" t="s">
        <v>410</v>
      </c>
      <c r="L1227" s="317">
        <v>48.308920000000001</v>
      </c>
      <c r="M1227" s="317">
        <v>40.286969999999997</v>
      </c>
    </row>
    <row r="1228" spans="1:13" ht="45" hidden="1" x14ac:dyDescent="0.25">
      <c r="A1228" s="313">
        <f t="shared" si="19"/>
        <v>1227</v>
      </c>
      <c r="B1228" s="314" t="s">
        <v>1638</v>
      </c>
      <c r="C1228" s="315" t="s">
        <v>412</v>
      </c>
      <c r="D1228" s="316" t="s">
        <v>1639</v>
      </c>
      <c r="E1228" s="318">
        <v>1.62</v>
      </c>
      <c r="F1228" s="318" t="s">
        <v>395</v>
      </c>
      <c r="G1228" s="318" t="s">
        <v>395</v>
      </c>
      <c r="H1228" s="318" t="s">
        <v>395</v>
      </c>
      <c r="I1228" s="318" t="s">
        <v>1499</v>
      </c>
      <c r="J1228" s="318">
        <v>31</v>
      </c>
      <c r="K1228" s="317" t="s">
        <v>410</v>
      </c>
      <c r="L1228" s="317">
        <v>48.349640000000001</v>
      </c>
      <c r="M1228" s="317">
        <v>39.963610000000003</v>
      </c>
    </row>
    <row r="1229" spans="1:13" ht="75" hidden="1" x14ac:dyDescent="0.25">
      <c r="A1229" s="313">
        <f t="shared" si="19"/>
        <v>1228</v>
      </c>
      <c r="B1229" s="314" t="s">
        <v>1642</v>
      </c>
      <c r="C1229" s="315" t="s">
        <v>428</v>
      </c>
      <c r="D1229" s="316" t="s">
        <v>1643</v>
      </c>
      <c r="E1229" s="318">
        <v>2.04</v>
      </c>
      <c r="F1229" s="318" t="s">
        <v>395</v>
      </c>
      <c r="G1229" s="318" t="s">
        <v>395</v>
      </c>
      <c r="H1229" s="318" t="s">
        <v>395</v>
      </c>
      <c r="I1229" s="318" t="s">
        <v>1499</v>
      </c>
      <c r="J1229" s="318">
        <v>52</v>
      </c>
      <c r="K1229" s="317" t="s">
        <v>410</v>
      </c>
      <c r="L1229" s="317">
        <v>48.044919999999998</v>
      </c>
      <c r="M1229" s="317">
        <v>39.955030000000001</v>
      </c>
    </row>
    <row r="1230" spans="1:13" ht="45" hidden="1" x14ac:dyDescent="0.25">
      <c r="A1230" s="313">
        <f t="shared" si="19"/>
        <v>1229</v>
      </c>
      <c r="B1230" s="314" t="s">
        <v>1646</v>
      </c>
      <c r="C1230" s="315" t="s">
        <v>412</v>
      </c>
      <c r="D1230" s="316" t="s">
        <v>1647</v>
      </c>
      <c r="E1230" s="318">
        <v>2.04</v>
      </c>
      <c r="F1230" s="318" t="s">
        <v>395</v>
      </c>
      <c r="G1230" s="318" t="s">
        <v>395</v>
      </c>
      <c r="H1230" s="318" t="s">
        <v>395</v>
      </c>
      <c r="I1230" s="318" t="s">
        <v>1499</v>
      </c>
      <c r="J1230" s="318">
        <v>52</v>
      </c>
      <c r="K1230" s="317" t="s">
        <v>410</v>
      </c>
      <c r="L1230" s="317">
        <v>48.061030000000002</v>
      </c>
      <c r="M1230" s="317">
        <v>39.929609999999997</v>
      </c>
    </row>
    <row r="1231" spans="1:13" ht="75" hidden="1" x14ac:dyDescent="0.25">
      <c r="A1231" s="313">
        <f t="shared" si="19"/>
        <v>1230</v>
      </c>
      <c r="B1231" s="314" t="s">
        <v>1650</v>
      </c>
      <c r="C1231" s="315" t="s">
        <v>428</v>
      </c>
      <c r="D1231" s="316" t="s">
        <v>1651</v>
      </c>
      <c r="E1231" s="318">
        <v>2.14</v>
      </c>
      <c r="F1231" s="318" t="s">
        <v>395</v>
      </c>
      <c r="G1231" s="318" t="s">
        <v>395</v>
      </c>
      <c r="H1231" s="318" t="s">
        <v>395</v>
      </c>
      <c r="I1231" s="318" t="s">
        <v>1499</v>
      </c>
      <c r="J1231" s="318">
        <v>57</v>
      </c>
      <c r="K1231" s="317" t="s">
        <v>410</v>
      </c>
      <c r="L1231" s="317">
        <v>48.023670000000003</v>
      </c>
      <c r="M1231" s="317">
        <v>39.88111</v>
      </c>
    </row>
    <row r="1232" spans="1:13" ht="75" hidden="1" x14ac:dyDescent="0.25">
      <c r="A1232" s="313">
        <f t="shared" si="19"/>
        <v>1231</v>
      </c>
      <c r="B1232" s="314" t="s">
        <v>1654</v>
      </c>
      <c r="C1232" s="315" t="s">
        <v>428</v>
      </c>
      <c r="D1232" s="316" t="s">
        <v>1655</v>
      </c>
      <c r="E1232" s="318">
        <v>1.46</v>
      </c>
      <c r="F1232" s="318" t="s">
        <v>395</v>
      </c>
      <c r="G1232" s="318" t="s">
        <v>395</v>
      </c>
      <c r="H1232" s="318" t="s">
        <v>395</v>
      </c>
      <c r="I1232" s="318" t="s">
        <v>1499</v>
      </c>
      <c r="J1232" s="318">
        <v>23</v>
      </c>
      <c r="K1232" s="317" t="s">
        <v>410</v>
      </c>
      <c r="L1232" s="317">
        <v>48.151000000000003</v>
      </c>
      <c r="M1232" s="317">
        <v>40.177860000000003</v>
      </c>
    </row>
    <row r="1233" spans="1:13" ht="45" hidden="1" x14ac:dyDescent="0.25">
      <c r="A1233" s="313">
        <f t="shared" si="19"/>
        <v>1232</v>
      </c>
      <c r="B1233" s="314" t="s">
        <v>1658</v>
      </c>
      <c r="C1233" s="315" t="s">
        <v>412</v>
      </c>
      <c r="D1233" s="316" t="s">
        <v>1659</v>
      </c>
      <c r="E1233" s="318">
        <v>3.72</v>
      </c>
      <c r="F1233" s="318" t="s">
        <v>395</v>
      </c>
      <c r="G1233" s="318" t="s">
        <v>395</v>
      </c>
      <c r="H1233" s="318" t="s">
        <v>395</v>
      </c>
      <c r="I1233" s="318" t="s">
        <v>1499</v>
      </c>
      <c r="J1233" s="318">
        <v>136</v>
      </c>
      <c r="K1233" s="317" t="s">
        <v>410</v>
      </c>
      <c r="L1233" s="317">
        <v>49.382219999999997</v>
      </c>
      <c r="M1233" s="317">
        <v>40.57667</v>
      </c>
    </row>
    <row r="1234" spans="1:13" ht="45" hidden="1" x14ac:dyDescent="0.25">
      <c r="A1234" s="313">
        <f t="shared" si="19"/>
        <v>1233</v>
      </c>
      <c r="B1234" s="314" t="s">
        <v>1662</v>
      </c>
      <c r="C1234" s="315" t="s">
        <v>412</v>
      </c>
      <c r="D1234" s="316" t="s">
        <v>1663</v>
      </c>
      <c r="E1234" s="318">
        <v>1.82</v>
      </c>
      <c r="F1234" s="318" t="s">
        <v>395</v>
      </c>
      <c r="G1234" s="318" t="s">
        <v>395</v>
      </c>
      <c r="H1234" s="318" t="s">
        <v>395</v>
      </c>
      <c r="I1234" s="318" t="s">
        <v>1499</v>
      </c>
      <c r="J1234" s="318">
        <v>41</v>
      </c>
      <c r="K1234" s="317" t="s">
        <v>410</v>
      </c>
      <c r="L1234" s="317">
        <v>48.04504</v>
      </c>
      <c r="M1234" s="317">
        <v>40.121389999999998</v>
      </c>
    </row>
    <row r="1235" spans="1:13" ht="60" hidden="1" x14ac:dyDescent="0.25">
      <c r="A1235" s="313">
        <f t="shared" si="19"/>
        <v>1234</v>
      </c>
      <c r="B1235" s="314" t="s">
        <v>1666</v>
      </c>
      <c r="C1235" s="315" t="s">
        <v>447</v>
      </c>
      <c r="D1235" s="316" t="s">
        <v>1667</v>
      </c>
      <c r="E1235" s="318">
        <v>3.32</v>
      </c>
      <c r="F1235" s="318" t="s">
        <v>395</v>
      </c>
      <c r="G1235" s="318" t="s">
        <v>395</v>
      </c>
      <c r="H1235" s="318" t="s">
        <v>395</v>
      </c>
      <c r="I1235" s="318" t="s">
        <v>1499</v>
      </c>
      <c r="J1235" s="318">
        <v>116</v>
      </c>
      <c r="K1235" s="317" t="s">
        <v>410</v>
      </c>
      <c r="L1235" s="317">
        <v>49.003329999999998</v>
      </c>
      <c r="M1235" s="317">
        <v>40.446109999999997</v>
      </c>
    </row>
    <row r="1236" spans="1:13" ht="75" hidden="1" x14ac:dyDescent="0.25">
      <c r="A1236" s="313">
        <f t="shared" si="19"/>
        <v>1235</v>
      </c>
      <c r="B1236" s="314" t="s">
        <v>1670</v>
      </c>
      <c r="C1236" s="315" t="s">
        <v>428</v>
      </c>
      <c r="D1236" s="316" t="s">
        <v>1671</v>
      </c>
      <c r="E1236" s="318">
        <v>1.3</v>
      </c>
      <c r="F1236" s="318" t="s">
        <v>395</v>
      </c>
      <c r="G1236" s="318" t="s">
        <v>395</v>
      </c>
      <c r="H1236" s="318" t="s">
        <v>395</v>
      </c>
      <c r="I1236" s="318" t="s">
        <v>1499</v>
      </c>
      <c r="J1236" s="318">
        <v>15</v>
      </c>
      <c r="K1236" s="317" t="s">
        <v>410</v>
      </c>
      <c r="L1236" s="317">
        <v>48.241669999999999</v>
      </c>
      <c r="M1236" s="317">
        <v>40.411110000000001</v>
      </c>
    </row>
    <row r="1237" spans="1:13" ht="45" hidden="1" x14ac:dyDescent="0.25">
      <c r="A1237" s="313">
        <f t="shared" si="19"/>
        <v>1236</v>
      </c>
      <c r="B1237" s="314" t="s">
        <v>1674</v>
      </c>
      <c r="C1237" s="315" t="s">
        <v>412</v>
      </c>
      <c r="D1237" s="316" t="s">
        <v>1675</v>
      </c>
      <c r="E1237" s="318">
        <v>1.56</v>
      </c>
      <c r="F1237" s="318" t="s">
        <v>395</v>
      </c>
      <c r="G1237" s="318" t="s">
        <v>395</v>
      </c>
      <c r="H1237" s="318" t="s">
        <v>395</v>
      </c>
      <c r="I1237" s="318" t="s">
        <v>1499</v>
      </c>
      <c r="J1237" s="318">
        <v>28</v>
      </c>
      <c r="K1237" s="317" t="s">
        <v>410</v>
      </c>
      <c r="L1237" s="317">
        <v>48.35</v>
      </c>
      <c r="M1237" s="317">
        <v>40.014719999999997</v>
      </c>
    </row>
    <row r="1238" spans="1:13" ht="30" hidden="1" x14ac:dyDescent="0.25">
      <c r="A1238" s="313">
        <f t="shared" si="19"/>
        <v>1237</v>
      </c>
      <c r="B1238" s="314" t="s">
        <v>1678</v>
      </c>
      <c r="C1238" s="315" t="s">
        <v>399</v>
      </c>
      <c r="D1238" s="316" t="s">
        <v>1679</v>
      </c>
      <c r="E1238" s="318">
        <v>3</v>
      </c>
      <c r="F1238" s="318" t="s">
        <v>395</v>
      </c>
      <c r="G1238" s="318" t="s">
        <v>395</v>
      </c>
      <c r="H1238" s="318" t="s">
        <v>395</v>
      </c>
      <c r="I1238" s="318" t="s">
        <v>1499</v>
      </c>
      <c r="J1238" s="318">
        <v>100</v>
      </c>
      <c r="K1238" s="317" t="s">
        <v>410</v>
      </c>
      <c r="L1238" s="317">
        <v>49.065040000000003</v>
      </c>
      <c r="M1238" s="317">
        <v>40.353169999999999</v>
      </c>
    </row>
    <row r="1239" spans="1:13" ht="45" hidden="1" x14ac:dyDescent="0.25">
      <c r="A1239" s="313">
        <f t="shared" si="19"/>
        <v>1238</v>
      </c>
      <c r="B1239" s="314" t="s">
        <v>1682</v>
      </c>
      <c r="C1239" s="315" t="s">
        <v>412</v>
      </c>
      <c r="D1239" s="316" t="s">
        <v>1683</v>
      </c>
      <c r="E1239" s="318">
        <v>4.2</v>
      </c>
      <c r="F1239" s="318" t="s">
        <v>395</v>
      </c>
      <c r="G1239" s="318" t="s">
        <v>395</v>
      </c>
      <c r="H1239" s="318" t="s">
        <v>395</v>
      </c>
      <c r="I1239" s="318" t="s">
        <v>1499</v>
      </c>
      <c r="J1239" s="318">
        <v>160</v>
      </c>
      <c r="K1239" s="317" t="s">
        <v>410</v>
      </c>
      <c r="L1239" s="317">
        <v>49.387219999999999</v>
      </c>
      <c r="M1239" s="317">
        <v>40.322780000000002</v>
      </c>
    </row>
    <row r="1240" spans="1:13" ht="45" hidden="1" x14ac:dyDescent="0.25">
      <c r="A1240" s="313">
        <f t="shared" si="19"/>
        <v>1239</v>
      </c>
      <c r="B1240" s="314" t="s">
        <v>1686</v>
      </c>
      <c r="C1240" s="315" t="s">
        <v>412</v>
      </c>
      <c r="D1240" s="316" t="s">
        <v>1687</v>
      </c>
      <c r="E1240" s="318">
        <v>4.72</v>
      </c>
      <c r="F1240" s="318" t="s">
        <v>395</v>
      </c>
      <c r="G1240" s="318" t="s">
        <v>395</v>
      </c>
      <c r="H1240" s="318" t="s">
        <v>395</v>
      </c>
      <c r="I1240" s="318" t="s">
        <v>1499</v>
      </c>
      <c r="J1240" s="318">
        <v>186</v>
      </c>
      <c r="K1240" s="317" t="s">
        <v>410</v>
      </c>
      <c r="L1240" s="317">
        <v>49.20373</v>
      </c>
      <c r="M1240" s="317">
        <v>40.237690000000001</v>
      </c>
    </row>
    <row r="1241" spans="1:13" ht="75" hidden="1" x14ac:dyDescent="0.25">
      <c r="A1241" s="313">
        <f t="shared" si="19"/>
        <v>1240</v>
      </c>
      <c r="B1241" s="314" t="s">
        <v>1690</v>
      </c>
      <c r="C1241" s="315" t="s">
        <v>428</v>
      </c>
      <c r="D1241" s="316" t="s">
        <v>1691</v>
      </c>
      <c r="E1241" s="318">
        <v>1.64</v>
      </c>
      <c r="F1241" s="318" t="s">
        <v>395</v>
      </c>
      <c r="G1241" s="318" t="s">
        <v>395</v>
      </c>
      <c r="H1241" s="318" t="s">
        <v>395</v>
      </c>
      <c r="I1241" s="318" t="s">
        <v>1499</v>
      </c>
      <c r="J1241" s="318">
        <v>32</v>
      </c>
      <c r="K1241" s="317" t="s">
        <v>410</v>
      </c>
      <c r="L1241" s="317">
        <v>48.14367</v>
      </c>
      <c r="M1241" s="317">
        <v>40.073189999999997</v>
      </c>
    </row>
    <row r="1242" spans="1:13" ht="45" hidden="1" x14ac:dyDescent="0.25">
      <c r="A1242" s="313">
        <f t="shared" si="19"/>
        <v>1241</v>
      </c>
      <c r="B1242" s="314" t="s">
        <v>1694</v>
      </c>
      <c r="C1242" s="315" t="s">
        <v>412</v>
      </c>
      <c r="D1242" s="316" t="s">
        <v>1695</v>
      </c>
      <c r="E1242" s="318">
        <v>2.56</v>
      </c>
      <c r="F1242" s="318" t="s">
        <v>395</v>
      </c>
      <c r="G1242" s="318" t="s">
        <v>395</v>
      </c>
      <c r="H1242" s="318" t="s">
        <v>395</v>
      </c>
      <c r="I1242" s="318" t="s">
        <v>1499</v>
      </c>
      <c r="J1242" s="318">
        <v>78</v>
      </c>
      <c r="K1242" s="317" t="s">
        <v>410</v>
      </c>
      <c r="L1242" s="317">
        <v>48.740279999999998</v>
      </c>
      <c r="M1242" s="317">
        <v>40.074420000000003</v>
      </c>
    </row>
    <row r="1243" spans="1:13" ht="45" hidden="1" x14ac:dyDescent="0.25">
      <c r="A1243" s="313">
        <f t="shared" si="19"/>
        <v>1242</v>
      </c>
      <c r="B1243" s="314" t="s">
        <v>1698</v>
      </c>
      <c r="C1243" s="315" t="s">
        <v>412</v>
      </c>
      <c r="D1243" s="316" t="s">
        <v>1699</v>
      </c>
      <c r="E1243" s="318">
        <v>3.38</v>
      </c>
      <c r="F1243" s="318" t="s">
        <v>395</v>
      </c>
      <c r="G1243" s="318" t="s">
        <v>395</v>
      </c>
      <c r="H1243" s="318" t="s">
        <v>395</v>
      </c>
      <c r="I1243" s="318" t="s">
        <v>1499</v>
      </c>
      <c r="J1243" s="318">
        <v>119</v>
      </c>
      <c r="K1243" s="317" t="s">
        <v>410</v>
      </c>
      <c r="L1243" s="317">
        <v>48.924169999999997</v>
      </c>
      <c r="M1243" s="317">
        <v>39.914720000000003</v>
      </c>
    </row>
    <row r="1244" spans="1:13" ht="75" hidden="1" x14ac:dyDescent="0.25">
      <c r="A1244" s="313">
        <f t="shared" si="19"/>
        <v>1243</v>
      </c>
      <c r="B1244" s="314" t="s">
        <v>1702</v>
      </c>
      <c r="C1244" s="315" t="s">
        <v>428</v>
      </c>
      <c r="D1244" s="316" t="s">
        <v>1703</v>
      </c>
      <c r="E1244" s="318">
        <v>2.04</v>
      </c>
      <c r="F1244" s="318" t="s">
        <v>395</v>
      </c>
      <c r="G1244" s="318" t="s">
        <v>395</v>
      </c>
      <c r="H1244" s="318" t="s">
        <v>395</v>
      </c>
      <c r="I1244" s="318" t="s">
        <v>1499</v>
      </c>
      <c r="J1244" s="318">
        <v>52</v>
      </c>
      <c r="K1244" s="317" t="s">
        <v>410</v>
      </c>
      <c r="L1244" s="317">
        <v>48.049700000000001</v>
      </c>
      <c r="M1244" s="317">
        <v>39.925049999999999</v>
      </c>
    </row>
    <row r="1245" spans="1:13" ht="75" hidden="1" x14ac:dyDescent="0.25">
      <c r="A1245" s="313">
        <f t="shared" si="19"/>
        <v>1244</v>
      </c>
      <c r="B1245" s="314" t="s">
        <v>1706</v>
      </c>
      <c r="C1245" s="315" t="s">
        <v>428</v>
      </c>
      <c r="D1245" s="316" t="s">
        <v>1707</v>
      </c>
      <c r="E1245" s="318">
        <v>1.7</v>
      </c>
      <c r="F1245" s="318" t="s">
        <v>395</v>
      </c>
      <c r="G1245" s="318" t="s">
        <v>395</v>
      </c>
      <c r="H1245" s="318" t="s">
        <v>395</v>
      </c>
      <c r="I1245" s="318" t="s">
        <v>1499</v>
      </c>
      <c r="J1245" s="318">
        <v>35</v>
      </c>
      <c r="K1245" s="317" t="s">
        <v>410</v>
      </c>
      <c r="L1245" s="317">
        <v>48.334440000000001</v>
      </c>
      <c r="M1245" s="317">
        <v>39.936390000000003</v>
      </c>
    </row>
    <row r="1246" spans="1:13" ht="45" hidden="1" x14ac:dyDescent="0.25">
      <c r="A1246" s="313">
        <f t="shared" si="19"/>
        <v>1245</v>
      </c>
      <c r="B1246" s="314" t="s">
        <v>1710</v>
      </c>
      <c r="C1246" s="315" t="s">
        <v>412</v>
      </c>
      <c r="D1246" s="316" t="s">
        <v>1711</v>
      </c>
      <c r="E1246" s="318">
        <v>2.46</v>
      </c>
      <c r="F1246" s="318" t="s">
        <v>395</v>
      </c>
      <c r="G1246" s="318" t="s">
        <v>395</v>
      </c>
      <c r="H1246" s="318" t="s">
        <v>395</v>
      </c>
      <c r="I1246" s="318" t="s">
        <v>1499</v>
      </c>
      <c r="J1246" s="318">
        <v>73</v>
      </c>
      <c r="K1246" s="317" t="s">
        <v>410</v>
      </c>
      <c r="L1246" s="317">
        <v>48.008890000000001</v>
      </c>
      <c r="M1246" s="317">
        <v>40.829889999999999</v>
      </c>
    </row>
    <row r="1247" spans="1:13" ht="45" hidden="1" x14ac:dyDescent="0.25">
      <c r="A1247" s="313">
        <f t="shared" si="19"/>
        <v>1246</v>
      </c>
      <c r="B1247" s="314" t="s">
        <v>1714</v>
      </c>
      <c r="C1247" s="315" t="s">
        <v>412</v>
      </c>
      <c r="D1247" s="316" t="s">
        <v>1716</v>
      </c>
      <c r="E1247" s="318">
        <v>2.16</v>
      </c>
      <c r="F1247" s="318" t="s">
        <v>395</v>
      </c>
      <c r="G1247" s="318" t="s">
        <v>395</v>
      </c>
      <c r="H1247" s="318" t="s">
        <v>395</v>
      </c>
      <c r="I1247" s="318" t="s">
        <v>1499</v>
      </c>
      <c r="J1247" s="318">
        <v>58</v>
      </c>
      <c r="K1247" s="317" t="s">
        <v>410</v>
      </c>
      <c r="L1247" s="317">
        <v>48.167000000000002</v>
      </c>
      <c r="M1247" s="317">
        <v>40.783439999999999</v>
      </c>
    </row>
    <row r="1248" spans="1:13" ht="60" hidden="1" x14ac:dyDescent="0.25">
      <c r="A1248" s="313">
        <f t="shared" si="19"/>
        <v>1247</v>
      </c>
      <c r="B1248" s="314" t="s">
        <v>1719</v>
      </c>
      <c r="C1248" s="315" t="s">
        <v>408</v>
      </c>
      <c r="D1248" s="316" t="s">
        <v>1720</v>
      </c>
      <c r="E1248" s="318">
        <v>2.12</v>
      </c>
      <c r="F1248" s="318" t="s">
        <v>395</v>
      </c>
      <c r="G1248" s="318" t="s">
        <v>395</v>
      </c>
      <c r="H1248" s="318" t="s">
        <v>395</v>
      </c>
      <c r="I1248" s="318" t="s">
        <v>1499</v>
      </c>
      <c r="J1248" s="318">
        <v>56</v>
      </c>
      <c r="K1248" s="317" t="s">
        <v>410</v>
      </c>
      <c r="L1248" s="317">
        <v>48.193829999999998</v>
      </c>
      <c r="M1248" s="317">
        <v>40.759</v>
      </c>
    </row>
    <row r="1249" spans="1:13" ht="75" hidden="1" x14ac:dyDescent="0.25">
      <c r="A1249" s="313">
        <f t="shared" si="19"/>
        <v>1248</v>
      </c>
      <c r="B1249" s="314" t="s">
        <v>1723</v>
      </c>
      <c r="C1249" s="315" t="s">
        <v>428</v>
      </c>
      <c r="D1249" s="316" t="s">
        <v>1724</v>
      </c>
      <c r="E1249" s="318">
        <v>2.1800000000000002</v>
      </c>
      <c r="F1249" s="318" t="s">
        <v>395</v>
      </c>
      <c r="G1249" s="318" t="s">
        <v>395</v>
      </c>
      <c r="H1249" s="318" t="s">
        <v>395</v>
      </c>
      <c r="I1249" s="318" t="s">
        <v>1499</v>
      </c>
      <c r="J1249" s="318">
        <v>59</v>
      </c>
      <c r="K1249" s="317" t="s">
        <v>410</v>
      </c>
      <c r="L1249" s="317">
        <v>48.172310000000003</v>
      </c>
      <c r="M1249" s="317">
        <v>40.804580000000001</v>
      </c>
    </row>
    <row r="1250" spans="1:13" ht="45" hidden="1" x14ac:dyDescent="0.25">
      <c r="A1250" s="313">
        <f t="shared" si="19"/>
        <v>1249</v>
      </c>
      <c r="B1250" s="314" t="s">
        <v>1727</v>
      </c>
      <c r="C1250" s="315" t="s">
        <v>412</v>
      </c>
      <c r="D1250" s="316" t="s">
        <v>1728</v>
      </c>
      <c r="E1250" s="318">
        <v>3.48</v>
      </c>
      <c r="F1250" s="318" t="s">
        <v>395</v>
      </c>
      <c r="G1250" s="318" t="s">
        <v>395</v>
      </c>
      <c r="H1250" s="318" t="s">
        <v>395</v>
      </c>
      <c r="I1250" s="318" t="s">
        <v>1499</v>
      </c>
      <c r="J1250" s="318">
        <v>124</v>
      </c>
      <c r="K1250" s="317" t="s">
        <v>410</v>
      </c>
      <c r="L1250" s="317">
        <v>48.30603</v>
      </c>
      <c r="M1250" s="317">
        <v>41.585329999999999</v>
      </c>
    </row>
    <row r="1251" spans="1:13" ht="45" hidden="1" x14ac:dyDescent="0.25">
      <c r="A1251" s="313">
        <f t="shared" si="19"/>
        <v>1250</v>
      </c>
      <c r="B1251" s="314" t="s">
        <v>1731</v>
      </c>
      <c r="C1251" s="315" t="s">
        <v>412</v>
      </c>
      <c r="D1251" s="316" t="s">
        <v>1732</v>
      </c>
      <c r="E1251" s="318">
        <v>3.14</v>
      </c>
      <c r="F1251" s="318" t="s">
        <v>395</v>
      </c>
      <c r="G1251" s="318" t="s">
        <v>395</v>
      </c>
      <c r="H1251" s="318" t="s">
        <v>395</v>
      </c>
      <c r="I1251" s="318" t="s">
        <v>1499</v>
      </c>
      <c r="J1251" s="318">
        <v>107</v>
      </c>
      <c r="K1251" s="317" t="s">
        <v>410</v>
      </c>
      <c r="L1251" s="317">
        <v>48.200749999999999</v>
      </c>
      <c r="M1251" s="317">
        <v>41.314689999999999</v>
      </c>
    </row>
    <row r="1252" spans="1:13" ht="75" hidden="1" x14ac:dyDescent="0.25">
      <c r="A1252" s="313">
        <f t="shared" si="19"/>
        <v>1251</v>
      </c>
      <c r="B1252" s="314" t="s">
        <v>1735</v>
      </c>
      <c r="C1252" s="315" t="s">
        <v>428</v>
      </c>
      <c r="D1252" s="316" t="s">
        <v>1736</v>
      </c>
      <c r="E1252" s="318">
        <v>1.92</v>
      </c>
      <c r="F1252" s="318" t="s">
        <v>395</v>
      </c>
      <c r="G1252" s="318" t="s">
        <v>395</v>
      </c>
      <c r="H1252" s="318" t="s">
        <v>395</v>
      </c>
      <c r="I1252" s="318" t="s">
        <v>1499</v>
      </c>
      <c r="J1252" s="318">
        <v>46</v>
      </c>
      <c r="K1252" s="317" t="s">
        <v>410</v>
      </c>
      <c r="L1252" s="317">
        <v>48.19117</v>
      </c>
      <c r="M1252" s="317">
        <v>40.647060000000003</v>
      </c>
    </row>
    <row r="1253" spans="1:13" ht="60" hidden="1" x14ac:dyDescent="0.25">
      <c r="A1253" s="313">
        <f t="shared" si="19"/>
        <v>1252</v>
      </c>
      <c r="B1253" s="314" t="s">
        <v>1739</v>
      </c>
      <c r="C1253" s="315" t="s">
        <v>408</v>
      </c>
      <c r="D1253" s="316" t="s">
        <v>1740</v>
      </c>
      <c r="E1253" s="318">
        <v>2.96</v>
      </c>
      <c r="F1253" s="318" t="s">
        <v>395</v>
      </c>
      <c r="G1253" s="318" t="s">
        <v>395</v>
      </c>
      <c r="H1253" s="318" t="s">
        <v>395</v>
      </c>
      <c r="I1253" s="318" t="s">
        <v>1499</v>
      </c>
      <c r="J1253" s="318">
        <v>98</v>
      </c>
      <c r="K1253" s="317" t="s">
        <v>410</v>
      </c>
      <c r="L1253" s="317">
        <v>48.246749999999999</v>
      </c>
      <c r="M1253" s="317">
        <v>41.24756</v>
      </c>
    </row>
    <row r="1254" spans="1:13" ht="45" hidden="1" x14ac:dyDescent="0.25">
      <c r="A1254" s="313">
        <f t="shared" si="19"/>
        <v>1253</v>
      </c>
      <c r="B1254" s="314" t="s">
        <v>1743</v>
      </c>
      <c r="C1254" s="315" t="s">
        <v>412</v>
      </c>
      <c r="D1254" s="316" t="s">
        <v>1744</v>
      </c>
      <c r="E1254" s="318">
        <v>2.2799999999999998</v>
      </c>
      <c r="F1254" s="318" t="s">
        <v>395</v>
      </c>
      <c r="G1254" s="318" t="s">
        <v>395</v>
      </c>
      <c r="H1254" s="318" t="s">
        <v>395</v>
      </c>
      <c r="I1254" s="318" t="s">
        <v>1499</v>
      </c>
      <c r="J1254" s="318">
        <v>64</v>
      </c>
      <c r="K1254" s="317" t="s">
        <v>410</v>
      </c>
      <c r="L1254" s="317">
        <v>48.177900000000001</v>
      </c>
      <c r="M1254" s="317">
        <v>40.83128</v>
      </c>
    </row>
    <row r="1255" spans="1:13" ht="75" hidden="1" x14ac:dyDescent="0.25">
      <c r="A1255" s="313">
        <f t="shared" si="19"/>
        <v>1254</v>
      </c>
      <c r="B1255" s="314" t="s">
        <v>1747</v>
      </c>
      <c r="C1255" s="315" t="s">
        <v>428</v>
      </c>
      <c r="D1255" s="316" t="s">
        <v>1748</v>
      </c>
      <c r="E1255" s="318">
        <v>2.12</v>
      </c>
      <c r="F1255" s="318" t="s">
        <v>395</v>
      </c>
      <c r="G1255" s="318" t="s">
        <v>395</v>
      </c>
      <c r="H1255" s="318" t="s">
        <v>395</v>
      </c>
      <c r="I1255" s="318" t="s">
        <v>1499</v>
      </c>
      <c r="J1255" s="318">
        <v>56</v>
      </c>
      <c r="K1255" s="317" t="s">
        <v>410</v>
      </c>
      <c r="L1255" s="317">
        <v>48.182780000000001</v>
      </c>
      <c r="M1255" s="317">
        <v>40.777000000000001</v>
      </c>
    </row>
    <row r="1256" spans="1:13" ht="75" hidden="1" x14ac:dyDescent="0.25">
      <c r="A1256" s="313">
        <f t="shared" si="19"/>
        <v>1255</v>
      </c>
      <c r="B1256" s="314" t="s">
        <v>1751</v>
      </c>
      <c r="C1256" s="315" t="s">
        <v>428</v>
      </c>
      <c r="D1256" s="316" t="s">
        <v>1752</v>
      </c>
      <c r="E1256" s="318">
        <v>2.2000000000000002</v>
      </c>
      <c r="F1256" s="318" t="s">
        <v>395</v>
      </c>
      <c r="G1256" s="318" t="s">
        <v>395</v>
      </c>
      <c r="H1256" s="318" t="s">
        <v>395</v>
      </c>
      <c r="I1256" s="318" t="s">
        <v>1499</v>
      </c>
      <c r="J1256" s="318">
        <v>60</v>
      </c>
      <c r="K1256" s="317" t="s">
        <v>410</v>
      </c>
      <c r="L1256" s="317">
        <v>48.145829999999997</v>
      </c>
      <c r="M1256" s="317">
        <v>40.781939999999999</v>
      </c>
    </row>
    <row r="1257" spans="1:13" ht="75" hidden="1" x14ac:dyDescent="0.25">
      <c r="A1257" s="313">
        <f t="shared" si="19"/>
        <v>1256</v>
      </c>
      <c r="B1257" s="314" t="s">
        <v>1755</v>
      </c>
      <c r="C1257" s="315" t="s">
        <v>428</v>
      </c>
      <c r="D1257" s="316" t="s">
        <v>1756</v>
      </c>
      <c r="E1257" s="318">
        <v>2.8</v>
      </c>
      <c r="F1257" s="318" t="s">
        <v>395</v>
      </c>
      <c r="G1257" s="318" t="s">
        <v>395</v>
      </c>
      <c r="H1257" s="318" t="s">
        <v>395</v>
      </c>
      <c r="I1257" s="318" t="s">
        <v>1499</v>
      </c>
      <c r="J1257" s="318">
        <v>90</v>
      </c>
      <c r="K1257" s="317" t="s">
        <v>410</v>
      </c>
      <c r="L1257" s="317">
        <v>48.170749999999998</v>
      </c>
      <c r="M1257" s="317">
        <v>41.125639999999997</v>
      </c>
    </row>
    <row r="1258" spans="1:13" ht="45" hidden="1" x14ac:dyDescent="0.25">
      <c r="A1258" s="313">
        <f t="shared" si="19"/>
        <v>1257</v>
      </c>
      <c r="B1258" s="314" t="s">
        <v>1759</v>
      </c>
      <c r="C1258" s="315" t="s">
        <v>1760</v>
      </c>
      <c r="D1258" s="316" t="s">
        <v>1761</v>
      </c>
      <c r="E1258" s="318">
        <v>1.6</v>
      </c>
      <c r="F1258" s="318" t="s">
        <v>395</v>
      </c>
      <c r="G1258" s="318" t="s">
        <v>395</v>
      </c>
      <c r="H1258" s="318" t="s">
        <v>395</v>
      </c>
      <c r="I1258" s="318" t="s">
        <v>1499</v>
      </c>
      <c r="J1258" s="318">
        <v>30</v>
      </c>
      <c r="K1258" s="317" t="s">
        <v>410</v>
      </c>
      <c r="L1258" s="317">
        <v>48.186999999999998</v>
      </c>
      <c r="M1258" s="317">
        <v>40.494610000000002</v>
      </c>
    </row>
    <row r="1259" spans="1:13" ht="45" hidden="1" x14ac:dyDescent="0.25">
      <c r="A1259" s="313">
        <f t="shared" si="19"/>
        <v>1258</v>
      </c>
      <c r="B1259" s="314" t="s">
        <v>1763</v>
      </c>
      <c r="C1259" s="315" t="s">
        <v>412</v>
      </c>
      <c r="D1259" s="316" t="s">
        <v>1765</v>
      </c>
      <c r="E1259" s="318">
        <v>2.6</v>
      </c>
      <c r="F1259" s="318" t="s">
        <v>395</v>
      </c>
      <c r="G1259" s="318" t="s">
        <v>395</v>
      </c>
      <c r="H1259" s="318" t="s">
        <v>395</v>
      </c>
      <c r="I1259" s="318" t="s">
        <v>1499</v>
      </c>
      <c r="J1259" s="318">
        <v>80</v>
      </c>
      <c r="K1259" s="317" t="s">
        <v>410</v>
      </c>
      <c r="L1259" s="317">
        <v>48.279170000000001</v>
      </c>
      <c r="M1259" s="317">
        <v>41.035829999999997</v>
      </c>
    </row>
    <row r="1260" spans="1:13" ht="45" hidden="1" x14ac:dyDescent="0.25">
      <c r="A1260" s="313">
        <f t="shared" si="19"/>
        <v>1259</v>
      </c>
      <c r="B1260" s="314" t="s">
        <v>1767</v>
      </c>
      <c r="C1260" s="315" t="s">
        <v>412</v>
      </c>
      <c r="D1260" s="316" t="s">
        <v>1769</v>
      </c>
      <c r="E1260" s="318">
        <v>2.82</v>
      </c>
      <c r="F1260" s="318" t="s">
        <v>395</v>
      </c>
      <c r="G1260" s="318" t="s">
        <v>395</v>
      </c>
      <c r="H1260" s="318" t="s">
        <v>395</v>
      </c>
      <c r="I1260" s="318" t="s">
        <v>1499</v>
      </c>
      <c r="J1260" s="318">
        <v>91</v>
      </c>
      <c r="K1260" s="317" t="s">
        <v>410</v>
      </c>
      <c r="L1260" s="317">
        <v>48.239170000000001</v>
      </c>
      <c r="M1260" s="317">
        <v>41.184440000000002</v>
      </c>
    </row>
    <row r="1261" spans="1:13" ht="60" hidden="1" x14ac:dyDescent="0.25">
      <c r="A1261" s="313">
        <f t="shared" si="19"/>
        <v>1260</v>
      </c>
      <c r="B1261" s="314" t="s">
        <v>1772</v>
      </c>
      <c r="C1261" s="315" t="s">
        <v>452</v>
      </c>
      <c r="D1261" s="316" t="s">
        <v>1773</v>
      </c>
      <c r="E1261" s="318">
        <v>2.5</v>
      </c>
      <c r="F1261" s="318" t="s">
        <v>395</v>
      </c>
      <c r="G1261" s="318" t="s">
        <v>395</v>
      </c>
      <c r="H1261" s="318" t="s">
        <v>395</v>
      </c>
      <c r="I1261" s="318" t="s">
        <v>1499</v>
      </c>
      <c r="J1261" s="318">
        <v>75</v>
      </c>
      <c r="K1261" s="317" t="s">
        <v>410</v>
      </c>
      <c r="L1261" s="317">
        <v>48.303060000000002</v>
      </c>
      <c r="M1261" s="317">
        <v>40.936390000000003</v>
      </c>
    </row>
    <row r="1262" spans="1:13" ht="75" hidden="1" x14ac:dyDescent="0.25">
      <c r="A1262" s="313">
        <f t="shared" si="19"/>
        <v>1261</v>
      </c>
      <c r="B1262" s="314" t="s">
        <v>1776</v>
      </c>
      <c r="C1262" s="315" t="s">
        <v>428</v>
      </c>
      <c r="D1262" s="316" t="s">
        <v>1777</v>
      </c>
      <c r="E1262" s="318">
        <v>3.02</v>
      </c>
      <c r="F1262" s="318" t="s">
        <v>395</v>
      </c>
      <c r="G1262" s="318" t="s">
        <v>395</v>
      </c>
      <c r="H1262" s="318" t="s">
        <v>395</v>
      </c>
      <c r="I1262" s="318" t="s">
        <v>1499</v>
      </c>
      <c r="J1262" s="318">
        <v>101</v>
      </c>
      <c r="K1262" s="317" t="s">
        <v>410</v>
      </c>
      <c r="L1262" s="317">
        <v>48.1995</v>
      </c>
      <c r="M1262" s="317">
        <v>41.267359999999996</v>
      </c>
    </row>
    <row r="1263" spans="1:13" ht="60" hidden="1" x14ac:dyDescent="0.25">
      <c r="A1263" s="313">
        <f t="shared" si="19"/>
        <v>1262</v>
      </c>
      <c r="B1263" s="314" t="s">
        <v>1780</v>
      </c>
      <c r="C1263" s="315" t="s">
        <v>447</v>
      </c>
      <c r="D1263" s="316" t="s">
        <v>1781</v>
      </c>
      <c r="E1263" s="318">
        <v>2.56</v>
      </c>
      <c r="F1263" s="318" t="s">
        <v>395</v>
      </c>
      <c r="G1263" s="318" t="s">
        <v>395</v>
      </c>
      <c r="H1263" s="318" t="s">
        <v>395</v>
      </c>
      <c r="I1263" s="318" t="s">
        <v>1499</v>
      </c>
      <c r="J1263" s="318">
        <v>78</v>
      </c>
      <c r="K1263" s="317" t="s">
        <v>410</v>
      </c>
      <c r="L1263" s="317">
        <v>48.291530000000002</v>
      </c>
      <c r="M1263" s="317">
        <v>40.898609999999998</v>
      </c>
    </row>
    <row r="1264" spans="1:13" ht="60" hidden="1" x14ac:dyDescent="0.25">
      <c r="A1264" s="313">
        <f t="shared" si="19"/>
        <v>1263</v>
      </c>
      <c r="B1264" s="314" t="s">
        <v>1784</v>
      </c>
      <c r="C1264" s="315" t="s">
        <v>452</v>
      </c>
      <c r="D1264" s="316" t="s">
        <v>1785</v>
      </c>
      <c r="E1264" s="318">
        <v>2.02</v>
      </c>
      <c r="F1264" s="318" t="s">
        <v>395</v>
      </c>
      <c r="G1264" s="318" t="s">
        <v>395</v>
      </c>
      <c r="H1264" s="318" t="s">
        <v>395</v>
      </c>
      <c r="I1264" s="318" t="s">
        <v>1499</v>
      </c>
      <c r="J1264" s="318">
        <v>51</v>
      </c>
      <c r="K1264" s="317" t="s">
        <v>410</v>
      </c>
      <c r="L1264" s="317">
        <v>48.145560000000003</v>
      </c>
      <c r="M1264" s="317">
        <v>40.693060000000003</v>
      </c>
    </row>
    <row r="1265" spans="1:13" ht="45" hidden="1" x14ac:dyDescent="0.25">
      <c r="A1265" s="313">
        <f t="shared" si="19"/>
        <v>1264</v>
      </c>
      <c r="B1265" s="314" t="s">
        <v>1787</v>
      </c>
      <c r="C1265" s="315" t="s">
        <v>412</v>
      </c>
      <c r="D1265" s="316" t="s">
        <v>1789</v>
      </c>
      <c r="E1265" s="318">
        <v>1.94</v>
      </c>
      <c r="F1265" s="318" t="s">
        <v>395</v>
      </c>
      <c r="G1265" s="318" t="s">
        <v>395</v>
      </c>
      <c r="H1265" s="318" t="s">
        <v>395</v>
      </c>
      <c r="I1265" s="318" t="s">
        <v>1499</v>
      </c>
      <c r="J1265" s="318">
        <v>47</v>
      </c>
      <c r="K1265" s="317" t="s">
        <v>410</v>
      </c>
      <c r="L1265" s="317">
        <v>48.202660000000002</v>
      </c>
      <c r="M1265" s="317">
        <v>40.690519999999999</v>
      </c>
    </row>
    <row r="1266" spans="1:13" ht="75" hidden="1" x14ac:dyDescent="0.25">
      <c r="A1266" s="313">
        <f t="shared" si="19"/>
        <v>1265</v>
      </c>
      <c r="B1266" s="314" t="s">
        <v>1791</v>
      </c>
      <c r="C1266" s="315" t="s">
        <v>1793</v>
      </c>
      <c r="D1266" s="316" t="s">
        <v>1794</v>
      </c>
      <c r="E1266" s="318">
        <v>1.04</v>
      </c>
      <c r="F1266" s="318" t="s">
        <v>395</v>
      </c>
      <c r="G1266" s="318" t="s">
        <v>395</v>
      </c>
      <c r="H1266" s="318" t="s">
        <v>395</v>
      </c>
      <c r="I1266" s="318" t="s">
        <v>1499</v>
      </c>
      <c r="J1266" s="318">
        <v>2</v>
      </c>
      <c r="K1266" s="317" t="s">
        <v>410</v>
      </c>
      <c r="L1266" s="317">
        <v>48.317779999999999</v>
      </c>
      <c r="M1266" s="317">
        <v>40.27561</v>
      </c>
    </row>
    <row r="1267" spans="1:13" ht="75" hidden="1" x14ac:dyDescent="0.25">
      <c r="A1267" s="313">
        <f t="shared" si="19"/>
        <v>1266</v>
      </c>
      <c r="B1267" s="314" t="s">
        <v>1796</v>
      </c>
      <c r="C1267" s="315" t="s">
        <v>428</v>
      </c>
      <c r="D1267" s="316" t="s">
        <v>1798</v>
      </c>
      <c r="E1267" s="318">
        <v>1.24</v>
      </c>
      <c r="F1267" s="318" t="s">
        <v>395</v>
      </c>
      <c r="G1267" s="318" t="s">
        <v>395</v>
      </c>
      <c r="H1267" s="318" t="s">
        <v>395</v>
      </c>
      <c r="I1267" s="318" t="s">
        <v>1499</v>
      </c>
      <c r="J1267" s="318">
        <v>12</v>
      </c>
      <c r="K1267" s="317" t="s">
        <v>410</v>
      </c>
      <c r="L1267" s="317">
        <v>48.327170000000002</v>
      </c>
      <c r="M1267" s="317">
        <v>40.16478</v>
      </c>
    </row>
    <row r="1268" spans="1:13" ht="45" hidden="1" x14ac:dyDescent="0.25">
      <c r="A1268" s="313">
        <f t="shared" si="19"/>
        <v>1267</v>
      </c>
      <c r="B1268" s="314" t="s">
        <v>1800</v>
      </c>
      <c r="C1268" s="315" t="s">
        <v>412</v>
      </c>
      <c r="D1268" s="316" t="s">
        <v>1802</v>
      </c>
      <c r="E1268" s="318">
        <v>5.5</v>
      </c>
      <c r="F1268" s="318" t="s">
        <v>395</v>
      </c>
      <c r="G1268" s="318" t="s">
        <v>395</v>
      </c>
      <c r="H1268" s="318" t="s">
        <v>395</v>
      </c>
      <c r="I1268" s="318" t="s">
        <v>1499</v>
      </c>
      <c r="J1268" s="318">
        <v>225</v>
      </c>
      <c r="K1268" s="317" t="s">
        <v>410</v>
      </c>
      <c r="L1268" s="317">
        <v>49.634830000000001</v>
      </c>
      <c r="M1268" s="317">
        <v>41.729329999999997</v>
      </c>
    </row>
    <row r="1269" spans="1:13" ht="60" hidden="1" x14ac:dyDescent="0.25">
      <c r="A1269" s="313">
        <f t="shared" si="19"/>
        <v>1268</v>
      </c>
      <c r="B1269" s="314" t="s">
        <v>1804</v>
      </c>
      <c r="C1269" s="315" t="s">
        <v>447</v>
      </c>
      <c r="D1269" s="316" t="s">
        <v>1806</v>
      </c>
      <c r="E1269" s="318">
        <v>5.28</v>
      </c>
      <c r="F1269" s="318" t="s">
        <v>395</v>
      </c>
      <c r="G1269" s="318" t="s">
        <v>395</v>
      </c>
      <c r="H1269" s="318" t="s">
        <v>395</v>
      </c>
      <c r="I1269" s="318" t="s">
        <v>1499</v>
      </c>
      <c r="J1269" s="318">
        <v>214</v>
      </c>
      <c r="K1269" s="317" t="s">
        <v>410</v>
      </c>
      <c r="L1269" s="317">
        <v>49.573079999999997</v>
      </c>
      <c r="M1269" s="317">
        <v>41.702249999999999</v>
      </c>
    </row>
    <row r="1270" spans="1:13" ht="45" hidden="1" x14ac:dyDescent="0.25">
      <c r="A1270" s="313">
        <f t="shared" si="19"/>
        <v>1269</v>
      </c>
      <c r="B1270" s="314" t="s">
        <v>1808</v>
      </c>
      <c r="C1270" s="315" t="s">
        <v>412</v>
      </c>
      <c r="D1270" s="316" t="s">
        <v>1810</v>
      </c>
      <c r="E1270" s="318">
        <v>5.6</v>
      </c>
      <c r="F1270" s="318" t="s">
        <v>395</v>
      </c>
      <c r="G1270" s="318" t="s">
        <v>395</v>
      </c>
      <c r="H1270" s="318" t="s">
        <v>395</v>
      </c>
      <c r="I1270" s="318" t="s">
        <v>1499</v>
      </c>
      <c r="J1270" s="318">
        <v>230</v>
      </c>
      <c r="K1270" s="317" t="s">
        <v>410</v>
      </c>
      <c r="L1270" s="317">
        <v>49.53678</v>
      </c>
      <c r="M1270" s="317">
        <v>41.87133</v>
      </c>
    </row>
    <row r="1271" spans="1:13" ht="45" hidden="1" x14ac:dyDescent="0.25">
      <c r="A1271" s="313">
        <f t="shared" si="19"/>
        <v>1270</v>
      </c>
      <c r="B1271" s="314" t="s">
        <v>1812</v>
      </c>
      <c r="C1271" s="315" t="s">
        <v>412</v>
      </c>
      <c r="D1271" s="316" t="s">
        <v>1814</v>
      </c>
      <c r="E1271" s="318">
        <v>5.22</v>
      </c>
      <c r="F1271" s="318" t="s">
        <v>395</v>
      </c>
      <c r="G1271" s="318" t="s">
        <v>395</v>
      </c>
      <c r="H1271" s="318" t="s">
        <v>395</v>
      </c>
      <c r="I1271" s="318" t="s">
        <v>1499</v>
      </c>
      <c r="J1271" s="318">
        <v>211</v>
      </c>
      <c r="K1271" s="317" t="s">
        <v>410</v>
      </c>
      <c r="L1271" s="317">
        <v>49.201689999999999</v>
      </c>
      <c r="M1271" s="317">
        <v>41.79853</v>
      </c>
    </row>
    <row r="1272" spans="1:13" ht="45" hidden="1" x14ac:dyDescent="0.25">
      <c r="A1272" s="313">
        <f t="shared" si="19"/>
        <v>1271</v>
      </c>
      <c r="B1272" s="314" t="s">
        <v>1816</v>
      </c>
      <c r="C1272" s="315" t="s">
        <v>412</v>
      </c>
      <c r="D1272" s="316" t="s">
        <v>1818</v>
      </c>
      <c r="E1272" s="318">
        <v>4.8</v>
      </c>
      <c r="F1272" s="318" t="s">
        <v>395</v>
      </c>
      <c r="G1272" s="318" t="s">
        <v>395</v>
      </c>
      <c r="H1272" s="318" t="s">
        <v>395</v>
      </c>
      <c r="I1272" s="318" t="s">
        <v>1499</v>
      </c>
      <c r="J1272" s="318">
        <v>190</v>
      </c>
      <c r="K1272" s="317" t="s">
        <v>410</v>
      </c>
      <c r="L1272" s="317">
        <v>49.371389999999998</v>
      </c>
      <c r="M1272" s="317">
        <v>41.640560000000001</v>
      </c>
    </row>
    <row r="1273" spans="1:13" ht="45" hidden="1" x14ac:dyDescent="0.25">
      <c r="A1273" s="313">
        <f t="shared" si="19"/>
        <v>1272</v>
      </c>
      <c r="B1273" s="314" t="s">
        <v>1820</v>
      </c>
      <c r="C1273" s="315" t="s">
        <v>412</v>
      </c>
      <c r="D1273" s="316" t="s">
        <v>1822</v>
      </c>
      <c r="E1273" s="318">
        <v>5.44</v>
      </c>
      <c r="F1273" s="318" t="s">
        <v>395</v>
      </c>
      <c r="G1273" s="318" t="s">
        <v>395</v>
      </c>
      <c r="H1273" s="318" t="s">
        <v>395</v>
      </c>
      <c r="I1273" s="318" t="s">
        <v>1499</v>
      </c>
      <c r="J1273" s="318">
        <v>222</v>
      </c>
      <c r="K1273" s="317" t="s">
        <v>410</v>
      </c>
      <c r="L1273" s="317">
        <v>49.782780000000002</v>
      </c>
      <c r="M1273" s="317">
        <v>41.120559999999998</v>
      </c>
    </row>
    <row r="1274" spans="1:13" ht="45" hidden="1" x14ac:dyDescent="0.25">
      <c r="A1274" s="313">
        <f t="shared" si="19"/>
        <v>1273</v>
      </c>
      <c r="B1274" s="314" t="s">
        <v>1823</v>
      </c>
      <c r="C1274" s="315" t="s">
        <v>412</v>
      </c>
      <c r="D1274" s="316" t="s">
        <v>1825</v>
      </c>
      <c r="E1274" s="318">
        <v>5.54</v>
      </c>
      <c r="F1274" s="318" t="s">
        <v>395</v>
      </c>
      <c r="G1274" s="318" t="s">
        <v>395</v>
      </c>
      <c r="H1274" s="318" t="s">
        <v>395</v>
      </c>
      <c r="I1274" s="318" t="s">
        <v>1499</v>
      </c>
      <c r="J1274" s="318">
        <v>227</v>
      </c>
      <c r="K1274" s="317" t="s">
        <v>410</v>
      </c>
      <c r="L1274" s="317">
        <v>49.558329999999998</v>
      </c>
      <c r="M1274" s="317">
        <v>41.238610000000001</v>
      </c>
    </row>
    <row r="1275" spans="1:13" ht="45" hidden="1" x14ac:dyDescent="0.25">
      <c r="A1275" s="313">
        <f t="shared" si="19"/>
        <v>1274</v>
      </c>
      <c r="B1275" s="314" t="s">
        <v>1828</v>
      </c>
      <c r="C1275" s="315" t="s">
        <v>412</v>
      </c>
      <c r="D1275" s="316" t="s">
        <v>1830</v>
      </c>
      <c r="E1275" s="318">
        <v>4.82</v>
      </c>
      <c r="F1275" s="318" t="s">
        <v>395</v>
      </c>
      <c r="G1275" s="318" t="s">
        <v>395</v>
      </c>
      <c r="H1275" s="318" t="s">
        <v>395</v>
      </c>
      <c r="I1275" s="318" t="s">
        <v>1499</v>
      </c>
      <c r="J1275" s="318">
        <v>191</v>
      </c>
      <c r="K1275" s="317" t="s">
        <v>410</v>
      </c>
      <c r="L1275" s="317">
        <v>49.54278</v>
      </c>
      <c r="M1275" s="317">
        <v>40.990279999999998</v>
      </c>
    </row>
    <row r="1276" spans="1:13" ht="30" hidden="1" x14ac:dyDescent="0.25">
      <c r="A1276" s="313">
        <f t="shared" si="19"/>
        <v>1275</v>
      </c>
      <c r="B1276" s="314" t="s">
        <v>1832</v>
      </c>
      <c r="C1276" s="315" t="s">
        <v>399</v>
      </c>
      <c r="D1276" s="316" t="s">
        <v>1834</v>
      </c>
      <c r="E1276" s="318">
        <v>5.52</v>
      </c>
      <c r="F1276" s="318" t="s">
        <v>395</v>
      </c>
      <c r="G1276" s="318" t="s">
        <v>395</v>
      </c>
      <c r="H1276" s="318" t="s">
        <v>395</v>
      </c>
      <c r="I1276" s="318" t="s">
        <v>1499</v>
      </c>
      <c r="J1276" s="318">
        <v>226</v>
      </c>
      <c r="K1276" s="317" t="s">
        <v>410</v>
      </c>
      <c r="L1276" s="317">
        <v>49.706940000000003</v>
      </c>
      <c r="M1276" s="317">
        <v>41.254440000000002</v>
      </c>
    </row>
    <row r="1277" spans="1:13" ht="45" hidden="1" x14ac:dyDescent="0.25">
      <c r="A1277" s="313">
        <f t="shared" si="19"/>
        <v>1276</v>
      </c>
      <c r="B1277" s="314" t="s">
        <v>1835</v>
      </c>
      <c r="C1277" s="315" t="s">
        <v>412</v>
      </c>
      <c r="D1277" s="316" t="s">
        <v>1837</v>
      </c>
      <c r="E1277" s="318">
        <v>4.46</v>
      </c>
      <c r="F1277" s="318" t="s">
        <v>395</v>
      </c>
      <c r="G1277" s="318" t="s">
        <v>395</v>
      </c>
      <c r="H1277" s="318" t="s">
        <v>395</v>
      </c>
      <c r="I1277" s="318" t="s">
        <v>1499</v>
      </c>
      <c r="J1277" s="318">
        <v>173</v>
      </c>
      <c r="K1277" s="317" t="s">
        <v>410</v>
      </c>
      <c r="L1277" s="317">
        <v>48.633310000000002</v>
      </c>
      <c r="M1277" s="317">
        <v>41.676690000000001</v>
      </c>
    </row>
    <row r="1278" spans="1:13" ht="45" hidden="1" x14ac:dyDescent="0.25">
      <c r="A1278" s="313">
        <f t="shared" si="19"/>
        <v>1277</v>
      </c>
      <c r="B1278" s="314" t="s">
        <v>1839</v>
      </c>
      <c r="C1278" s="315" t="s">
        <v>412</v>
      </c>
      <c r="D1278" s="316" t="s">
        <v>1841</v>
      </c>
      <c r="E1278" s="318">
        <v>4.3</v>
      </c>
      <c r="F1278" s="318" t="s">
        <v>395</v>
      </c>
      <c r="G1278" s="318" t="s">
        <v>395</v>
      </c>
      <c r="H1278" s="318" t="s">
        <v>395</v>
      </c>
      <c r="I1278" s="318" t="s">
        <v>1499</v>
      </c>
      <c r="J1278" s="318">
        <v>165</v>
      </c>
      <c r="K1278" s="317" t="s">
        <v>410</v>
      </c>
      <c r="L1278" s="317">
        <v>49.572220000000002</v>
      </c>
      <c r="M1278" s="317">
        <v>40.55583</v>
      </c>
    </row>
    <row r="1279" spans="1:13" ht="45" hidden="1" x14ac:dyDescent="0.25">
      <c r="A1279" s="313">
        <f t="shared" si="19"/>
        <v>1278</v>
      </c>
      <c r="B1279" s="314" t="s">
        <v>1843</v>
      </c>
      <c r="C1279" s="315" t="s">
        <v>412</v>
      </c>
      <c r="D1279" s="316" t="s">
        <v>1845</v>
      </c>
      <c r="E1279" s="318">
        <v>5.2</v>
      </c>
      <c r="F1279" s="318" t="s">
        <v>395</v>
      </c>
      <c r="G1279" s="318" t="s">
        <v>395</v>
      </c>
      <c r="H1279" s="318" t="s">
        <v>395</v>
      </c>
      <c r="I1279" s="318" t="s">
        <v>1499</v>
      </c>
      <c r="J1279" s="318">
        <v>210</v>
      </c>
      <c r="K1279" s="317" t="s">
        <v>410</v>
      </c>
      <c r="L1279" s="317">
        <v>48.869720000000001</v>
      </c>
      <c r="M1279" s="317">
        <v>41.701390000000004</v>
      </c>
    </row>
    <row r="1280" spans="1:13" ht="45" hidden="1" x14ac:dyDescent="0.25">
      <c r="A1280" s="313">
        <f t="shared" si="19"/>
        <v>1279</v>
      </c>
      <c r="B1280" s="314" t="s">
        <v>1847</v>
      </c>
      <c r="C1280" s="315" t="s">
        <v>393</v>
      </c>
      <c r="D1280" s="316" t="s">
        <v>1849</v>
      </c>
      <c r="E1280" s="318">
        <v>5.88</v>
      </c>
      <c r="F1280" s="318" t="s">
        <v>395</v>
      </c>
      <c r="G1280" s="318" t="s">
        <v>395</v>
      </c>
      <c r="H1280" s="318" t="s">
        <v>395</v>
      </c>
      <c r="I1280" s="318" t="s">
        <v>1499</v>
      </c>
      <c r="J1280" s="318">
        <v>244</v>
      </c>
      <c r="K1280" s="317" t="s">
        <v>410</v>
      </c>
      <c r="L1280" s="317">
        <v>49.003360000000001</v>
      </c>
      <c r="M1280" s="317">
        <v>42.115470000000002</v>
      </c>
    </row>
    <row r="1281" spans="1:13" ht="60" hidden="1" x14ac:dyDescent="0.25">
      <c r="A1281" s="313">
        <f t="shared" si="19"/>
        <v>1280</v>
      </c>
      <c r="B1281" s="314" t="s">
        <v>1851</v>
      </c>
      <c r="C1281" s="315" t="s">
        <v>447</v>
      </c>
      <c r="D1281" s="316" t="s">
        <v>1853</v>
      </c>
      <c r="E1281" s="318">
        <v>3.1</v>
      </c>
      <c r="F1281" s="318" t="s">
        <v>395</v>
      </c>
      <c r="G1281" s="318" t="s">
        <v>395</v>
      </c>
      <c r="H1281" s="318" t="s">
        <v>395</v>
      </c>
      <c r="I1281" s="318" t="s">
        <v>1499</v>
      </c>
      <c r="J1281" s="318">
        <v>105</v>
      </c>
      <c r="K1281" s="317" t="s">
        <v>410</v>
      </c>
      <c r="L1281" s="317">
        <v>48.85342</v>
      </c>
      <c r="M1281" s="317">
        <v>40.76153</v>
      </c>
    </row>
    <row r="1282" spans="1:13" ht="45" hidden="1" x14ac:dyDescent="0.25">
      <c r="A1282" s="313">
        <f t="shared" si="19"/>
        <v>1281</v>
      </c>
      <c r="B1282" s="314" t="s">
        <v>1855</v>
      </c>
      <c r="C1282" s="315" t="s">
        <v>412</v>
      </c>
      <c r="D1282" s="316" t="s">
        <v>1857</v>
      </c>
      <c r="E1282" s="318">
        <v>4.24</v>
      </c>
      <c r="F1282" s="318" t="s">
        <v>395</v>
      </c>
      <c r="G1282" s="318" t="s">
        <v>395</v>
      </c>
      <c r="H1282" s="318" t="s">
        <v>395</v>
      </c>
      <c r="I1282" s="318" t="s">
        <v>1499</v>
      </c>
      <c r="J1282" s="318">
        <v>162</v>
      </c>
      <c r="K1282" s="317" t="s">
        <v>410</v>
      </c>
      <c r="L1282" s="317">
        <v>49.378889999999998</v>
      </c>
      <c r="M1282" s="317">
        <v>41.04121</v>
      </c>
    </row>
    <row r="1283" spans="1:13" ht="45" hidden="1" x14ac:dyDescent="0.25">
      <c r="A1283" s="313">
        <f t="shared" si="19"/>
        <v>1282</v>
      </c>
      <c r="B1283" s="314" t="s">
        <v>1860</v>
      </c>
      <c r="C1283" s="315" t="s">
        <v>412</v>
      </c>
      <c r="D1283" s="316" t="s">
        <v>1862</v>
      </c>
      <c r="E1283" s="318">
        <v>4.26</v>
      </c>
      <c r="F1283" s="318" t="s">
        <v>395</v>
      </c>
      <c r="G1283" s="318" t="s">
        <v>395</v>
      </c>
      <c r="H1283" s="318" t="s">
        <v>395</v>
      </c>
      <c r="I1283" s="318" t="s">
        <v>1499</v>
      </c>
      <c r="J1283" s="318">
        <v>163</v>
      </c>
      <c r="K1283" s="317" t="s">
        <v>410</v>
      </c>
      <c r="L1283" s="317">
        <v>49.266669999999998</v>
      </c>
      <c r="M1283" s="317">
        <v>41.324440000000003</v>
      </c>
    </row>
    <row r="1284" spans="1:13" ht="45" hidden="1" x14ac:dyDescent="0.25">
      <c r="A1284" s="313">
        <f t="shared" ref="A1284:A1347" si="20">A1283+1</f>
        <v>1283</v>
      </c>
      <c r="B1284" s="314" t="s">
        <v>1864</v>
      </c>
      <c r="C1284" s="315" t="s">
        <v>412</v>
      </c>
      <c r="D1284" s="316" t="s">
        <v>1866</v>
      </c>
      <c r="E1284" s="318">
        <v>2.96</v>
      </c>
      <c r="F1284" s="318" t="s">
        <v>395</v>
      </c>
      <c r="G1284" s="318" t="s">
        <v>395</v>
      </c>
      <c r="H1284" s="318" t="s">
        <v>395</v>
      </c>
      <c r="I1284" s="318" t="s">
        <v>1499</v>
      </c>
      <c r="J1284" s="318">
        <v>98</v>
      </c>
      <c r="K1284" s="317" t="s">
        <v>410</v>
      </c>
      <c r="L1284" s="317">
        <v>48.423299999999998</v>
      </c>
      <c r="M1284" s="317">
        <v>40.921059999999997</v>
      </c>
    </row>
    <row r="1285" spans="1:13" ht="60" hidden="1" x14ac:dyDescent="0.25">
      <c r="A1285" s="313">
        <f t="shared" si="20"/>
        <v>1284</v>
      </c>
      <c r="B1285" s="314" t="s">
        <v>1868</v>
      </c>
      <c r="C1285" s="315" t="s">
        <v>452</v>
      </c>
      <c r="D1285" s="316" t="s">
        <v>1870</v>
      </c>
      <c r="E1285" s="318">
        <v>1.44</v>
      </c>
      <c r="F1285" s="318" t="s">
        <v>395</v>
      </c>
      <c r="G1285" s="318" t="s">
        <v>395</v>
      </c>
      <c r="H1285" s="318" t="s">
        <v>395</v>
      </c>
      <c r="I1285" s="318" t="s">
        <v>1499</v>
      </c>
      <c r="J1285" s="318">
        <v>22</v>
      </c>
      <c r="K1285" s="317" t="s">
        <v>410</v>
      </c>
      <c r="L1285" s="317">
        <v>48.293559999999999</v>
      </c>
      <c r="M1285" s="317">
        <v>40.522759999999998</v>
      </c>
    </row>
    <row r="1286" spans="1:13" ht="30" hidden="1" x14ac:dyDescent="0.25">
      <c r="A1286" s="313">
        <f t="shared" si="20"/>
        <v>1285</v>
      </c>
      <c r="B1286" s="314" t="s">
        <v>1872</v>
      </c>
      <c r="C1286" s="315" t="s">
        <v>503</v>
      </c>
      <c r="D1286" s="316" t="s">
        <v>1874</v>
      </c>
      <c r="E1286" s="318">
        <v>1.46</v>
      </c>
      <c r="F1286" s="318" t="s">
        <v>395</v>
      </c>
      <c r="G1286" s="318" t="s">
        <v>395</v>
      </c>
      <c r="H1286" s="318" t="s">
        <v>395</v>
      </c>
      <c r="I1286" s="318" t="s">
        <v>1499</v>
      </c>
      <c r="J1286" s="318">
        <v>23</v>
      </c>
      <c r="K1286" s="317" t="s">
        <v>410</v>
      </c>
      <c r="L1286" s="317">
        <v>48.158810000000003</v>
      </c>
      <c r="M1286" s="317">
        <v>40.190829999999998</v>
      </c>
    </row>
    <row r="1287" spans="1:13" ht="60" hidden="1" x14ac:dyDescent="0.25">
      <c r="A1287" s="313">
        <f t="shared" si="20"/>
        <v>1286</v>
      </c>
      <c r="B1287" s="314" t="s">
        <v>1876</v>
      </c>
      <c r="C1287" s="315" t="s">
        <v>447</v>
      </c>
      <c r="D1287" s="316" t="s">
        <v>1877</v>
      </c>
      <c r="E1287" s="318">
        <v>3.8</v>
      </c>
      <c r="F1287" s="318" t="s">
        <v>395</v>
      </c>
      <c r="G1287" s="318" t="s">
        <v>395</v>
      </c>
      <c r="H1287" s="318" t="s">
        <v>395</v>
      </c>
      <c r="I1287" s="318" t="s">
        <v>1499</v>
      </c>
      <c r="J1287" s="318">
        <v>140</v>
      </c>
      <c r="K1287" s="317" t="s">
        <v>410</v>
      </c>
      <c r="L1287" s="317">
        <v>49.384920000000001</v>
      </c>
      <c r="M1287" s="317">
        <v>40.629719999999999</v>
      </c>
    </row>
    <row r="1288" spans="1:13" ht="45" hidden="1" x14ac:dyDescent="0.25">
      <c r="A1288" s="313">
        <f t="shared" si="20"/>
        <v>1287</v>
      </c>
      <c r="B1288" s="314" t="s">
        <v>1880</v>
      </c>
      <c r="C1288" s="315" t="s">
        <v>412</v>
      </c>
      <c r="D1288" s="316" t="s">
        <v>1881</v>
      </c>
      <c r="E1288" s="318">
        <v>2.2999999999999998</v>
      </c>
      <c r="F1288" s="318" t="s">
        <v>395</v>
      </c>
      <c r="G1288" s="318" t="s">
        <v>395</v>
      </c>
      <c r="H1288" s="318" t="s">
        <v>395</v>
      </c>
      <c r="I1288" s="318" t="s">
        <v>1499</v>
      </c>
      <c r="J1288" s="318">
        <v>65</v>
      </c>
      <c r="K1288" s="317" t="s">
        <v>410</v>
      </c>
      <c r="L1288" s="317">
        <v>48.041600000000003</v>
      </c>
      <c r="M1288" s="317">
        <v>40.771949999999997</v>
      </c>
    </row>
    <row r="1289" spans="1:13" ht="45" hidden="1" x14ac:dyDescent="0.25">
      <c r="A1289" s="313">
        <f t="shared" si="20"/>
        <v>1288</v>
      </c>
      <c r="B1289" s="314" t="s">
        <v>1884</v>
      </c>
      <c r="C1289" s="315" t="s">
        <v>412</v>
      </c>
      <c r="D1289" s="316" t="s">
        <v>1885</v>
      </c>
      <c r="E1289" s="318">
        <v>3.28</v>
      </c>
      <c r="F1289" s="318" t="s">
        <v>395</v>
      </c>
      <c r="G1289" s="318" t="s">
        <v>395</v>
      </c>
      <c r="H1289" s="318" t="s">
        <v>395</v>
      </c>
      <c r="I1289" s="318" t="s">
        <v>1499</v>
      </c>
      <c r="J1289" s="318">
        <v>114</v>
      </c>
      <c r="K1289" s="317" t="s">
        <v>410</v>
      </c>
      <c r="L1289" s="317">
        <v>48.55</v>
      </c>
      <c r="M1289" s="317">
        <v>41.083329999999997</v>
      </c>
    </row>
    <row r="1290" spans="1:13" ht="45" hidden="1" x14ac:dyDescent="0.25">
      <c r="A1290" s="313">
        <f t="shared" si="20"/>
        <v>1289</v>
      </c>
      <c r="B1290" s="314" t="s">
        <v>1888</v>
      </c>
      <c r="C1290" s="315" t="s">
        <v>412</v>
      </c>
      <c r="D1290" s="316" t="s">
        <v>1889</v>
      </c>
      <c r="E1290" s="318">
        <v>2.76</v>
      </c>
      <c r="F1290" s="318" t="s">
        <v>395</v>
      </c>
      <c r="G1290" s="318" t="s">
        <v>395</v>
      </c>
      <c r="H1290" s="318" t="s">
        <v>395</v>
      </c>
      <c r="I1290" s="318" t="s">
        <v>1499</v>
      </c>
      <c r="J1290" s="318">
        <v>88</v>
      </c>
      <c r="K1290" s="317" t="s">
        <v>410</v>
      </c>
      <c r="L1290" s="317">
        <v>48.208280000000002</v>
      </c>
      <c r="M1290" s="317">
        <v>41.141970000000001</v>
      </c>
    </row>
    <row r="1291" spans="1:13" ht="60" hidden="1" x14ac:dyDescent="0.25">
      <c r="A1291" s="313">
        <f t="shared" si="20"/>
        <v>1290</v>
      </c>
      <c r="B1291" s="314" t="s">
        <v>1892</v>
      </c>
      <c r="C1291" s="315" t="s">
        <v>677</v>
      </c>
      <c r="D1291" s="316" t="s">
        <v>1893</v>
      </c>
      <c r="E1291" s="318">
        <v>1.42</v>
      </c>
      <c r="F1291" s="318" t="s">
        <v>395</v>
      </c>
      <c r="G1291" s="318" t="s">
        <v>395</v>
      </c>
      <c r="H1291" s="318" t="s">
        <v>395</v>
      </c>
      <c r="I1291" s="318" t="s">
        <v>1499</v>
      </c>
      <c r="J1291" s="318">
        <v>21</v>
      </c>
      <c r="K1291" s="317" t="s">
        <v>410</v>
      </c>
      <c r="L1291" s="317">
        <v>48.459580000000003</v>
      </c>
      <c r="M1291" s="317">
        <v>40.293140000000001</v>
      </c>
    </row>
    <row r="1292" spans="1:13" ht="60" hidden="1" x14ac:dyDescent="0.25">
      <c r="A1292" s="313">
        <f t="shared" si="20"/>
        <v>1291</v>
      </c>
      <c r="B1292" s="314" t="s">
        <v>1896</v>
      </c>
      <c r="C1292" s="315" t="s">
        <v>447</v>
      </c>
      <c r="D1292" s="316" t="s">
        <v>1897</v>
      </c>
      <c r="E1292" s="318">
        <v>2.86</v>
      </c>
      <c r="F1292" s="318" t="s">
        <v>395</v>
      </c>
      <c r="G1292" s="318" t="s">
        <v>395</v>
      </c>
      <c r="H1292" s="318" t="s">
        <v>395</v>
      </c>
      <c r="I1292" s="318" t="s">
        <v>1499</v>
      </c>
      <c r="J1292" s="318">
        <v>93</v>
      </c>
      <c r="K1292" s="317" t="s">
        <v>410</v>
      </c>
      <c r="L1292" s="317">
        <v>48.926229999999997</v>
      </c>
      <c r="M1292" s="317">
        <v>40.285229999999999</v>
      </c>
    </row>
    <row r="1293" spans="1:13" ht="45" hidden="1" x14ac:dyDescent="0.25">
      <c r="A1293" s="313">
        <f t="shared" si="20"/>
        <v>1292</v>
      </c>
      <c r="B1293" s="319" t="s">
        <v>1900</v>
      </c>
      <c r="C1293" s="315" t="s">
        <v>412</v>
      </c>
      <c r="D1293" s="315" t="s">
        <v>1901</v>
      </c>
      <c r="E1293" s="318">
        <v>2.74</v>
      </c>
      <c r="F1293" s="318" t="s">
        <v>395</v>
      </c>
      <c r="G1293" s="318" t="s">
        <v>395</v>
      </c>
      <c r="H1293" s="318" t="s">
        <v>395</v>
      </c>
      <c r="I1293" s="318" t="s">
        <v>1499</v>
      </c>
      <c r="J1293" s="320">
        <v>87</v>
      </c>
      <c r="K1293" s="317" t="s">
        <v>410</v>
      </c>
      <c r="L1293" s="317">
        <v>48.029440000000001</v>
      </c>
      <c r="M1293" s="317">
        <v>40.904719999999998</v>
      </c>
    </row>
    <row r="1294" spans="1:13" ht="45" hidden="1" x14ac:dyDescent="0.25">
      <c r="A1294" s="313">
        <f t="shared" si="20"/>
        <v>1293</v>
      </c>
      <c r="B1294" s="314" t="s">
        <v>1904</v>
      </c>
      <c r="C1294" s="315" t="s">
        <v>412</v>
      </c>
      <c r="D1294" s="316" t="s">
        <v>1905</v>
      </c>
      <c r="E1294" s="318">
        <v>3.08</v>
      </c>
      <c r="F1294" s="318" t="s">
        <v>395</v>
      </c>
      <c r="G1294" s="318" t="s">
        <v>395</v>
      </c>
      <c r="H1294" s="318" t="s">
        <v>395</v>
      </c>
      <c r="I1294" s="318" t="s">
        <v>1499</v>
      </c>
      <c r="J1294" s="318">
        <v>104</v>
      </c>
      <c r="K1294" s="317" t="s">
        <v>410</v>
      </c>
      <c r="L1294" s="317">
        <v>47.975000000000001</v>
      </c>
      <c r="M1294" s="317">
        <v>41.034439999999996</v>
      </c>
    </row>
    <row r="1295" spans="1:13" ht="45" hidden="1" x14ac:dyDescent="0.25">
      <c r="A1295" s="313">
        <f t="shared" si="20"/>
        <v>1294</v>
      </c>
      <c r="B1295" s="314" t="s">
        <v>1908</v>
      </c>
      <c r="C1295" s="315" t="s">
        <v>412</v>
      </c>
      <c r="D1295" s="316" t="s">
        <v>1909</v>
      </c>
      <c r="E1295" s="318">
        <v>1.88</v>
      </c>
      <c r="F1295" s="318" t="s">
        <v>395</v>
      </c>
      <c r="G1295" s="318" t="s">
        <v>395</v>
      </c>
      <c r="H1295" s="318" t="s">
        <v>395</v>
      </c>
      <c r="I1295" s="318" t="s">
        <v>1499</v>
      </c>
      <c r="J1295" s="318">
        <v>44</v>
      </c>
      <c r="K1295" s="317" t="s">
        <v>410</v>
      </c>
      <c r="L1295" s="317">
        <v>48.0839</v>
      </c>
      <c r="M1295" s="317">
        <v>40.376069999999999</v>
      </c>
    </row>
    <row r="1296" spans="1:13" ht="60" hidden="1" x14ac:dyDescent="0.25">
      <c r="A1296" s="313">
        <f t="shared" si="20"/>
        <v>1295</v>
      </c>
      <c r="B1296" s="314" t="s">
        <v>1912</v>
      </c>
      <c r="C1296" s="315" t="s">
        <v>447</v>
      </c>
      <c r="D1296" s="316" t="s">
        <v>1913</v>
      </c>
      <c r="E1296" s="318">
        <v>1.94</v>
      </c>
      <c r="F1296" s="318" t="s">
        <v>395</v>
      </c>
      <c r="G1296" s="318" t="s">
        <v>395</v>
      </c>
      <c r="H1296" s="318" t="s">
        <v>395</v>
      </c>
      <c r="I1296" s="318" t="s">
        <v>1499</v>
      </c>
      <c r="J1296" s="318">
        <v>47</v>
      </c>
      <c r="K1296" s="317" t="s">
        <v>410</v>
      </c>
      <c r="L1296" s="317">
        <v>47.976390000000002</v>
      </c>
      <c r="M1296" s="317">
        <v>40.358890000000002</v>
      </c>
    </row>
    <row r="1297" spans="1:13" ht="45" hidden="1" x14ac:dyDescent="0.25">
      <c r="A1297" s="313">
        <f t="shared" si="20"/>
        <v>1296</v>
      </c>
      <c r="B1297" s="314" t="s">
        <v>1916</v>
      </c>
      <c r="C1297" s="315" t="s">
        <v>412</v>
      </c>
      <c r="D1297" s="316" t="s">
        <v>1917</v>
      </c>
      <c r="E1297" s="318">
        <v>5.72</v>
      </c>
      <c r="F1297" s="318" t="s">
        <v>395</v>
      </c>
      <c r="G1297" s="318" t="s">
        <v>395</v>
      </c>
      <c r="H1297" s="318" t="s">
        <v>395</v>
      </c>
      <c r="I1297" s="318" t="s">
        <v>1499</v>
      </c>
      <c r="J1297" s="318">
        <v>236</v>
      </c>
      <c r="K1297" s="317" t="s">
        <v>410</v>
      </c>
      <c r="L1297" s="317">
        <v>49.737499999999997</v>
      </c>
      <c r="M1297" s="317">
        <v>41.535550000000001</v>
      </c>
    </row>
    <row r="1298" spans="1:13" ht="45" hidden="1" x14ac:dyDescent="0.25">
      <c r="A1298" s="313">
        <f t="shared" si="20"/>
        <v>1297</v>
      </c>
      <c r="B1298" s="314" t="s">
        <v>1920</v>
      </c>
      <c r="C1298" s="315" t="s">
        <v>412</v>
      </c>
      <c r="D1298" s="316" t="s">
        <v>1921</v>
      </c>
      <c r="E1298" s="318">
        <v>3</v>
      </c>
      <c r="F1298" s="318" t="s">
        <v>395</v>
      </c>
      <c r="G1298" s="318" t="s">
        <v>395</v>
      </c>
      <c r="H1298" s="318" t="s">
        <v>395</v>
      </c>
      <c r="I1298" s="318" t="s">
        <v>1499</v>
      </c>
      <c r="J1298" s="318">
        <v>100</v>
      </c>
      <c r="K1298" s="317" t="s">
        <v>410</v>
      </c>
      <c r="L1298" s="317">
        <v>48.611669999999997</v>
      </c>
      <c r="M1298" s="317">
        <v>39.985280000000003</v>
      </c>
    </row>
    <row r="1299" spans="1:13" ht="75" hidden="1" x14ac:dyDescent="0.25">
      <c r="A1299" s="313">
        <f t="shared" si="20"/>
        <v>1298</v>
      </c>
      <c r="B1299" s="314" t="s">
        <v>1924</v>
      </c>
      <c r="C1299" s="315" t="s">
        <v>428</v>
      </c>
      <c r="D1299" s="316" t="s">
        <v>1925</v>
      </c>
      <c r="E1299" s="318">
        <v>1.5</v>
      </c>
      <c r="F1299" s="318" t="s">
        <v>395</v>
      </c>
      <c r="G1299" s="318" t="s">
        <v>395</v>
      </c>
      <c r="H1299" s="318" t="s">
        <v>395</v>
      </c>
      <c r="I1299" s="318" t="s">
        <v>1499</v>
      </c>
      <c r="J1299" s="318">
        <v>25</v>
      </c>
      <c r="K1299" s="317" t="s">
        <v>410</v>
      </c>
      <c r="L1299" s="317">
        <v>48.39817</v>
      </c>
      <c r="M1299" s="317">
        <v>40.273530000000001</v>
      </c>
    </row>
    <row r="1300" spans="1:13" ht="45" hidden="1" x14ac:dyDescent="0.25">
      <c r="A1300" s="313">
        <f t="shared" si="20"/>
        <v>1299</v>
      </c>
      <c r="B1300" s="314" t="s">
        <v>1928</v>
      </c>
      <c r="C1300" s="315" t="s">
        <v>412</v>
      </c>
      <c r="D1300" s="316" t="s">
        <v>1929</v>
      </c>
      <c r="E1300" s="318">
        <v>4</v>
      </c>
      <c r="F1300" s="318" t="s">
        <v>395</v>
      </c>
      <c r="G1300" s="318" t="s">
        <v>395</v>
      </c>
      <c r="H1300" s="318" t="s">
        <v>395</v>
      </c>
      <c r="I1300" s="318" t="s">
        <v>1499</v>
      </c>
      <c r="J1300" s="318">
        <v>150</v>
      </c>
      <c r="K1300" s="317" t="s">
        <v>410</v>
      </c>
      <c r="L1300" s="317">
        <v>49.506880000000002</v>
      </c>
      <c r="M1300" s="317">
        <v>40.497230000000002</v>
      </c>
    </row>
    <row r="1301" spans="1:13" ht="60" hidden="1" x14ac:dyDescent="0.25">
      <c r="A1301" s="313">
        <f t="shared" si="20"/>
        <v>1300</v>
      </c>
      <c r="B1301" s="314" t="s">
        <v>1932</v>
      </c>
      <c r="C1301" s="315" t="s">
        <v>415</v>
      </c>
      <c r="D1301" s="316" t="s">
        <v>1933</v>
      </c>
      <c r="E1301" s="318">
        <v>2.12</v>
      </c>
      <c r="F1301" s="318" t="s">
        <v>395</v>
      </c>
      <c r="G1301" s="318" t="s">
        <v>395</v>
      </c>
      <c r="H1301" s="318" t="s">
        <v>395</v>
      </c>
      <c r="I1301" s="318" t="s">
        <v>1499</v>
      </c>
      <c r="J1301" s="318">
        <v>56</v>
      </c>
      <c r="K1301" s="317" t="s">
        <v>410</v>
      </c>
      <c r="L1301" s="317">
        <v>48.7425</v>
      </c>
      <c r="M1301" s="317">
        <v>40.378050000000002</v>
      </c>
    </row>
    <row r="1302" spans="1:13" ht="45" hidden="1" x14ac:dyDescent="0.25">
      <c r="A1302" s="313">
        <f t="shared" si="20"/>
        <v>1301</v>
      </c>
      <c r="B1302" s="314" t="s">
        <v>1936</v>
      </c>
      <c r="C1302" s="315" t="s">
        <v>412</v>
      </c>
      <c r="D1302" s="316" t="s">
        <v>1937</v>
      </c>
      <c r="E1302" s="318">
        <v>5</v>
      </c>
      <c r="F1302" s="318" t="s">
        <v>395</v>
      </c>
      <c r="G1302" s="318" t="s">
        <v>395</v>
      </c>
      <c r="H1302" s="318" t="s">
        <v>395</v>
      </c>
      <c r="I1302" s="318" t="s">
        <v>1499</v>
      </c>
      <c r="J1302" s="318">
        <v>200</v>
      </c>
      <c r="K1302" s="317" t="s">
        <v>410</v>
      </c>
      <c r="L1302" s="317">
        <v>49.438839999999999</v>
      </c>
      <c r="M1302" s="317">
        <v>41.773099999999999</v>
      </c>
    </row>
    <row r="1303" spans="1:13" ht="60" hidden="1" x14ac:dyDescent="0.25">
      <c r="A1303" s="313">
        <f t="shared" si="20"/>
        <v>1302</v>
      </c>
      <c r="B1303" s="314" t="s">
        <v>1940</v>
      </c>
      <c r="C1303" s="315" t="s">
        <v>447</v>
      </c>
      <c r="D1303" s="316" t="s">
        <v>1941</v>
      </c>
      <c r="E1303" s="318">
        <v>1.1399999999999999</v>
      </c>
      <c r="F1303" s="318" t="s">
        <v>395</v>
      </c>
      <c r="G1303" s="318" t="s">
        <v>395</v>
      </c>
      <c r="H1303" s="318" t="s">
        <v>395</v>
      </c>
      <c r="I1303" s="318" t="s">
        <v>1499</v>
      </c>
      <c r="J1303" s="318">
        <v>7</v>
      </c>
      <c r="K1303" s="317" t="s">
        <v>410</v>
      </c>
      <c r="L1303" s="317">
        <v>48.356400000000001</v>
      </c>
      <c r="M1303" s="317">
        <v>40.333579999999998</v>
      </c>
    </row>
    <row r="1304" spans="1:13" ht="75" hidden="1" x14ac:dyDescent="0.25">
      <c r="A1304" s="313">
        <f t="shared" si="20"/>
        <v>1303</v>
      </c>
      <c r="B1304" s="314" t="s">
        <v>1944</v>
      </c>
      <c r="C1304" s="315" t="s">
        <v>428</v>
      </c>
      <c r="D1304" s="316" t="s">
        <v>1945</v>
      </c>
      <c r="E1304" s="318">
        <v>1.1599999999999999</v>
      </c>
      <c r="F1304" s="318" t="s">
        <v>395</v>
      </c>
      <c r="G1304" s="318" t="s">
        <v>395</v>
      </c>
      <c r="H1304" s="318" t="s">
        <v>395</v>
      </c>
      <c r="I1304" s="318" t="s">
        <v>1499</v>
      </c>
      <c r="J1304" s="318">
        <v>8</v>
      </c>
      <c r="K1304" s="317" t="s">
        <v>410</v>
      </c>
      <c r="L1304" s="317">
        <v>48.27375</v>
      </c>
      <c r="M1304" s="317">
        <v>40.243290000000002</v>
      </c>
    </row>
    <row r="1305" spans="1:13" ht="45" hidden="1" x14ac:dyDescent="0.25">
      <c r="A1305" s="313">
        <f t="shared" si="20"/>
        <v>1304</v>
      </c>
      <c r="B1305" s="314" t="s">
        <v>1948</v>
      </c>
      <c r="C1305" s="315" t="s">
        <v>412</v>
      </c>
      <c r="D1305" s="316" t="s">
        <v>1949</v>
      </c>
      <c r="E1305" s="318">
        <v>5.7</v>
      </c>
      <c r="F1305" s="318" t="s">
        <v>395</v>
      </c>
      <c r="G1305" s="318" t="s">
        <v>395</v>
      </c>
      <c r="H1305" s="318" t="s">
        <v>395</v>
      </c>
      <c r="I1305" s="318" t="s">
        <v>1499</v>
      </c>
      <c r="J1305" s="318">
        <v>235</v>
      </c>
      <c r="K1305" s="317" t="s">
        <v>410</v>
      </c>
      <c r="L1305" s="317">
        <v>49.567010000000003</v>
      </c>
      <c r="M1305" s="317">
        <v>41.847520000000003</v>
      </c>
    </row>
    <row r="1306" spans="1:13" ht="45" hidden="1" x14ac:dyDescent="0.25">
      <c r="A1306" s="313">
        <f t="shared" si="20"/>
        <v>1305</v>
      </c>
      <c r="B1306" s="314" t="s">
        <v>1952</v>
      </c>
      <c r="C1306" s="315" t="s">
        <v>582</v>
      </c>
      <c r="D1306" s="316" t="s">
        <v>1953</v>
      </c>
      <c r="E1306" s="318">
        <v>3.5</v>
      </c>
      <c r="F1306" s="318" t="s">
        <v>395</v>
      </c>
      <c r="G1306" s="318" t="s">
        <v>395</v>
      </c>
      <c r="H1306" s="318" t="s">
        <v>395</v>
      </c>
      <c r="I1306" s="318" t="s">
        <v>1499</v>
      </c>
      <c r="J1306" s="318">
        <v>125</v>
      </c>
      <c r="K1306" s="317" t="s">
        <v>410</v>
      </c>
      <c r="L1306" s="317">
        <v>49.250900000000001</v>
      </c>
      <c r="M1306" s="317">
        <v>40.577640000000002</v>
      </c>
    </row>
    <row r="1307" spans="1:13" ht="45" hidden="1" x14ac:dyDescent="0.25">
      <c r="A1307" s="313">
        <f t="shared" si="20"/>
        <v>1306</v>
      </c>
      <c r="B1307" s="314" t="s">
        <v>1956</v>
      </c>
      <c r="C1307" s="315" t="s">
        <v>412</v>
      </c>
      <c r="D1307" s="316" t="s">
        <v>1957</v>
      </c>
      <c r="E1307" s="318">
        <v>1.98</v>
      </c>
      <c r="F1307" s="318" t="s">
        <v>395</v>
      </c>
      <c r="G1307" s="318" t="s">
        <v>395</v>
      </c>
      <c r="H1307" s="318" t="s">
        <v>395</v>
      </c>
      <c r="I1307" s="318" t="s">
        <v>1499</v>
      </c>
      <c r="J1307" s="318">
        <v>49</v>
      </c>
      <c r="K1307" s="317" t="s">
        <v>410</v>
      </c>
      <c r="L1307" s="317">
        <v>48.123899999999999</v>
      </c>
      <c r="M1307" s="317">
        <v>40.3827</v>
      </c>
    </row>
    <row r="1308" spans="1:13" ht="45" hidden="1" x14ac:dyDescent="0.25">
      <c r="A1308" s="313">
        <f t="shared" si="20"/>
        <v>1307</v>
      </c>
      <c r="B1308" s="314" t="s">
        <v>1960</v>
      </c>
      <c r="C1308" s="315" t="s">
        <v>412</v>
      </c>
      <c r="D1308" s="316" t="s">
        <v>1961</v>
      </c>
      <c r="E1308" s="318">
        <v>3</v>
      </c>
      <c r="F1308" s="318" t="s">
        <v>395</v>
      </c>
      <c r="G1308" s="318" t="s">
        <v>395</v>
      </c>
      <c r="H1308" s="318" t="s">
        <v>395</v>
      </c>
      <c r="I1308" s="318" t="s">
        <v>1499</v>
      </c>
      <c r="J1308" s="318">
        <v>100</v>
      </c>
      <c r="K1308" s="317" t="s">
        <v>410</v>
      </c>
      <c r="L1308" s="317">
        <v>49.01296</v>
      </c>
      <c r="M1308" s="317">
        <v>40.69238</v>
      </c>
    </row>
    <row r="1309" spans="1:13" ht="75" hidden="1" x14ac:dyDescent="0.25">
      <c r="A1309" s="313">
        <f t="shared" si="20"/>
        <v>1308</v>
      </c>
      <c r="B1309" s="314" t="s">
        <v>1964</v>
      </c>
      <c r="C1309" s="315" t="s">
        <v>428</v>
      </c>
      <c r="D1309" s="316" t="s">
        <v>1965</v>
      </c>
      <c r="E1309" s="318">
        <v>3.3</v>
      </c>
      <c r="F1309" s="318" t="s">
        <v>395</v>
      </c>
      <c r="G1309" s="318" t="s">
        <v>395</v>
      </c>
      <c r="H1309" s="318" t="s">
        <v>395</v>
      </c>
      <c r="I1309" s="318" t="s">
        <v>1499</v>
      </c>
      <c r="J1309" s="318">
        <v>115</v>
      </c>
      <c r="K1309" s="317" t="s">
        <v>410</v>
      </c>
      <c r="L1309" s="317">
        <v>48.608559999999997</v>
      </c>
      <c r="M1309" s="317">
        <v>39.784509999999997</v>
      </c>
    </row>
    <row r="1310" spans="1:13" ht="45" hidden="1" x14ac:dyDescent="0.25">
      <c r="A1310" s="313">
        <f t="shared" si="20"/>
        <v>1309</v>
      </c>
      <c r="B1310" s="314" t="s">
        <v>1968</v>
      </c>
      <c r="C1310" s="315" t="s">
        <v>412</v>
      </c>
      <c r="D1310" s="316" t="s">
        <v>1969</v>
      </c>
      <c r="E1310" s="318">
        <v>3.2</v>
      </c>
      <c r="F1310" s="318" t="s">
        <v>395</v>
      </c>
      <c r="G1310" s="318" t="s">
        <v>395</v>
      </c>
      <c r="H1310" s="318" t="s">
        <v>395</v>
      </c>
      <c r="I1310" s="318" t="s">
        <v>1499</v>
      </c>
      <c r="J1310" s="318">
        <v>110</v>
      </c>
      <c r="K1310" s="317" t="s">
        <v>410</v>
      </c>
      <c r="L1310" s="317">
        <v>48.617800000000003</v>
      </c>
      <c r="M1310" s="317">
        <v>39.841099999999997</v>
      </c>
    </row>
    <row r="1311" spans="1:13" ht="75" hidden="1" x14ac:dyDescent="0.25">
      <c r="A1311" s="313">
        <f t="shared" si="20"/>
        <v>1310</v>
      </c>
      <c r="B1311" s="314" t="s">
        <v>1972</v>
      </c>
      <c r="C1311" s="315" t="s">
        <v>428</v>
      </c>
      <c r="D1311" s="316" t="s">
        <v>1973</v>
      </c>
      <c r="E1311" s="318">
        <v>1.1000000000000001</v>
      </c>
      <c r="F1311" s="318" t="s">
        <v>395</v>
      </c>
      <c r="G1311" s="318" t="s">
        <v>395</v>
      </c>
      <c r="H1311" s="318" t="s">
        <v>395</v>
      </c>
      <c r="I1311" s="318" t="s">
        <v>1499</v>
      </c>
      <c r="J1311" s="318">
        <v>5</v>
      </c>
      <c r="K1311" s="317" t="s">
        <v>410</v>
      </c>
      <c r="L1311" s="317">
        <v>48.323619999999998</v>
      </c>
      <c r="M1311" s="317">
        <v>40.266489999999997</v>
      </c>
    </row>
    <row r="1312" spans="1:13" ht="60" hidden="1" x14ac:dyDescent="0.25">
      <c r="A1312" s="313">
        <f t="shared" si="20"/>
        <v>1311</v>
      </c>
      <c r="B1312" s="314" t="s">
        <v>1976</v>
      </c>
      <c r="C1312" s="315" t="s">
        <v>447</v>
      </c>
      <c r="D1312" s="316" t="s">
        <v>1977</v>
      </c>
      <c r="E1312" s="318">
        <v>1.1200000000000001</v>
      </c>
      <c r="F1312" s="318" t="s">
        <v>395</v>
      </c>
      <c r="G1312" s="318" t="s">
        <v>395</v>
      </c>
      <c r="H1312" s="318" t="s">
        <v>395</v>
      </c>
      <c r="I1312" s="318" t="s">
        <v>1499</v>
      </c>
      <c r="J1312" s="318">
        <v>6</v>
      </c>
      <c r="K1312" s="317" t="s">
        <v>410</v>
      </c>
      <c r="L1312" s="317">
        <v>48.311039999999998</v>
      </c>
      <c r="M1312" s="317">
        <v>40.241349999999997</v>
      </c>
    </row>
    <row r="1313" spans="1:13" ht="60" hidden="1" x14ac:dyDescent="0.25">
      <c r="A1313" s="313">
        <f t="shared" si="20"/>
        <v>1312</v>
      </c>
      <c r="B1313" s="314" t="s">
        <v>1980</v>
      </c>
      <c r="C1313" s="315" t="s">
        <v>447</v>
      </c>
      <c r="D1313" s="316" t="s">
        <v>1981</v>
      </c>
      <c r="E1313" s="318">
        <v>2.46</v>
      </c>
      <c r="F1313" s="318" t="s">
        <v>395</v>
      </c>
      <c r="G1313" s="318" t="s">
        <v>395</v>
      </c>
      <c r="H1313" s="318" t="s">
        <v>395</v>
      </c>
      <c r="I1313" s="318" t="s">
        <v>1499</v>
      </c>
      <c r="J1313" s="318">
        <v>73</v>
      </c>
      <c r="K1313" s="317" t="s">
        <v>410</v>
      </c>
      <c r="L1313" s="317">
        <v>48.282600000000002</v>
      </c>
      <c r="M1313" s="317">
        <v>41.053100000000001</v>
      </c>
    </row>
    <row r="1314" spans="1:13" ht="38.25" hidden="1" x14ac:dyDescent="0.25">
      <c r="A1314" s="313">
        <f t="shared" si="20"/>
        <v>1313</v>
      </c>
      <c r="B1314" s="314" t="s">
        <v>1984</v>
      </c>
      <c r="C1314" s="315" t="s">
        <v>637</v>
      </c>
      <c r="D1314" s="316" t="s">
        <v>1985</v>
      </c>
      <c r="E1314" s="318">
        <v>2.92</v>
      </c>
      <c r="F1314" s="318" t="s">
        <v>395</v>
      </c>
      <c r="G1314" s="318" t="s">
        <v>395</v>
      </c>
      <c r="H1314" s="318" t="s">
        <v>395</v>
      </c>
      <c r="I1314" s="318" t="s">
        <v>1499</v>
      </c>
      <c r="J1314" s="318">
        <v>96</v>
      </c>
      <c r="K1314" s="317" t="s">
        <v>410</v>
      </c>
      <c r="L1314" s="317">
        <v>48.031390000000002</v>
      </c>
      <c r="M1314" s="317">
        <v>41.028089999999999</v>
      </c>
    </row>
    <row r="1315" spans="1:13" ht="45" hidden="1" x14ac:dyDescent="0.25">
      <c r="A1315" s="313">
        <f t="shared" si="20"/>
        <v>1314</v>
      </c>
      <c r="B1315" s="314" t="s">
        <v>1988</v>
      </c>
      <c r="C1315" s="315" t="s">
        <v>412</v>
      </c>
      <c r="D1315" s="316" t="s">
        <v>1989</v>
      </c>
      <c r="E1315" s="318">
        <v>3.28</v>
      </c>
      <c r="F1315" s="318" t="s">
        <v>395</v>
      </c>
      <c r="G1315" s="318" t="s">
        <v>395</v>
      </c>
      <c r="H1315" s="318" t="s">
        <v>395</v>
      </c>
      <c r="I1315" s="318" t="s">
        <v>1499</v>
      </c>
      <c r="J1315" s="318">
        <v>114</v>
      </c>
      <c r="K1315" s="317" t="s">
        <v>410</v>
      </c>
      <c r="L1315" s="317">
        <v>49.160159999999998</v>
      </c>
      <c r="M1315" s="317">
        <v>40.657580000000003</v>
      </c>
    </row>
    <row r="1316" spans="1:13" ht="45" hidden="1" x14ac:dyDescent="0.25">
      <c r="A1316" s="313">
        <f t="shared" si="20"/>
        <v>1315</v>
      </c>
      <c r="B1316" s="314" t="s">
        <v>1992</v>
      </c>
      <c r="C1316" s="315" t="s">
        <v>412</v>
      </c>
      <c r="D1316" s="316" t="s">
        <v>1993</v>
      </c>
      <c r="E1316" s="318">
        <v>6.88</v>
      </c>
      <c r="F1316" s="318" t="s">
        <v>395</v>
      </c>
      <c r="G1316" s="318" t="s">
        <v>395</v>
      </c>
      <c r="H1316" s="318" t="s">
        <v>395</v>
      </c>
      <c r="I1316" s="318" t="s">
        <v>1499</v>
      </c>
      <c r="J1316" s="318">
        <v>294</v>
      </c>
      <c r="K1316" s="317" t="s">
        <v>410</v>
      </c>
      <c r="L1316" s="317">
        <v>48.30415</v>
      </c>
      <c r="M1316" s="317">
        <v>39.960590000000003</v>
      </c>
    </row>
    <row r="1317" spans="1:13" ht="45" hidden="1" x14ac:dyDescent="0.25">
      <c r="A1317" s="313">
        <f t="shared" si="20"/>
        <v>1316</v>
      </c>
      <c r="B1317" s="314" t="s">
        <v>1996</v>
      </c>
      <c r="C1317" s="315" t="s">
        <v>412</v>
      </c>
      <c r="D1317" s="316" t="s">
        <v>1997</v>
      </c>
      <c r="E1317" s="318">
        <v>4.7</v>
      </c>
      <c r="F1317" s="318" t="s">
        <v>395</v>
      </c>
      <c r="G1317" s="318" t="s">
        <v>395</v>
      </c>
      <c r="H1317" s="318" t="s">
        <v>395</v>
      </c>
      <c r="I1317" s="318" t="s">
        <v>1499</v>
      </c>
      <c r="J1317" s="318">
        <v>185</v>
      </c>
      <c r="K1317" s="317" t="s">
        <v>410</v>
      </c>
      <c r="L1317" s="317">
        <v>48.825560000000003</v>
      </c>
      <c r="M1317" s="317">
        <v>41.237780000000001</v>
      </c>
    </row>
    <row r="1318" spans="1:13" ht="45" hidden="1" x14ac:dyDescent="0.25">
      <c r="A1318" s="313">
        <f t="shared" si="20"/>
        <v>1317</v>
      </c>
      <c r="B1318" s="314" t="s">
        <v>2000</v>
      </c>
      <c r="C1318" s="315" t="s">
        <v>412</v>
      </c>
      <c r="D1318" s="316" t="s">
        <v>2001</v>
      </c>
      <c r="E1318" s="318">
        <v>1.04</v>
      </c>
      <c r="F1318" s="318" t="s">
        <v>395</v>
      </c>
      <c r="G1318" s="318" t="s">
        <v>395</v>
      </c>
      <c r="H1318" s="318" t="s">
        <v>395</v>
      </c>
      <c r="I1318" s="318" t="s">
        <v>1499</v>
      </c>
      <c r="J1318" s="318">
        <v>2</v>
      </c>
      <c r="K1318" s="317" t="s">
        <v>410</v>
      </c>
      <c r="L1318" s="317">
        <v>48.30677</v>
      </c>
      <c r="M1318" s="317">
        <v>40.300510000000003</v>
      </c>
    </row>
    <row r="1319" spans="1:13" ht="75" hidden="1" x14ac:dyDescent="0.25">
      <c r="A1319" s="313">
        <f t="shared" si="20"/>
        <v>1318</v>
      </c>
      <c r="B1319" s="314" t="s">
        <v>2004</v>
      </c>
      <c r="C1319" s="315" t="s">
        <v>428</v>
      </c>
      <c r="D1319" s="316" t="s">
        <v>2005</v>
      </c>
      <c r="E1319" s="318">
        <v>2.16</v>
      </c>
      <c r="F1319" s="318" t="s">
        <v>395</v>
      </c>
      <c r="G1319" s="318" t="s">
        <v>395</v>
      </c>
      <c r="H1319" s="318" t="s">
        <v>395</v>
      </c>
      <c r="I1319" s="318" t="s">
        <v>1499</v>
      </c>
      <c r="J1319" s="318">
        <v>58</v>
      </c>
      <c r="K1319" s="317" t="s">
        <v>410</v>
      </c>
      <c r="L1319" s="317">
        <v>48.7258</v>
      </c>
      <c r="M1319" s="317">
        <v>40.377609999999997</v>
      </c>
    </row>
    <row r="1320" spans="1:13" ht="45" hidden="1" x14ac:dyDescent="0.25">
      <c r="A1320" s="313">
        <f t="shared" si="20"/>
        <v>1319</v>
      </c>
      <c r="B1320" s="314" t="s">
        <v>2008</v>
      </c>
      <c r="C1320" s="315" t="s">
        <v>412</v>
      </c>
      <c r="D1320" s="316" t="s">
        <v>2009</v>
      </c>
      <c r="E1320" s="318">
        <v>3.06</v>
      </c>
      <c r="F1320" s="318" t="s">
        <v>395</v>
      </c>
      <c r="G1320" s="318" t="s">
        <v>395</v>
      </c>
      <c r="H1320" s="318" t="s">
        <v>395</v>
      </c>
      <c r="I1320" s="318" t="s">
        <v>1499</v>
      </c>
      <c r="J1320" s="318">
        <v>103</v>
      </c>
      <c r="K1320" s="317" t="s">
        <v>410</v>
      </c>
      <c r="L1320" s="317">
        <v>48.962859999999999</v>
      </c>
      <c r="M1320" s="317">
        <v>40.676310000000001</v>
      </c>
    </row>
    <row r="1321" spans="1:13" ht="75" hidden="1" x14ac:dyDescent="0.25">
      <c r="A1321" s="313">
        <f t="shared" si="20"/>
        <v>1320</v>
      </c>
      <c r="B1321" s="314" t="s">
        <v>2012</v>
      </c>
      <c r="C1321" s="315" t="s">
        <v>428</v>
      </c>
      <c r="D1321" s="316" t="s">
        <v>2013</v>
      </c>
      <c r="E1321" s="318">
        <v>1.66</v>
      </c>
      <c r="F1321" s="318" t="s">
        <v>395</v>
      </c>
      <c r="G1321" s="318" t="s">
        <v>395</v>
      </c>
      <c r="H1321" s="318" t="s">
        <v>395</v>
      </c>
      <c r="I1321" s="318" t="s">
        <v>1499</v>
      </c>
      <c r="J1321" s="318">
        <v>33</v>
      </c>
      <c r="K1321" s="317" t="s">
        <v>410</v>
      </c>
      <c r="L1321" s="317">
        <v>48.55733</v>
      </c>
      <c r="M1321" s="317">
        <v>40.330930000000002</v>
      </c>
    </row>
    <row r="1322" spans="1:13" ht="45" hidden="1" x14ac:dyDescent="0.25">
      <c r="A1322" s="313">
        <f t="shared" si="20"/>
        <v>1321</v>
      </c>
      <c r="B1322" s="314" t="s">
        <v>2016</v>
      </c>
      <c r="C1322" s="315" t="s">
        <v>582</v>
      </c>
      <c r="D1322" s="316" t="s">
        <v>2017</v>
      </c>
      <c r="E1322" s="318">
        <v>2.08</v>
      </c>
      <c r="F1322" s="318" t="s">
        <v>395</v>
      </c>
      <c r="G1322" s="318" t="s">
        <v>395</v>
      </c>
      <c r="H1322" s="318" t="s">
        <v>395</v>
      </c>
      <c r="I1322" s="318" t="s">
        <v>1499</v>
      </c>
      <c r="J1322" s="318">
        <v>54</v>
      </c>
      <c r="K1322" s="317" t="s">
        <v>410</v>
      </c>
      <c r="L1322" s="317">
        <v>48.110860000000002</v>
      </c>
      <c r="M1322" s="317">
        <v>40.474379999999996</v>
      </c>
    </row>
    <row r="1323" spans="1:13" ht="75" hidden="1" x14ac:dyDescent="0.25">
      <c r="A1323" s="313">
        <f t="shared" si="20"/>
        <v>1322</v>
      </c>
      <c r="B1323" s="314" t="s">
        <v>2020</v>
      </c>
      <c r="C1323" s="315" t="s">
        <v>428</v>
      </c>
      <c r="D1323" s="316" t="s">
        <v>2021</v>
      </c>
      <c r="E1323" s="318">
        <v>1.1200000000000001</v>
      </c>
      <c r="F1323" s="318" t="s">
        <v>395</v>
      </c>
      <c r="G1323" s="318" t="s">
        <v>395</v>
      </c>
      <c r="H1323" s="318" t="s">
        <v>395</v>
      </c>
      <c r="I1323" s="318" t="s">
        <v>1499</v>
      </c>
      <c r="J1323" s="318">
        <v>6</v>
      </c>
      <c r="K1323" s="317" t="s">
        <v>410</v>
      </c>
      <c r="L1323" s="317">
        <v>48.322600000000001</v>
      </c>
      <c r="M1323" s="317">
        <v>40.245820000000002</v>
      </c>
    </row>
    <row r="1324" spans="1:13" ht="45" hidden="1" x14ac:dyDescent="0.25">
      <c r="A1324" s="313">
        <f t="shared" si="20"/>
        <v>1323</v>
      </c>
      <c r="B1324" s="314" t="s">
        <v>2024</v>
      </c>
      <c r="C1324" s="315" t="s">
        <v>582</v>
      </c>
      <c r="D1324" s="316" t="s">
        <v>2025</v>
      </c>
      <c r="E1324" s="318">
        <v>2.42</v>
      </c>
      <c r="F1324" s="318" t="s">
        <v>395</v>
      </c>
      <c r="G1324" s="318" t="s">
        <v>395</v>
      </c>
      <c r="H1324" s="318" t="s">
        <v>395</v>
      </c>
      <c r="I1324" s="318" t="s">
        <v>1499</v>
      </c>
      <c r="J1324" s="318">
        <v>71</v>
      </c>
      <c r="K1324" s="317" t="s">
        <v>410</v>
      </c>
      <c r="L1324" s="317">
        <v>47.931100000000001</v>
      </c>
      <c r="M1324" s="317">
        <v>39.850430000000003</v>
      </c>
    </row>
    <row r="1325" spans="1:13" ht="45" hidden="1" x14ac:dyDescent="0.25">
      <c r="A1325" s="313">
        <f t="shared" si="20"/>
        <v>1324</v>
      </c>
      <c r="B1325" s="314" t="s">
        <v>2028</v>
      </c>
      <c r="C1325" s="315" t="s">
        <v>412</v>
      </c>
      <c r="D1325" s="316" t="s">
        <v>2029</v>
      </c>
      <c r="E1325" s="318">
        <v>4.76</v>
      </c>
      <c r="F1325" s="318" t="s">
        <v>395</v>
      </c>
      <c r="G1325" s="318" t="s">
        <v>395</v>
      </c>
      <c r="H1325" s="318" t="s">
        <v>395</v>
      </c>
      <c r="I1325" s="318" t="s">
        <v>1499</v>
      </c>
      <c r="J1325" s="318">
        <v>188</v>
      </c>
      <c r="K1325" s="317" t="s">
        <v>410</v>
      </c>
      <c r="L1325" s="317">
        <v>49.348190000000002</v>
      </c>
      <c r="M1325" s="317">
        <v>41.6387</v>
      </c>
    </row>
    <row r="1326" spans="1:13" ht="45" hidden="1" x14ac:dyDescent="0.25">
      <c r="A1326" s="313">
        <f t="shared" si="20"/>
        <v>1325</v>
      </c>
      <c r="B1326" s="314" t="s">
        <v>2032</v>
      </c>
      <c r="C1326" s="315" t="s">
        <v>412</v>
      </c>
      <c r="D1326" s="316" t="s">
        <v>2033</v>
      </c>
      <c r="E1326" s="318">
        <v>3.56</v>
      </c>
      <c r="F1326" s="318" t="s">
        <v>395</v>
      </c>
      <c r="G1326" s="318" t="s">
        <v>395</v>
      </c>
      <c r="H1326" s="318" t="s">
        <v>395</v>
      </c>
      <c r="I1326" s="318" t="s">
        <v>1499</v>
      </c>
      <c r="J1326" s="318">
        <v>128</v>
      </c>
      <c r="K1326" s="317" t="s">
        <v>410</v>
      </c>
      <c r="L1326" s="317">
        <v>47.980550000000001</v>
      </c>
      <c r="M1326" s="317">
        <v>41.358879999999999</v>
      </c>
    </row>
    <row r="1327" spans="1:13" ht="75" hidden="1" x14ac:dyDescent="0.25">
      <c r="A1327" s="313">
        <f t="shared" si="20"/>
        <v>1326</v>
      </c>
      <c r="B1327" s="314" t="s">
        <v>2036</v>
      </c>
      <c r="C1327" s="315" t="s">
        <v>428</v>
      </c>
      <c r="D1327" s="316" t="s">
        <v>2037</v>
      </c>
      <c r="E1327" s="318">
        <v>2</v>
      </c>
      <c r="F1327" s="318" t="s">
        <v>395</v>
      </c>
      <c r="G1327" s="318" t="s">
        <v>395</v>
      </c>
      <c r="H1327" s="318" t="s">
        <v>395</v>
      </c>
      <c r="I1327" s="318" t="s">
        <v>1499</v>
      </c>
      <c r="J1327" s="318">
        <v>50</v>
      </c>
      <c r="K1327" s="317" t="s">
        <v>410</v>
      </c>
      <c r="L1327" s="317">
        <v>48.051110000000001</v>
      </c>
      <c r="M1327" s="317">
        <v>39.943060000000003</v>
      </c>
    </row>
    <row r="1328" spans="1:13" ht="45" hidden="1" x14ac:dyDescent="0.25">
      <c r="A1328" s="313">
        <f t="shared" si="20"/>
        <v>1327</v>
      </c>
      <c r="B1328" s="314" t="s">
        <v>2040</v>
      </c>
      <c r="C1328" s="315" t="s">
        <v>412</v>
      </c>
      <c r="D1328" s="316" t="s">
        <v>2041</v>
      </c>
      <c r="E1328" s="318">
        <v>2.64</v>
      </c>
      <c r="F1328" s="318" t="s">
        <v>395</v>
      </c>
      <c r="G1328" s="318" t="s">
        <v>395</v>
      </c>
      <c r="H1328" s="318" t="s">
        <v>395</v>
      </c>
      <c r="I1328" s="318" t="s">
        <v>1499</v>
      </c>
      <c r="J1328" s="318">
        <v>82</v>
      </c>
      <c r="K1328" s="317" t="s">
        <v>410</v>
      </c>
      <c r="L1328" s="317">
        <v>48.940860000000001</v>
      </c>
      <c r="M1328" s="317">
        <v>40.39461</v>
      </c>
    </row>
    <row r="1329" spans="1:13" ht="45" hidden="1" x14ac:dyDescent="0.25">
      <c r="A1329" s="313">
        <f t="shared" si="20"/>
        <v>1328</v>
      </c>
      <c r="B1329" s="314" t="s">
        <v>2044</v>
      </c>
      <c r="C1329" s="315" t="s">
        <v>412</v>
      </c>
      <c r="D1329" s="316" t="s">
        <v>2045</v>
      </c>
      <c r="E1329" s="318">
        <v>2.68</v>
      </c>
      <c r="F1329" s="318" t="s">
        <v>395</v>
      </c>
      <c r="G1329" s="318" t="s">
        <v>395</v>
      </c>
      <c r="H1329" s="318" t="s">
        <v>395</v>
      </c>
      <c r="I1329" s="318" t="s">
        <v>1499</v>
      </c>
      <c r="J1329" s="318">
        <v>84</v>
      </c>
      <c r="K1329" s="317" t="s">
        <v>410</v>
      </c>
      <c r="L1329" s="317">
        <v>48.906860000000002</v>
      </c>
      <c r="M1329" s="317">
        <v>40.37444</v>
      </c>
    </row>
    <row r="1330" spans="1:13" ht="38.25" hidden="1" x14ac:dyDescent="0.25">
      <c r="A1330" s="313">
        <f t="shared" si="20"/>
        <v>1329</v>
      </c>
      <c r="B1330" s="314" t="s">
        <v>2047</v>
      </c>
      <c r="C1330" s="315" t="s">
        <v>637</v>
      </c>
      <c r="D1330" s="316" t="s">
        <v>2049</v>
      </c>
      <c r="E1330" s="318">
        <v>3.56</v>
      </c>
      <c r="F1330" s="318" t="s">
        <v>395</v>
      </c>
      <c r="G1330" s="318" t="s">
        <v>395</v>
      </c>
      <c r="H1330" s="318" t="s">
        <v>395</v>
      </c>
      <c r="I1330" s="318" t="s">
        <v>1499</v>
      </c>
      <c r="J1330" s="318">
        <v>128</v>
      </c>
      <c r="K1330" s="317" t="s">
        <v>410</v>
      </c>
      <c r="L1330" s="317">
        <v>48.574759999999998</v>
      </c>
      <c r="M1330" s="317">
        <v>41.229860000000002</v>
      </c>
    </row>
    <row r="1331" spans="1:13" ht="30" hidden="1" x14ac:dyDescent="0.25">
      <c r="A1331" s="313">
        <f t="shared" si="20"/>
        <v>1330</v>
      </c>
      <c r="B1331" s="314" t="s">
        <v>2051</v>
      </c>
      <c r="C1331" s="315" t="s">
        <v>637</v>
      </c>
      <c r="D1331" s="316" t="s">
        <v>2053</v>
      </c>
      <c r="E1331" s="318">
        <v>2.98</v>
      </c>
      <c r="F1331" s="318" t="s">
        <v>395</v>
      </c>
      <c r="G1331" s="318" t="s">
        <v>395</v>
      </c>
      <c r="H1331" s="318" t="s">
        <v>395</v>
      </c>
      <c r="I1331" s="318" t="s">
        <v>1499</v>
      </c>
      <c r="J1331" s="318">
        <v>99</v>
      </c>
      <c r="K1331" s="317" t="s">
        <v>410</v>
      </c>
      <c r="L1331" s="317">
        <v>47.925199999999997</v>
      </c>
      <c r="M1331" s="317">
        <v>40.711199999999998</v>
      </c>
    </row>
    <row r="1332" spans="1:13" ht="38.25" hidden="1" x14ac:dyDescent="0.25">
      <c r="A1332" s="313">
        <f t="shared" si="20"/>
        <v>1331</v>
      </c>
      <c r="B1332" s="314" t="s">
        <v>2055</v>
      </c>
      <c r="C1332" s="315" t="s">
        <v>637</v>
      </c>
      <c r="D1332" s="316" t="s">
        <v>2057</v>
      </c>
      <c r="E1332" s="318">
        <v>3.08</v>
      </c>
      <c r="F1332" s="318" t="s">
        <v>395</v>
      </c>
      <c r="G1332" s="318" t="s">
        <v>395</v>
      </c>
      <c r="H1332" s="318" t="s">
        <v>395</v>
      </c>
      <c r="I1332" s="318" t="s">
        <v>1499</v>
      </c>
      <c r="J1332" s="318">
        <v>104</v>
      </c>
      <c r="K1332" s="317" t="s">
        <v>410</v>
      </c>
      <c r="L1332" s="317">
        <v>47.90784</v>
      </c>
      <c r="M1332" s="317">
        <v>40.740720000000003</v>
      </c>
    </row>
    <row r="1333" spans="1:13" ht="38.25" hidden="1" x14ac:dyDescent="0.25">
      <c r="A1333" s="313">
        <f t="shared" si="20"/>
        <v>1332</v>
      </c>
      <c r="B1333" s="314" t="s">
        <v>2059</v>
      </c>
      <c r="C1333" s="315" t="s">
        <v>637</v>
      </c>
      <c r="D1333" s="316" t="s">
        <v>2061</v>
      </c>
      <c r="E1333" s="318">
        <v>3.16</v>
      </c>
      <c r="F1333" s="318" t="s">
        <v>395</v>
      </c>
      <c r="G1333" s="318" t="s">
        <v>395</v>
      </c>
      <c r="H1333" s="318" t="s">
        <v>395</v>
      </c>
      <c r="I1333" s="318" t="s">
        <v>1499</v>
      </c>
      <c r="J1333" s="318">
        <v>108</v>
      </c>
      <c r="K1333" s="317" t="s">
        <v>410</v>
      </c>
      <c r="L1333" s="317">
        <v>48.491280000000003</v>
      </c>
      <c r="M1333" s="317">
        <v>41.024569999999997</v>
      </c>
    </row>
    <row r="1334" spans="1:13" ht="38.25" hidden="1" x14ac:dyDescent="0.25">
      <c r="A1334" s="313">
        <f t="shared" si="20"/>
        <v>1333</v>
      </c>
      <c r="B1334" s="314" t="s">
        <v>2063</v>
      </c>
      <c r="C1334" s="315" t="s">
        <v>637</v>
      </c>
      <c r="D1334" s="316" t="s">
        <v>2064</v>
      </c>
      <c r="E1334" s="318">
        <v>5.24</v>
      </c>
      <c r="F1334" s="318" t="s">
        <v>395</v>
      </c>
      <c r="G1334" s="318" t="s">
        <v>395</v>
      </c>
      <c r="H1334" s="318" t="s">
        <v>395</v>
      </c>
      <c r="I1334" s="318" t="s">
        <v>1499</v>
      </c>
      <c r="J1334" s="318">
        <v>212</v>
      </c>
      <c r="K1334" s="317" t="s">
        <v>410</v>
      </c>
      <c r="L1334" s="317">
        <v>49.41189</v>
      </c>
      <c r="M1334" s="317">
        <v>41.324039999999997</v>
      </c>
    </row>
    <row r="1335" spans="1:13" ht="38.25" hidden="1" x14ac:dyDescent="0.25">
      <c r="A1335" s="313">
        <f t="shared" si="20"/>
        <v>1334</v>
      </c>
      <c r="B1335" s="314" t="s">
        <v>2066</v>
      </c>
      <c r="C1335" s="315" t="s">
        <v>637</v>
      </c>
      <c r="D1335" s="316" t="s">
        <v>2068</v>
      </c>
      <c r="E1335" s="318">
        <v>5.38</v>
      </c>
      <c r="F1335" s="318" t="s">
        <v>395</v>
      </c>
      <c r="G1335" s="318" t="s">
        <v>395</v>
      </c>
      <c r="H1335" s="318" t="s">
        <v>395</v>
      </c>
      <c r="I1335" s="318" t="s">
        <v>1499</v>
      </c>
      <c r="J1335" s="318">
        <v>219</v>
      </c>
      <c r="K1335" s="317" t="s">
        <v>410</v>
      </c>
      <c r="L1335" s="317">
        <v>49.191870000000002</v>
      </c>
      <c r="M1335" s="317">
        <v>41.710340000000002</v>
      </c>
    </row>
    <row r="1336" spans="1:13" ht="30" hidden="1" x14ac:dyDescent="0.25">
      <c r="A1336" s="313">
        <f t="shared" si="20"/>
        <v>1335</v>
      </c>
      <c r="B1336" s="314" t="s">
        <v>2071</v>
      </c>
      <c r="C1336" s="315" t="s">
        <v>637</v>
      </c>
      <c r="D1336" s="316" t="s">
        <v>2073</v>
      </c>
      <c r="E1336" s="318">
        <v>5.14</v>
      </c>
      <c r="F1336" s="318" t="s">
        <v>395</v>
      </c>
      <c r="G1336" s="318" t="s">
        <v>395</v>
      </c>
      <c r="H1336" s="318" t="s">
        <v>395</v>
      </c>
      <c r="I1336" s="318" t="s">
        <v>1499</v>
      </c>
      <c r="J1336" s="318">
        <v>207</v>
      </c>
      <c r="K1336" s="317" t="s">
        <v>410</v>
      </c>
      <c r="L1336" s="317">
        <v>49.298789999999997</v>
      </c>
      <c r="M1336" s="317">
        <v>41.793080000000003</v>
      </c>
    </row>
    <row r="1337" spans="1:13" ht="38.25" hidden="1" x14ac:dyDescent="0.25">
      <c r="A1337" s="313">
        <f t="shared" si="20"/>
        <v>1336</v>
      </c>
      <c r="B1337" s="314" t="s">
        <v>2075</v>
      </c>
      <c r="C1337" s="315" t="s">
        <v>637</v>
      </c>
      <c r="D1337" s="316" t="s">
        <v>2078</v>
      </c>
      <c r="E1337" s="318">
        <v>5.4</v>
      </c>
      <c r="F1337" s="318" t="s">
        <v>395</v>
      </c>
      <c r="G1337" s="318" t="s">
        <v>395</v>
      </c>
      <c r="H1337" s="318" t="s">
        <v>395</v>
      </c>
      <c r="I1337" s="318" t="s">
        <v>1499</v>
      </c>
      <c r="J1337" s="318">
        <v>220</v>
      </c>
      <c r="K1337" s="317" t="s">
        <v>410</v>
      </c>
      <c r="L1337" s="317">
        <v>49.452640000000002</v>
      </c>
      <c r="M1337" s="317">
        <v>41.128169999999997</v>
      </c>
    </row>
    <row r="1338" spans="1:13" ht="51" hidden="1" x14ac:dyDescent="0.25">
      <c r="A1338" s="313">
        <f t="shared" si="20"/>
        <v>1337</v>
      </c>
      <c r="B1338" s="314" t="s">
        <v>2080</v>
      </c>
      <c r="C1338" s="315" t="s">
        <v>637</v>
      </c>
      <c r="D1338" s="316" t="s">
        <v>2082</v>
      </c>
      <c r="E1338" s="318">
        <v>6.2</v>
      </c>
      <c r="F1338" s="318" t="s">
        <v>395</v>
      </c>
      <c r="G1338" s="318" t="s">
        <v>395</v>
      </c>
      <c r="H1338" s="318" t="s">
        <v>395</v>
      </c>
      <c r="I1338" s="318" t="s">
        <v>1499</v>
      </c>
      <c r="J1338" s="318">
        <v>260</v>
      </c>
      <c r="K1338" s="317" t="s">
        <v>410</v>
      </c>
      <c r="L1338" s="317">
        <v>49.874029999999998</v>
      </c>
      <c r="M1338" s="317">
        <v>41.484659999999998</v>
      </c>
    </row>
    <row r="1339" spans="1:13" ht="30" hidden="1" x14ac:dyDescent="0.25">
      <c r="A1339" s="313">
        <f t="shared" si="20"/>
        <v>1338</v>
      </c>
      <c r="B1339" s="314" t="s">
        <v>2084</v>
      </c>
      <c r="C1339" s="315" t="s">
        <v>637</v>
      </c>
      <c r="D1339" s="316" t="s">
        <v>2086</v>
      </c>
      <c r="E1339" s="318">
        <v>5.94</v>
      </c>
      <c r="F1339" s="318" t="s">
        <v>395</v>
      </c>
      <c r="G1339" s="318" t="s">
        <v>395</v>
      </c>
      <c r="H1339" s="318" t="s">
        <v>395</v>
      </c>
      <c r="I1339" s="318" t="s">
        <v>1499</v>
      </c>
      <c r="J1339" s="318">
        <v>247</v>
      </c>
      <c r="K1339" s="317" t="s">
        <v>410</v>
      </c>
      <c r="L1339" s="317">
        <v>49.933030000000002</v>
      </c>
      <c r="M1339" s="317">
        <v>41.241050000000001</v>
      </c>
    </row>
    <row r="1340" spans="1:13" ht="45" hidden="1" x14ac:dyDescent="0.25">
      <c r="A1340" s="313">
        <f t="shared" si="20"/>
        <v>1339</v>
      </c>
      <c r="B1340" s="314" t="s">
        <v>2087</v>
      </c>
      <c r="C1340" s="315" t="s">
        <v>412</v>
      </c>
      <c r="D1340" s="316" t="s">
        <v>2089</v>
      </c>
      <c r="E1340" s="318">
        <v>1.18</v>
      </c>
      <c r="F1340" s="318" t="s">
        <v>395</v>
      </c>
      <c r="G1340" s="318" t="s">
        <v>395</v>
      </c>
      <c r="H1340" s="318" t="s">
        <v>395</v>
      </c>
      <c r="I1340" s="318" t="s">
        <v>1499</v>
      </c>
      <c r="J1340" s="318">
        <v>9</v>
      </c>
      <c r="K1340" s="317" t="s">
        <v>410</v>
      </c>
      <c r="L1340" s="317">
        <v>48.313589999999998</v>
      </c>
      <c r="M1340" s="317">
        <v>40.32743</v>
      </c>
    </row>
    <row r="1341" spans="1:13" ht="38.25" hidden="1" x14ac:dyDescent="0.25">
      <c r="A1341" s="313">
        <f t="shared" si="20"/>
        <v>1340</v>
      </c>
      <c r="B1341" s="314" t="s">
        <v>2091</v>
      </c>
      <c r="C1341" s="315" t="s">
        <v>637</v>
      </c>
      <c r="D1341" s="316" t="s">
        <v>2093</v>
      </c>
      <c r="E1341" s="318">
        <v>5.72</v>
      </c>
      <c r="F1341" s="318" t="s">
        <v>395</v>
      </c>
      <c r="G1341" s="318" t="s">
        <v>395</v>
      </c>
      <c r="H1341" s="318" t="s">
        <v>395</v>
      </c>
      <c r="I1341" s="318" t="s">
        <v>1499</v>
      </c>
      <c r="J1341" s="318">
        <v>236</v>
      </c>
      <c r="K1341" s="317" t="s">
        <v>410</v>
      </c>
      <c r="L1341" s="317">
        <v>49.788420000000002</v>
      </c>
      <c r="M1341" s="317">
        <v>41.318429999999999</v>
      </c>
    </row>
    <row r="1342" spans="1:13" ht="30" hidden="1" x14ac:dyDescent="0.25">
      <c r="A1342" s="313">
        <f t="shared" si="20"/>
        <v>1341</v>
      </c>
      <c r="B1342" s="314" t="s">
        <v>2095</v>
      </c>
      <c r="C1342" s="315" t="s">
        <v>637</v>
      </c>
      <c r="D1342" s="316" t="s">
        <v>2097</v>
      </c>
      <c r="E1342" s="318">
        <v>2</v>
      </c>
      <c r="F1342" s="318" t="s">
        <v>395</v>
      </c>
      <c r="G1342" s="318" t="s">
        <v>395</v>
      </c>
      <c r="H1342" s="318" t="s">
        <v>395</v>
      </c>
      <c r="I1342" s="318" t="s">
        <v>1499</v>
      </c>
      <c r="J1342" s="318">
        <v>50</v>
      </c>
      <c r="K1342" s="317" t="s">
        <v>410</v>
      </c>
      <c r="L1342" s="317">
        <v>48.487940000000002</v>
      </c>
      <c r="M1342" s="317">
        <v>40.685920000000003</v>
      </c>
    </row>
    <row r="1343" spans="1:13" ht="38.25" hidden="1" x14ac:dyDescent="0.25">
      <c r="A1343" s="313">
        <f t="shared" si="20"/>
        <v>1342</v>
      </c>
      <c r="B1343" s="314" t="s">
        <v>2099</v>
      </c>
      <c r="C1343" s="315" t="s">
        <v>637</v>
      </c>
      <c r="D1343" s="316" t="s">
        <v>2101</v>
      </c>
      <c r="E1343" s="318">
        <v>5.58</v>
      </c>
      <c r="F1343" s="318" t="s">
        <v>395</v>
      </c>
      <c r="G1343" s="318" t="s">
        <v>395</v>
      </c>
      <c r="H1343" s="318" t="s">
        <v>395</v>
      </c>
      <c r="I1343" s="318" t="s">
        <v>1499</v>
      </c>
      <c r="J1343" s="318">
        <v>229</v>
      </c>
      <c r="K1343" s="317" t="s">
        <v>410</v>
      </c>
      <c r="L1343" s="317">
        <v>49.304119999999998</v>
      </c>
      <c r="M1343" s="317">
        <v>42.005339999999997</v>
      </c>
    </row>
    <row r="1344" spans="1:13" ht="75" hidden="1" x14ac:dyDescent="0.25">
      <c r="A1344" s="313">
        <f t="shared" si="20"/>
        <v>1343</v>
      </c>
      <c r="B1344" s="314" t="s">
        <v>2103</v>
      </c>
      <c r="C1344" s="315" t="s">
        <v>428</v>
      </c>
      <c r="D1344" s="316" t="s">
        <v>2105</v>
      </c>
      <c r="E1344" s="318">
        <v>1.9</v>
      </c>
      <c r="F1344" s="318" t="s">
        <v>395</v>
      </c>
      <c r="G1344" s="318" t="s">
        <v>395</v>
      </c>
      <c r="H1344" s="318" t="s">
        <v>395</v>
      </c>
      <c r="I1344" s="318" t="s">
        <v>1499</v>
      </c>
      <c r="J1344" s="318">
        <v>45</v>
      </c>
      <c r="K1344" s="317" t="s">
        <v>410</v>
      </c>
      <c r="L1344" s="317">
        <v>48.179819999999999</v>
      </c>
      <c r="M1344" s="317">
        <v>40.557270000000003</v>
      </c>
    </row>
    <row r="1345" spans="1:13" ht="60" hidden="1" x14ac:dyDescent="0.25">
      <c r="A1345" s="313">
        <f t="shared" si="20"/>
        <v>1344</v>
      </c>
      <c r="B1345" s="314" t="s">
        <v>2107</v>
      </c>
      <c r="C1345" s="315" t="s">
        <v>447</v>
      </c>
      <c r="D1345" s="316" t="s">
        <v>2109</v>
      </c>
      <c r="E1345" s="318">
        <v>2.1</v>
      </c>
      <c r="F1345" s="318" t="s">
        <v>395</v>
      </c>
      <c r="G1345" s="318" t="s">
        <v>395</v>
      </c>
      <c r="H1345" s="318" t="s">
        <v>395</v>
      </c>
      <c r="I1345" s="318" t="s">
        <v>1499</v>
      </c>
      <c r="J1345" s="318">
        <v>55</v>
      </c>
      <c r="K1345" s="317" t="s">
        <v>410</v>
      </c>
      <c r="L1345" s="317">
        <v>48.047730000000001</v>
      </c>
      <c r="M1345" s="317">
        <v>39.978529999999999</v>
      </c>
    </row>
    <row r="1346" spans="1:13" ht="30" hidden="1" x14ac:dyDescent="0.25">
      <c r="A1346" s="313">
        <f t="shared" si="20"/>
        <v>1345</v>
      </c>
      <c r="B1346" s="314" t="s">
        <v>2111</v>
      </c>
      <c r="C1346" s="315" t="s">
        <v>503</v>
      </c>
      <c r="D1346" s="316" t="s">
        <v>2113</v>
      </c>
      <c r="E1346" s="318">
        <v>2.16</v>
      </c>
      <c r="F1346" s="318" t="s">
        <v>395</v>
      </c>
      <c r="G1346" s="318" t="s">
        <v>395</v>
      </c>
      <c r="H1346" s="318" t="s">
        <v>395</v>
      </c>
      <c r="I1346" s="318" t="s">
        <v>1499</v>
      </c>
      <c r="J1346" s="318">
        <v>58</v>
      </c>
      <c r="K1346" s="317" t="s">
        <v>410</v>
      </c>
      <c r="L1346" s="317">
        <v>48.069020000000002</v>
      </c>
      <c r="M1346" s="317">
        <v>39.935630000000003</v>
      </c>
    </row>
    <row r="1347" spans="1:13" ht="30" hidden="1" x14ac:dyDescent="0.25">
      <c r="A1347" s="313">
        <f t="shared" si="20"/>
        <v>1346</v>
      </c>
      <c r="B1347" s="314" t="s">
        <v>2115</v>
      </c>
      <c r="C1347" s="315" t="s">
        <v>637</v>
      </c>
      <c r="D1347" s="316" t="s">
        <v>2117</v>
      </c>
      <c r="E1347" s="318">
        <v>2.16</v>
      </c>
      <c r="F1347" s="318" t="s">
        <v>395</v>
      </c>
      <c r="G1347" s="318" t="s">
        <v>395</v>
      </c>
      <c r="H1347" s="318" t="s">
        <v>395</v>
      </c>
      <c r="I1347" s="318" t="s">
        <v>1499</v>
      </c>
      <c r="J1347" s="318">
        <v>58</v>
      </c>
      <c r="K1347" s="317" t="s">
        <v>410</v>
      </c>
      <c r="L1347" s="317">
        <v>48.495379999999997</v>
      </c>
      <c r="M1347" s="317">
        <v>40.812710000000003</v>
      </c>
    </row>
    <row r="1348" spans="1:13" ht="30" hidden="1" x14ac:dyDescent="0.25">
      <c r="A1348" s="313">
        <f t="shared" ref="A1348:A1411" si="21">A1347+1</f>
        <v>1347</v>
      </c>
      <c r="B1348" s="314" t="s">
        <v>2119</v>
      </c>
      <c r="C1348" s="315" t="s">
        <v>637</v>
      </c>
      <c r="D1348" s="316" t="s">
        <v>2121</v>
      </c>
      <c r="E1348" s="318">
        <v>2.2599999999999998</v>
      </c>
      <c r="F1348" s="318" t="s">
        <v>395</v>
      </c>
      <c r="G1348" s="318" t="s">
        <v>395</v>
      </c>
      <c r="H1348" s="318" t="s">
        <v>395</v>
      </c>
      <c r="I1348" s="318" t="s">
        <v>1499</v>
      </c>
      <c r="J1348" s="318">
        <v>63</v>
      </c>
      <c r="K1348" s="317" t="s">
        <v>410</v>
      </c>
      <c r="L1348" s="317">
        <v>48.02861</v>
      </c>
      <c r="M1348" s="317">
        <v>39.820279999999997</v>
      </c>
    </row>
    <row r="1349" spans="1:13" ht="45" hidden="1" x14ac:dyDescent="0.25">
      <c r="A1349" s="313">
        <f t="shared" si="21"/>
        <v>1348</v>
      </c>
      <c r="B1349" s="314" t="s">
        <v>2123</v>
      </c>
      <c r="C1349" s="315" t="s">
        <v>412</v>
      </c>
      <c r="D1349" s="316" t="s">
        <v>2125</v>
      </c>
      <c r="E1349" s="318">
        <v>1.72</v>
      </c>
      <c r="F1349" s="318" t="s">
        <v>395</v>
      </c>
      <c r="G1349" s="318" t="s">
        <v>395</v>
      </c>
      <c r="H1349" s="318" t="s">
        <v>395</v>
      </c>
      <c r="I1349" s="318" t="s">
        <v>1499</v>
      </c>
      <c r="J1349" s="318">
        <v>36</v>
      </c>
      <c r="K1349" s="317" t="s">
        <v>410</v>
      </c>
      <c r="L1349" s="317">
        <v>48.303330000000003</v>
      </c>
      <c r="M1349" s="317">
        <v>39.928609999999999</v>
      </c>
    </row>
    <row r="1350" spans="1:13" ht="45" hidden="1" x14ac:dyDescent="0.25">
      <c r="A1350" s="313">
        <f t="shared" si="21"/>
        <v>1349</v>
      </c>
      <c r="B1350" s="314" t="s">
        <v>2127</v>
      </c>
      <c r="C1350" s="315" t="s">
        <v>412</v>
      </c>
      <c r="D1350" s="316" t="s">
        <v>2129</v>
      </c>
      <c r="E1350" s="318">
        <v>2.72</v>
      </c>
      <c r="F1350" s="318" t="s">
        <v>395</v>
      </c>
      <c r="G1350" s="318" t="s">
        <v>395</v>
      </c>
      <c r="H1350" s="318" t="s">
        <v>395</v>
      </c>
      <c r="I1350" s="318" t="s">
        <v>1499</v>
      </c>
      <c r="J1350" s="318">
        <v>86</v>
      </c>
      <c r="K1350" s="317" t="s">
        <v>410</v>
      </c>
      <c r="L1350" s="317">
        <v>48.911389999999997</v>
      </c>
      <c r="M1350" s="317">
        <v>40.364440000000002</v>
      </c>
    </row>
    <row r="1351" spans="1:13" ht="45" hidden="1" x14ac:dyDescent="0.25">
      <c r="A1351" s="313">
        <f t="shared" si="21"/>
        <v>1350</v>
      </c>
      <c r="B1351" s="314" t="s">
        <v>2131</v>
      </c>
      <c r="C1351" s="315" t="s">
        <v>412</v>
      </c>
      <c r="D1351" s="316" t="s">
        <v>2132</v>
      </c>
      <c r="E1351" s="318">
        <v>3.32</v>
      </c>
      <c r="F1351" s="318" t="s">
        <v>395</v>
      </c>
      <c r="G1351" s="318" t="s">
        <v>395</v>
      </c>
      <c r="H1351" s="318" t="s">
        <v>395</v>
      </c>
      <c r="I1351" s="318" t="s">
        <v>1499</v>
      </c>
      <c r="J1351" s="318">
        <v>116</v>
      </c>
      <c r="K1351" s="317" t="s">
        <v>410</v>
      </c>
      <c r="L1351" s="317">
        <v>48.92306</v>
      </c>
      <c r="M1351" s="317">
        <v>39.942779999999999</v>
      </c>
    </row>
    <row r="1352" spans="1:13" ht="45" hidden="1" x14ac:dyDescent="0.25">
      <c r="A1352" s="313">
        <f t="shared" si="21"/>
        <v>1351</v>
      </c>
      <c r="B1352" s="314" t="s">
        <v>2135</v>
      </c>
      <c r="C1352" s="315" t="s">
        <v>412</v>
      </c>
      <c r="D1352" s="316" t="s">
        <v>2136</v>
      </c>
      <c r="E1352" s="318">
        <v>1.34</v>
      </c>
      <c r="F1352" s="318" t="s">
        <v>395</v>
      </c>
      <c r="G1352" s="318" t="s">
        <v>395</v>
      </c>
      <c r="H1352" s="318" t="s">
        <v>395</v>
      </c>
      <c r="I1352" s="318" t="s">
        <v>1499</v>
      </c>
      <c r="J1352" s="318">
        <v>17</v>
      </c>
      <c r="K1352" s="317" t="s">
        <v>410</v>
      </c>
      <c r="L1352" s="317">
        <v>48.262419999999999</v>
      </c>
      <c r="M1352" s="317">
        <v>40.43526</v>
      </c>
    </row>
    <row r="1353" spans="1:13" ht="51" hidden="1" x14ac:dyDescent="0.25">
      <c r="A1353" s="313">
        <f t="shared" si="21"/>
        <v>1352</v>
      </c>
      <c r="B1353" s="314" t="s">
        <v>2139</v>
      </c>
      <c r="C1353" s="315" t="s">
        <v>412</v>
      </c>
      <c r="D1353" s="316" t="s">
        <v>2140</v>
      </c>
      <c r="E1353" s="318">
        <v>2.66</v>
      </c>
      <c r="F1353" s="318" t="s">
        <v>395</v>
      </c>
      <c r="G1353" s="318" t="s">
        <v>395</v>
      </c>
      <c r="H1353" s="318" t="s">
        <v>395</v>
      </c>
      <c r="I1353" s="318" t="s">
        <v>1499</v>
      </c>
      <c r="J1353" s="318">
        <v>83</v>
      </c>
      <c r="K1353" s="317" t="s">
        <v>410</v>
      </c>
      <c r="L1353" s="317">
        <v>48.650930000000002</v>
      </c>
      <c r="M1353" s="317">
        <v>40.714829999999999</v>
      </c>
    </row>
    <row r="1354" spans="1:13" ht="60" hidden="1" x14ac:dyDescent="0.25">
      <c r="A1354" s="313">
        <f t="shared" si="21"/>
        <v>1353</v>
      </c>
      <c r="B1354" s="314" t="s">
        <v>2143</v>
      </c>
      <c r="C1354" s="315" t="s">
        <v>447</v>
      </c>
      <c r="D1354" s="316" t="s">
        <v>2144</v>
      </c>
      <c r="E1354" s="318">
        <v>2.46</v>
      </c>
      <c r="F1354" s="318" t="s">
        <v>395</v>
      </c>
      <c r="G1354" s="318" t="s">
        <v>395</v>
      </c>
      <c r="H1354" s="318" t="s">
        <v>395</v>
      </c>
      <c r="I1354" s="318" t="s">
        <v>1499</v>
      </c>
      <c r="J1354" s="318">
        <v>73</v>
      </c>
      <c r="K1354" s="317" t="s">
        <v>410</v>
      </c>
      <c r="L1354" s="317">
        <v>47.88167</v>
      </c>
      <c r="M1354" s="317">
        <v>39.88111</v>
      </c>
    </row>
    <row r="1355" spans="1:13" ht="38.25" hidden="1" x14ac:dyDescent="0.25">
      <c r="A1355" s="313">
        <f t="shared" si="21"/>
        <v>1354</v>
      </c>
      <c r="B1355" s="314" t="s">
        <v>2147</v>
      </c>
      <c r="C1355" s="315" t="s">
        <v>2148</v>
      </c>
      <c r="D1355" s="316" t="s">
        <v>2149</v>
      </c>
      <c r="E1355" s="318">
        <v>4.38</v>
      </c>
      <c r="F1355" s="318" t="s">
        <v>395</v>
      </c>
      <c r="G1355" s="318" t="s">
        <v>395</v>
      </c>
      <c r="H1355" s="318" t="s">
        <v>395</v>
      </c>
      <c r="I1355" s="318" t="s">
        <v>1499</v>
      </c>
      <c r="J1355" s="318">
        <v>169</v>
      </c>
      <c r="K1355" s="317" t="s">
        <v>410</v>
      </c>
      <c r="L1355" s="317">
        <v>49.369720000000001</v>
      </c>
      <c r="M1355" s="317">
        <v>40.181669999999997</v>
      </c>
    </row>
    <row r="1356" spans="1:13" ht="60" hidden="1" x14ac:dyDescent="0.25">
      <c r="A1356" s="313">
        <f t="shared" si="21"/>
        <v>1355</v>
      </c>
      <c r="B1356" s="314" t="s">
        <v>2152</v>
      </c>
      <c r="C1356" s="315" t="s">
        <v>447</v>
      </c>
      <c r="D1356" s="316" t="s">
        <v>2153</v>
      </c>
      <c r="E1356" s="318">
        <v>2.2799999999999998</v>
      </c>
      <c r="F1356" s="318" t="s">
        <v>395</v>
      </c>
      <c r="G1356" s="318" t="s">
        <v>395</v>
      </c>
      <c r="H1356" s="318" t="s">
        <v>395</v>
      </c>
      <c r="I1356" s="318" t="s">
        <v>1499</v>
      </c>
      <c r="J1356" s="318">
        <v>64</v>
      </c>
      <c r="K1356" s="317" t="s">
        <v>410</v>
      </c>
      <c r="L1356" s="317">
        <v>48.792000000000002</v>
      </c>
      <c r="M1356" s="317">
        <v>40.393000000000001</v>
      </c>
    </row>
    <row r="1357" spans="1:13" ht="30" hidden="1" x14ac:dyDescent="0.25">
      <c r="A1357" s="313">
        <f t="shared" si="21"/>
        <v>1356</v>
      </c>
      <c r="B1357" s="314" t="s">
        <v>2156</v>
      </c>
      <c r="C1357" s="315" t="s">
        <v>637</v>
      </c>
      <c r="D1357" s="316" t="s">
        <v>2157</v>
      </c>
      <c r="E1357" s="318">
        <v>1.56</v>
      </c>
      <c r="F1357" s="318" t="s">
        <v>395</v>
      </c>
      <c r="G1357" s="318" t="s">
        <v>395</v>
      </c>
      <c r="H1357" s="318" t="s">
        <v>395</v>
      </c>
      <c r="I1357" s="318" t="s">
        <v>1499</v>
      </c>
      <c r="J1357" s="318">
        <v>28</v>
      </c>
      <c r="K1357" s="317" t="s">
        <v>410</v>
      </c>
      <c r="L1357" s="317">
        <v>48.387610000000002</v>
      </c>
      <c r="M1357" s="317">
        <v>40.488140000000001</v>
      </c>
    </row>
    <row r="1358" spans="1:13" ht="25.5" hidden="1" x14ac:dyDescent="0.25">
      <c r="A1358" s="313">
        <f t="shared" si="21"/>
        <v>1357</v>
      </c>
      <c r="B1358" s="314" t="s">
        <v>2160</v>
      </c>
      <c r="C1358" s="315" t="s">
        <v>672</v>
      </c>
      <c r="D1358" s="316" t="s">
        <v>2161</v>
      </c>
      <c r="E1358" s="318">
        <v>4.0999999999999996</v>
      </c>
      <c r="F1358" s="318" t="s">
        <v>395</v>
      </c>
      <c r="G1358" s="318" t="s">
        <v>395</v>
      </c>
      <c r="H1358" s="318" t="s">
        <v>395</v>
      </c>
      <c r="I1358" s="318" t="s">
        <v>1499</v>
      </c>
      <c r="J1358" s="318">
        <v>155</v>
      </c>
      <c r="K1358" s="317" t="s">
        <v>410</v>
      </c>
      <c r="L1358" s="317">
        <v>48.907899999999998</v>
      </c>
      <c r="M1358" s="317">
        <v>41.13897</v>
      </c>
    </row>
    <row r="1359" spans="1:13" ht="30" hidden="1" x14ac:dyDescent="0.25">
      <c r="A1359" s="313">
        <f t="shared" si="21"/>
        <v>1358</v>
      </c>
      <c r="B1359" s="314" t="s">
        <v>2164</v>
      </c>
      <c r="C1359" s="315" t="s">
        <v>637</v>
      </c>
      <c r="D1359" s="316" t="s">
        <v>2165</v>
      </c>
      <c r="E1359" s="318">
        <v>2.52</v>
      </c>
      <c r="F1359" s="318" t="s">
        <v>395</v>
      </c>
      <c r="G1359" s="318" t="s">
        <v>395</v>
      </c>
      <c r="H1359" s="318" t="s">
        <v>395</v>
      </c>
      <c r="I1359" s="318" t="s">
        <v>1499</v>
      </c>
      <c r="J1359" s="318">
        <v>76</v>
      </c>
      <c r="K1359" s="317" t="s">
        <v>410</v>
      </c>
      <c r="L1359" s="317">
        <v>47.935290000000002</v>
      </c>
      <c r="M1359" s="317">
        <v>40.166870000000003</v>
      </c>
    </row>
    <row r="1360" spans="1:13" ht="38.25" hidden="1" x14ac:dyDescent="0.25">
      <c r="A1360" s="313">
        <f t="shared" si="21"/>
        <v>1359</v>
      </c>
      <c r="B1360" s="314" t="s">
        <v>2168</v>
      </c>
      <c r="C1360" s="315" t="s">
        <v>637</v>
      </c>
      <c r="D1360" s="316" t="s">
        <v>2169</v>
      </c>
      <c r="E1360" s="318">
        <v>2.48</v>
      </c>
      <c r="F1360" s="318" t="s">
        <v>395</v>
      </c>
      <c r="G1360" s="318" t="s">
        <v>395</v>
      </c>
      <c r="H1360" s="318" t="s">
        <v>395</v>
      </c>
      <c r="I1360" s="318" t="s">
        <v>1499</v>
      </c>
      <c r="J1360" s="318">
        <v>74</v>
      </c>
      <c r="K1360" s="317" t="s">
        <v>410</v>
      </c>
      <c r="L1360" s="317">
        <v>47.929850000000002</v>
      </c>
      <c r="M1360" s="317">
        <v>39.832850000000001</v>
      </c>
    </row>
    <row r="1361" spans="1:13" ht="30" hidden="1" x14ac:dyDescent="0.25">
      <c r="A1361" s="313">
        <f t="shared" si="21"/>
        <v>1360</v>
      </c>
      <c r="B1361" s="314" t="s">
        <v>2172</v>
      </c>
      <c r="C1361" s="315" t="s">
        <v>637</v>
      </c>
      <c r="D1361" s="316" t="s">
        <v>2173</v>
      </c>
      <c r="E1361" s="318">
        <v>3.16</v>
      </c>
      <c r="F1361" s="318" t="s">
        <v>395</v>
      </c>
      <c r="G1361" s="318" t="s">
        <v>395</v>
      </c>
      <c r="H1361" s="318" t="s">
        <v>395</v>
      </c>
      <c r="I1361" s="318" t="s">
        <v>1499</v>
      </c>
      <c r="J1361" s="318">
        <v>108</v>
      </c>
      <c r="K1361" s="317" t="s">
        <v>410</v>
      </c>
      <c r="L1361" s="317">
        <v>49.018799999999999</v>
      </c>
      <c r="M1361" s="317">
        <v>40.38456</v>
      </c>
    </row>
    <row r="1362" spans="1:13" ht="30" hidden="1" x14ac:dyDescent="0.25">
      <c r="A1362" s="313">
        <f t="shared" si="21"/>
        <v>1361</v>
      </c>
      <c r="B1362" s="314" t="s">
        <v>2176</v>
      </c>
      <c r="C1362" s="315" t="s">
        <v>637</v>
      </c>
      <c r="D1362" s="316" t="s">
        <v>2177</v>
      </c>
      <c r="E1362" s="318">
        <v>2.96</v>
      </c>
      <c r="F1362" s="318" t="s">
        <v>395</v>
      </c>
      <c r="G1362" s="318" t="s">
        <v>395</v>
      </c>
      <c r="H1362" s="318" t="s">
        <v>395</v>
      </c>
      <c r="I1362" s="318" t="s">
        <v>1499</v>
      </c>
      <c r="J1362" s="318">
        <v>98</v>
      </c>
      <c r="K1362" s="317" t="s">
        <v>410</v>
      </c>
      <c r="L1362" s="317">
        <v>49.016950000000001</v>
      </c>
      <c r="M1362" s="317">
        <v>40.814749999999997</v>
      </c>
    </row>
    <row r="1363" spans="1:13" ht="25.5" hidden="1" x14ac:dyDescent="0.25">
      <c r="A1363" s="313">
        <f t="shared" si="21"/>
        <v>1362</v>
      </c>
      <c r="B1363" s="314" t="s">
        <v>2180</v>
      </c>
      <c r="C1363" s="315" t="s">
        <v>672</v>
      </c>
      <c r="D1363" s="316" t="s">
        <v>2181</v>
      </c>
      <c r="E1363" s="318">
        <v>4.9800000000000004</v>
      </c>
      <c r="F1363" s="318" t="s">
        <v>395</v>
      </c>
      <c r="G1363" s="318" t="s">
        <v>395</v>
      </c>
      <c r="H1363" s="318" t="s">
        <v>395</v>
      </c>
      <c r="I1363" s="318" t="s">
        <v>1499</v>
      </c>
      <c r="J1363" s="318">
        <v>199</v>
      </c>
      <c r="K1363" s="317" t="s">
        <v>410</v>
      </c>
      <c r="L1363" s="317">
        <v>48.977499999999999</v>
      </c>
      <c r="M1363" s="317">
        <v>41.719970000000004</v>
      </c>
    </row>
    <row r="1364" spans="1:13" ht="30" hidden="1" x14ac:dyDescent="0.25">
      <c r="A1364" s="313">
        <f t="shared" si="21"/>
        <v>1363</v>
      </c>
      <c r="B1364" s="314" t="s">
        <v>2184</v>
      </c>
      <c r="C1364" s="315" t="s">
        <v>637</v>
      </c>
      <c r="D1364" s="316" t="s">
        <v>2185</v>
      </c>
      <c r="E1364" s="318">
        <v>3.64</v>
      </c>
      <c r="F1364" s="318" t="s">
        <v>395</v>
      </c>
      <c r="G1364" s="318" t="s">
        <v>395</v>
      </c>
      <c r="H1364" s="318" t="s">
        <v>395</v>
      </c>
      <c r="I1364" s="318" t="s">
        <v>1499</v>
      </c>
      <c r="J1364" s="318">
        <v>132</v>
      </c>
      <c r="K1364" s="317" t="s">
        <v>410</v>
      </c>
      <c r="L1364" s="317">
        <v>48.997669999999999</v>
      </c>
      <c r="M1364" s="317">
        <v>39.849209999999999</v>
      </c>
    </row>
    <row r="1365" spans="1:13" ht="60" hidden="1" x14ac:dyDescent="0.25">
      <c r="A1365" s="313">
        <f t="shared" si="21"/>
        <v>1364</v>
      </c>
      <c r="B1365" s="314" t="s">
        <v>2188</v>
      </c>
      <c r="C1365" s="315" t="s">
        <v>447</v>
      </c>
      <c r="D1365" s="316" t="s">
        <v>2189</v>
      </c>
      <c r="E1365" s="313">
        <v>2.2599999999999998</v>
      </c>
      <c r="F1365" s="313" t="s">
        <v>395</v>
      </c>
      <c r="G1365" s="313" t="s">
        <v>395</v>
      </c>
      <c r="H1365" s="313" t="s">
        <v>395</v>
      </c>
      <c r="I1365" s="313" t="s">
        <v>1499</v>
      </c>
      <c r="J1365" s="313">
        <v>63</v>
      </c>
      <c r="K1365" s="317" t="s">
        <v>410</v>
      </c>
      <c r="L1365" s="317">
        <v>48.015929999999997</v>
      </c>
      <c r="M1365" s="317">
        <v>39.879660000000001</v>
      </c>
    </row>
    <row r="1366" spans="1:13" ht="45" hidden="1" x14ac:dyDescent="0.25">
      <c r="A1366" s="313">
        <f t="shared" si="21"/>
        <v>1365</v>
      </c>
      <c r="B1366" s="314" t="s">
        <v>2192</v>
      </c>
      <c r="C1366" s="315" t="s">
        <v>412</v>
      </c>
      <c r="D1366" s="316" t="s">
        <v>2193</v>
      </c>
      <c r="E1366" s="313">
        <v>3.28</v>
      </c>
      <c r="F1366" s="313" t="s">
        <v>395</v>
      </c>
      <c r="G1366" s="313" t="s">
        <v>395</v>
      </c>
      <c r="H1366" s="313" t="s">
        <v>395</v>
      </c>
      <c r="I1366" s="313" t="s">
        <v>1499</v>
      </c>
      <c r="J1366" s="313">
        <v>114</v>
      </c>
      <c r="K1366" s="317" t="s">
        <v>410</v>
      </c>
      <c r="L1366" s="317">
        <v>49.054969999999997</v>
      </c>
      <c r="M1366" s="317">
        <v>40.180140000000002</v>
      </c>
    </row>
    <row r="1367" spans="1:13" ht="45" hidden="1" x14ac:dyDescent="0.25">
      <c r="A1367" s="313">
        <f t="shared" si="21"/>
        <v>1366</v>
      </c>
      <c r="B1367" s="314" t="s">
        <v>2196</v>
      </c>
      <c r="C1367" s="315" t="s">
        <v>412</v>
      </c>
      <c r="D1367" s="316" t="s">
        <v>2197</v>
      </c>
      <c r="E1367" s="313">
        <v>2.5</v>
      </c>
      <c r="F1367" s="313" t="s">
        <v>395</v>
      </c>
      <c r="G1367" s="313" t="s">
        <v>395</v>
      </c>
      <c r="H1367" s="313" t="s">
        <v>395</v>
      </c>
      <c r="I1367" s="313" t="s">
        <v>1499</v>
      </c>
      <c r="J1367" s="313">
        <v>75</v>
      </c>
      <c r="K1367" s="317" t="s">
        <v>410</v>
      </c>
      <c r="L1367" s="317">
        <v>48.292499999999997</v>
      </c>
      <c r="M1367" s="317">
        <v>40.961109999999998</v>
      </c>
    </row>
    <row r="1368" spans="1:13" ht="60" hidden="1" x14ac:dyDescent="0.25">
      <c r="A1368" s="313">
        <f t="shared" si="21"/>
        <v>1367</v>
      </c>
      <c r="B1368" s="314" t="s">
        <v>2200</v>
      </c>
      <c r="C1368" s="315" t="s">
        <v>447</v>
      </c>
      <c r="D1368" s="316" t="s">
        <v>2201</v>
      </c>
      <c r="E1368" s="313">
        <v>3.02</v>
      </c>
      <c r="F1368" s="313" t="s">
        <v>395</v>
      </c>
      <c r="G1368" s="313" t="s">
        <v>395</v>
      </c>
      <c r="H1368" s="313" t="s">
        <v>395</v>
      </c>
      <c r="I1368" s="313" t="s">
        <v>1499</v>
      </c>
      <c r="J1368" s="313">
        <v>101</v>
      </c>
      <c r="K1368" s="317" t="s">
        <v>410</v>
      </c>
      <c r="L1368" s="317">
        <v>48.188189999999999</v>
      </c>
      <c r="M1368" s="317">
        <v>41.287390000000002</v>
      </c>
    </row>
    <row r="1369" spans="1:13" ht="45" hidden="1" x14ac:dyDescent="0.25">
      <c r="A1369" s="313">
        <f t="shared" si="21"/>
        <v>1368</v>
      </c>
      <c r="B1369" s="314" t="s">
        <v>2204</v>
      </c>
      <c r="C1369" s="315" t="s">
        <v>582</v>
      </c>
      <c r="D1369" s="316" t="s">
        <v>2206</v>
      </c>
      <c r="E1369" s="313">
        <v>2.3199999999999998</v>
      </c>
      <c r="F1369" s="313" t="s">
        <v>395</v>
      </c>
      <c r="G1369" s="313" t="s">
        <v>395</v>
      </c>
      <c r="H1369" s="313" t="s">
        <v>395</v>
      </c>
      <c r="I1369" s="313" t="s">
        <v>1499</v>
      </c>
      <c r="J1369" s="313">
        <v>66</v>
      </c>
      <c r="K1369" s="317" t="s">
        <v>410</v>
      </c>
      <c r="L1369" s="317">
        <v>48.779339999999998</v>
      </c>
      <c r="M1369" s="317">
        <v>40.278480000000002</v>
      </c>
    </row>
    <row r="1370" spans="1:13" ht="25.5" hidden="1" x14ac:dyDescent="0.25">
      <c r="A1370" s="313">
        <f t="shared" si="21"/>
        <v>1369</v>
      </c>
      <c r="B1370" s="314" t="s">
        <v>2208</v>
      </c>
      <c r="C1370" s="315" t="s">
        <v>672</v>
      </c>
      <c r="D1370" s="316" t="s">
        <v>2210</v>
      </c>
      <c r="E1370" s="313">
        <v>2.2799999999999998</v>
      </c>
      <c r="F1370" s="313" t="s">
        <v>395</v>
      </c>
      <c r="G1370" s="313" t="s">
        <v>395</v>
      </c>
      <c r="H1370" s="313" t="s">
        <v>395</v>
      </c>
      <c r="I1370" s="313" t="s">
        <v>1499</v>
      </c>
      <c r="J1370" s="313">
        <v>64</v>
      </c>
      <c r="K1370" s="317" t="s">
        <v>410</v>
      </c>
      <c r="L1370" s="317">
        <v>48.007629999999999</v>
      </c>
      <c r="M1370" s="317">
        <v>39.81</v>
      </c>
    </row>
    <row r="1371" spans="1:13" ht="45" hidden="1" x14ac:dyDescent="0.25">
      <c r="A1371" s="313">
        <f t="shared" si="21"/>
        <v>1370</v>
      </c>
      <c r="B1371" s="314" t="s">
        <v>2212</v>
      </c>
      <c r="C1371" s="315" t="s">
        <v>412</v>
      </c>
      <c r="D1371" s="316" t="s">
        <v>2214</v>
      </c>
      <c r="E1371" s="313">
        <v>1.1599999999999999</v>
      </c>
      <c r="F1371" s="313" t="s">
        <v>395</v>
      </c>
      <c r="G1371" s="313" t="s">
        <v>395</v>
      </c>
      <c r="H1371" s="313" t="s">
        <v>395</v>
      </c>
      <c r="I1371" s="313" t="s">
        <v>1499</v>
      </c>
      <c r="J1371" s="313">
        <v>8</v>
      </c>
      <c r="K1371" s="317" t="s">
        <v>410</v>
      </c>
      <c r="L1371" s="317">
        <v>48.347279999999998</v>
      </c>
      <c r="M1371" s="317">
        <v>40.285269999999997</v>
      </c>
    </row>
    <row r="1372" spans="1:13" ht="45" hidden="1" x14ac:dyDescent="0.25">
      <c r="A1372" s="313">
        <f t="shared" si="21"/>
        <v>1371</v>
      </c>
      <c r="B1372" s="314" t="s">
        <v>2216</v>
      </c>
      <c r="C1372" s="315" t="s">
        <v>582</v>
      </c>
      <c r="D1372" s="316" t="s">
        <v>2217</v>
      </c>
      <c r="E1372" s="313">
        <v>6.16</v>
      </c>
      <c r="F1372" s="313" t="s">
        <v>395</v>
      </c>
      <c r="G1372" s="313" t="s">
        <v>395</v>
      </c>
      <c r="H1372" s="313" t="s">
        <v>395</v>
      </c>
      <c r="I1372" s="313" t="s">
        <v>1499</v>
      </c>
      <c r="J1372" s="313">
        <v>258</v>
      </c>
      <c r="K1372" s="317" t="s">
        <v>410</v>
      </c>
      <c r="L1372" s="317">
        <v>49.961120000000001</v>
      </c>
      <c r="M1372" s="317">
        <v>41.159930000000003</v>
      </c>
    </row>
    <row r="1373" spans="1:13" ht="45" hidden="1" x14ac:dyDescent="0.25">
      <c r="A1373" s="313">
        <f t="shared" si="21"/>
        <v>1372</v>
      </c>
      <c r="B1373" s="314" t="s">
        <v>2220</v>
      </c>
      <c r="C1373" s="315" t="s">
        <v>582</v>
      </c>
      <c r="D1373" s="316" t="s">
        <v>2222</v>
      </c>
      <c r="E1373" s="313">
        <v>4.96</v>
      </c>
      <c r="F1373" s="313" t="s">
        <v>395</v>
      </c>
      <c r="G1373" s="313" t="s">
        <v>395</v>
      </c>
      <c r="H1373" s="313" t="s">
        <v>395</v>
      </c>
      <c r="I1373" s="313" t="s">
        <v>1499</v>
      </c>
      <c r="J1373" s="313">
        <v>198</v>
      </c>
      <c r="K1373" s="317" t="s">
        <v>410</v>
      </c>
      <c r="L1373" s="317">
        <v>49.676639999999999</v>
      </c>
      <c r="M1373" s="317">
        <v>40.888060000000003</v>
      </c>
    </row>
    <row r="1374" spans="1:13" ht="45" hidden="1" x14ac:dyDescent="0.25">
      <c r="A1374" s="313">
        <f t="shared" si="21"/>
        <v>1373</v>
      </c>
      <c r="B1374" s="314" t="s">
        <v>2224</v>
      </c>
      <c r="C1374" s="315" t="s">
        <v>582</v>
      </c>
      <c r="D1374" s="316" t="s">
        <v>2226</v>
      </c>
      <c r="E1374" s="313">
        <v>4.8600000000000003</v>
      </c>
      <c r="F1374" s="313" t="s">
        <v>395</v>
      </c>
      <c r="G1374" s="313" t="s">
        <v>395</v>
      </c>
      <c r="H1374" s="313" t="s">
        <v>395</v>
      </c>
      <c r="I1374" s="313" t="s">
        <v>1499</v>
      </c>
      <c r="J1374" s="313">
        <v>193</v>
      </c>
      <c r="K1374" s="317" t="s">
        <v>410</v>
      </c>
      <c r="L1374" s="317">
        <v>49.650329999999997</v>
      </c>
      <c r="M1374" s="317">
        <v>40.86506</v>
      </c>
    </row>
    <row r="1375" spans="1:13" ht="30" hidden="1" x14ac:dyDescent="0.25">
      <c r="A1375" s="313">
        <f t="shared" si="21"/>
        <v>1374</v>
      </c>
      <c r="B1375" s="314" t="s">
        <v>2228</v>
      </c>
      <c r="C1375" s="315" t="s">
        <v>637</v>
      </c>
      <c r="D1375" s="316" t="s">
        <v>2230</v>
      </c>
      <c r="E1375" s="313">
        <v>2.2400000000000002</v>
      </c>
      <c r="F1375" s="313" t="s">
        <v>395</v>
      </c>
      <c r="G1375" s="313" t="s">
        <v>395</v>
      </c>
      <c r="H1375" s="313" t="s">
        <v>395</v>
      </c>
      <c r="I1375" s="313" t="s">
        <v>1499</v>
      </c>
      <c r="J1375" s="313">
        <v>62</v>
      </c>
      <c r="K1375" s="317" t="s">
        <v>410</v>
      </c>
      <c r="L1375" s="317">
        <v>48.636040000000001</v>
      </c>
      <c r="M1375" s="317">
        <v>40.588360000000002</v>
      </c>
    </row>
    <row r="1376" spans="1:13" ht="30" hidden="1" x14ac:dyDescent="0.25">
      <c r="A1376" s="313">
        <f t="shared" si="21"/>
        <v>1375</v>
      </c>
      <c r="B1376" s="314" t="s">
        <v>2232</v>
      </c>
      <c r="C1376" s="315" t="s">
        <v>637</v>
      </c>
      <c r="D1376" s="316" t="s">
        <v>2234</v>
      </c>
      <c r="E1376" s="313">
        <v>2.1800000000000002</v>
      </c>
      <c r="F1376" s="313" t="s">
        <v>395</v>
      </c>
      <c r="G1376" s="313" t="s">
        <v>395</v>
      </c>
      <c r="H1376" s="313" t="s">
        <v>395</v>
      </c>
      <c r="I1376" s="313" t="s">
        <v>1499</v>
      </c>
      <c r="J1376" s="313">
        <v>59</v>
      </c>
      <c r="K1376" s="317" t="s">
        <v>410</v>
      </c>
      <c r="L1376" s="317">
        <v>48.656840000000003</v>
      </c>
      <c r="M1376" s="317">
        <v>40.219769999999997</v>
      </c>
    </row>
    <row r="1377" spans="1:13" ht="38.25" hidden="1" x14ac:dyDescent="0.25">
      <c r="A1377" s="313">
        <f t="shared" si="21"/>
        <v>1376</v>
      </c>
      <c r="B1377" s="314" t="s">
        <v>2236</v>
      </c>
      <c r="C1377" s="315" t="s">
        <v>637</v>
      </c>
      <c r="D1377" s="316" t="s">
        <v>2238</v>
      </c>
      <c r="E1377" s="313">
        <v>3.28</v>
      </c>
      <c r="F1377" s="313" t="s">
        <v>395</v>
      </c>
      <c r="G1377" s="313" t="s">
        <v>395</v>
      </c>
      <c r="H1377" s="313" t="s">
        <v>395</v>
      </c>
      <c r="I1377" s="313" t="s">
        <v>1499</v>
      </c>
      <c r="J1377" s="313">
        <v>114</v>
      </c>
      <c r="K1377" s="317" t="s">
        <v>410</v>
      </c>
      <c r="L1377" s="317">
        <v>48.30012</v>
      </c>
      <c r="M1377" s="317">
        <v>41.411160000000002</v>
      </c>
    </row>
    <row r="1378" spans="1:13" ht="30" hidden="1" x14ac:dyDescent="0.25">
      <c r="A1378" s="313">
        <f t="shared" si="21"/>
        <v>1377</v>
      </c>
      <c r="B1378" s="291" t="s">
        <v>2240</v>
      </c>
      <c r="C1378" s="315" t="s">
        <v>637</v>
      </c>
      <c r="D1378" s="315" t="s">
        <v>2242</v>
      </c>
      <c r="E1378" s="318">
        <v>3.86</v>
      </c>
      <c r="F1378" s="313" t="s">
        <v>395</v>
      </c>
      <c r="G1378" s="313" t="s">
        <v>395</v>
      </c>
      <c r="H1378" s="313" t="s">
        <v>395</v>
      </c>
      <c r="I1378" s="318" t="s">
        <v>1499</v>
      </c>
      <c r="J1378" s="320">
        <v>143</v>
      </c>
      <c r="K1378" s="317" t="s">
        <v>410</v>
      </c>
      <c r="L1378" s="317">
        <v>48.462249999999997</v>
      </c>
      <c r="M1378" s="317">
        <v>41.407519999999998</v>
      </c>
    </row>
    <row r="1379" spans="1:13" ht="45" hidden="1" x14ac:dyDescent="0.25">
      <c r="A1379" s="313">
        <f t="shared" si="21"/>
        <v>1378</v>
      </c>
      <c r="B1379" s="319" t="s">
        <v>2244</v>
      </c>
      <c r="C1379" s="315" t="s">
        <v>582</v>
      </c>
      <c r="D1379" s="315" t="s">
        <v>2246</v>
      </c>
      <c r="E1379" s="318">
        <v>3.76</v>
      </c>
      <c r="F1379" s="313" t="s">
        <v>395</v>
      </c>
      <c r="G1379" s="313" t="s">
        <v>395</v>
      </c>
      <c r="H1379" s="313" t="s">
        <v>395</v>
      </c>
      <c r="I1379" s="318" t="s">
        <v>1499</v>
      </c>
      <c r="J1379" s="320">
        <v>138</v>
      </c>
      <c r="K1379" s="317" t="s">
        <v>410</v>
      </c>
      <c r="L1379" s="317">
        <v>48.49004</v>
      </c>
      <c r="M1379" s="317">
        <v>41.438229999999997</v>
      </c>
    </row>
    <row r="1380" spans="1:13" ht="45" hidden="1" x14ac:dyDescent="0.25">
      <c r="A1380" s="313">
        <f t="shared" si="21"/>
        <v>1379</v>
      </c>
      <c r="B1380" s="319" t="s">
        <v>2248</v>
      </c>
      <c r="C1380" s="315" t="s">
        <v>582</v>
      </c>
      <c r="D1380" s="315" t="s">
        <v>2250</v>
      </c>
      <c r="E1380" s="318">
        <v>6.06</v>
      </c>
      <c r="F1380" s="313" t="s">
        <v>395</v>
      </c>
      <c r="G1380" s="313" t="s">
        <v>395</v>
      </c>
      <c r="H1380" s="313" t="s">
        <v>395</v>
      </c>
      <c r="I1380" s="318" t="s">
        <v>1499</v>
      </c>
      <c r="J1380" s="320">
        <v>253</v>
      </c>
      <c r="K1380" s="317" t="s">
        <v>410</v>
      </c>
      <c r="L1380" s="317">
        <v>49.817680000000003</v>
      </c>
      <c r="M1380" s="317">
        <v>41.933520000000001</v>
      </c>
    </row>
    <row r="1381" spans="1:13" ht="30" hidden="1" x14ac:dyDescent="0.25">
      <c r="A1381" s="313">
        <f t="shared" si="21"/>
        <v>1380</v>
      </c>
      <c r="B1381" s="319" t="s">
        <v>2252</v>
      </c>
      <c r="C1381" s="315" t="s">
        <v>637</v>
      </c>
      <c r="D1381" s="315" t="s">
        <v>2253</v>
      </c>
      <c r="E1381" s="318">
        <v>6.48</v>
      </c>
      <c r="F1381" s="313" t="s">
        <v>395</v>
      </c>
      <c r="G1381" s="313" t="s">
        <v>395</v>
      </c>
      <c r="H1381" s="313" t="s">
        <v>395</v>
      </c>
      <c r="I1381" s="318" t="s">
        <v>1499</v>
      </c>
      <c r="J1381" s="320">
        <v>274</v>
      </c>
      <c r="K1381" s="317" t="s">
        <v>410</v>
      </c>
      <c r="L1381" s="317">
        <v>48.836979999999997</v>
      </c>
      <c r="M1381" s="317">
        <v>42.095820000000003</v>
      </c>
    </row>
    <row r="1382" spans="1:13" ht="45" hidden="1" x14ac:dyDescent="0.25">
      <c r="A1382" s="313">
        <f t="shared" si="21"/>
        <v>1381</v>
      </c>
      <c r="B1382" s="319" t="s">
        <v>2256</v>
      </c>
      <c r="C1382" s="315" t="s">
        <v>582</v>
      </c>
      <c r="D1382" s="315" t="s">
        <v>2257</v>
      </c>
      <c r="E1382" s="318">
        <v>6.22</v>
      </c>
      <c r="F1382" s="313" t="s">
        <v>395</v>
      </c>
      <c r="G1382" s="313" t="s">
        <v>395</v>
      </c>
      <c r="H1382" s="313" t="s">
        <v>395</v>
      </c>
      <c r="I1382" s="318" t="s">
        <v>1499</v>
      </c>
      <c r="J1382" s="320">
        <v>261</v>
      </c>
      <c r="K1382" s="317" t="s">
        <v>410</v>
      </c>
      <c r="L1382" s="317">
        <v>49.007350000000002</v>
      </c>
      <c r="M1382" s="317">
        <v>42.343499999999999</v>
      </c>
    </row>
    <row r="1383" spans="1:13" ht="45" hidden="1" x14ac:dyDescent="0.25">
      <c r="A1383" s="313">
        <f t="shared" si="21"/>
        <v>1382</v>
      </c>
      <c r="B1383" s="319" t="s">
        <v>2260</v>
      </c>
      <c r="C1383" s="315" t="s">
        <v>637</v>
      </c>
      <c r="D1383" s="315" t="s">
        <v>2261</v>
      </c>
      <c r="E1383" s="318">
        <v>3.26</v>
      </c>
      <c r="F1383" s="318" t="s">
        <v>395</v>
      </c>
      <c r="G1383" s="318" t="s">
        <v>395</v>
      </c>
      <c r="H1383" s="318" t="s">
        <v>395</v>
      </c>
      <c r="I1383" s="318" t="s">
        <v>1499</v>
      </c>
      <c r="J1383" s="320">
        <v>113</v>
      </c>
      <c r="K1383" s="317" t="s">
        <v>410</v>
      </c>
      <c r="L1383" s="317">
        <v>48.79636</v>
      </c>
      <c r="M1383" s="317">
        <v>40.862000000000002</v>
      </c>
    </row>
    <row r="1384" spans="1:13" ht="30" hidden="1" x14ac:dyDescent="0.25">
      <c r="A1384" s="313">
        <f t="shared" si="21"/>
        <v>1383</v>
      </c>
      <c r="B1384" s="252" t="s">
        <v>2264</v>
      </c>
      <c r="C1384" s="315" t="s">
        <v>637</v>
      </c>
      <c r="D1384" s="315" t="s">
        <v>2265</v>
      </c>
      <c r="E1384" s="318">
        <v>3.34</v>
      </c>
      <c r="F1384" s="318" t="s">
        <v>395</v>
      </c>
      <c r="G1384" s="318" t="s">
        <v>395</v>
      </c>
      <c r="H1384" s="318" t="s">
        <v>395</v>
      </c>
      <c r="I1384" s="318" t="s">
        <v>1499</v>
      </c>
      <c r="J1384" s="320">
        <v>117</v>
      </c>
      <c r="K1384" s="317" t="s">
        <v>410</v>
      </c>
      <c r="L1384" s="317">
        <v>48.762540000000001</v>
      </c>
      <c r="M1384" s="317">
        <v>39.838039999999999</v>
      </c>
    </row>
    <row r="1385" spans="1:13" ht="45" hidden="1" x14ac:dyDescent="0.25">
      <c r="A1385" s="313">
        <f t="shared" si="21"/>
        <v>1384</v>
      </c>
      <c r="B1385" s="252" t="s">
        <v>2268</v>
      </c>
      <c r="C1385" s="315" t="s">
        <v>637</v>
      </c>
      <c r="D1385" s="315" t="s">
        <v>2269</v>
      </c>
      <c r="E1385" s="318">
        <v>2.86</v>
      </c>
      <c r="F1385" s="318" t="s">
        <v>395</v>
      </c>
      <c r="G1385" s="318" t="s">
        <v>395</v>
      </c>
      <c r="H1385" s="318" t="s">
        <v>395</v>
      </c>
      <c r="I1385" s="318" t="s">
        <v>1499</v>
      </c>
      <c r="J1385" s="320">
        <v>93</v>
      </c>
      <c r="K1385" s="317" t="s">
        <v>410</v>
      </c>
      <c r="L1385" s="317">
        <v>48.647320000000001</v>
      </c>
      <c r="M1385" s="317">
        <v>40.79195</v>
      </c>
    </row>
    <row r="1386" spans="1:13" ht="45" hidden="1" x14ac:dyDescent="0.25">
      <c r="A1386" s="313">
        <f t="shared" si="21"/>
        <v>1385</v>
      </c>
      <c r="B1386" s="252" t="s">
        <v>2272</v>
      </c>
      <c r="C1386" s="315" t="s">
        <v>637</v>
      </c>
      <c r="D1386" s="315" t="s">
        <v>2273</v>
      </c>
      <c r="E1386" s="318">
        <v>2.86</v>
      </c>
      <c r="F1386" s="318" t="s">
        <v>395</v>
      </c>
      <c r="G1386" s="318" t="s">
        <v>395</v>
      </c>
      <c r="H1386" s="318" t="s">
        <v>395</v>
      </c>
      <c r="I1386" s="318" t="s">
        <v>1499</v>
      </c>
      <c r="J1386" s="320">
        <v>93</v>
      </c>
      <c r="K1386" s="317" t="s">
        <v>410</v>
      </c>
      <c r="L1386" s="317">
        <v>48.814570000000003</v>
      </c>
      <c r="M1386" s="317">
        <v>40.098619999999997</v>
      </c>
    </row>
    <row r="1387" spans="1:13" ht="30" hidden="1" x14ac:dyDescent="0.25">
      <c r="A1387" s="313">
        <f t="shared" si="21"/>
        <v>1386</v>
      </c>
      <c r="B1387" s="291" t="s">
        <v>2276</v>
      </c>
      <c r="C1387" s="315" t="s">
        <v>637</v>
      </c>
      <c r="D1387" s="315" t="s">
        <v>2277</v>
      </c>
      <c r="E1387" s="318">
        <v>3.22</v>
      </c>
      <c r="F1387" s="318" t="s">
        <v>395</v>
      </c>
      <c r="G1387" s="318" t="s">
        <v>395</v>
      </c>
      <c r="H1387" s="318" t="s">
        <v>395</v>
      </c>
      <c r="I1387" s="318" t="s">
        <v>1499</v>
      </c>
      <c r="J1387" s="320">
        <v>111</v>
      </c>
      <c r="K1387" s="317" t="s">
        <v>410</v>
      </c>
      <c r="L1387" s="317">
        <v>48.706949999999999</v>
      </c>
      <c r="M1387" s="317">
        <v>39.849299999999999</v>
      </c>
    </row>
    <row r="1388" spans="1:13" ht="30" hidden="1" x14ac:dyDescent="0.25">
      <c r="A1388" s="313">
        <f t="shared" si="21"/>
        <v>1387</v>
      </c>
      <c r="B1388" s="252" t="s">
        <v>2280</v>
      </c>
      <c r="C1388" s="315" t="s">
        <v>637</v>
      </c>
      <c r="D1388" s="315" t="s">
        <v>2281</v>
      </c>
      <c r="E1388" s="318">
        <v>4.72</v>
      </c>
      <c r="F1388" s="318" t="s">
        <v>395</v>
      </c>
      <c r="G1388" s="318" t="s">
        <v>395</v>
      </c>
      <c r="H1388" s="318" t="s">
        <v>395</v>
      </c>
      <c r="I1388" s="318" t="s">
        <v>1499</v>
      </c>
      <c r="J1388" s="320">
        <v>186</v>
      </c>
      <c r="K1388" s="317" t="s">
        <v>410</v>
      </c>
      <c r="L1388" s="317">
        <v>49.57685</v>
      </c>
      <c r="M1388" s="317">
        <v>40.271709999999999</v>
      </c>
    </row>
    <row r="1389" spans="1:13" ht="60" hidden="1" x14ac:dyDescent="0.25">
      <c r="A1389" s="313">
        <f t="shared" si="21"/>
        <v>1388</v>
      </c>
      <c r="B1389" s="252" t="s">
        <v>2284</v>
      </c>
      <c r="C1389" s="315" t="s">
        <v>582</v>
      </c>
      <c r="D1389" s="315" t="s">
        <v>2285</v>
      </c>
      <c r="E1389" s="318">
        <v>5.72</v>
      </c>
      <c r="F1389" s="318" t="s">
        <v>395</v>
      </c>
      <c r="G1389" s="318" t="s">
        <v>395</v>
      </c>
      <c r="H1389" s="318" t="s">
        <v>395</v>
      </c>
      <c r="I1389" s="318" t="s">
        <v>1499</v>
      </c>
      <c r="J1389" s="320">
        <v>236</v>
      </c>
      <c r="K1389" s="317" t="s">
        <v>410</v>
      </c>
      <c r="L1389" s="317">
        <v>49.051319999999997</v>
      </c>
      <c r="M1389" s="317">
        <v>42.042110000000001</v>
      </c>
    </row>
    <row r="1390" spans="1:13" ht="30" hidden="1" x14ac:dyDescent="0.25">
      <c r="A1390" s="313">
        <f t="shared" si="21"/>
        <v>1389</v>
      </c>
      <c r="B1390" s="319" t="s">
        <v>2288</v>
      </c>
      <c r="C1390" s="315" t="s">
        <v>637</v>
      </c>
      <c r="D1390" s="315" t="s">
        <v>2289</v>
      </c>
      <c r="E1390" s="318">
        <v>2.02</v>
      </c>
      <c r="F1390" s="313" t="s">
        <v>395</v>
      </c>
      <c r="G1390" s="313" t="s">
        <v>395</v>
      </c>
      <c r="H1390" s="313" t="s">
        <v>395</v>
      </c>
      <c r="I1390" s="318" t="s">
        <v>1499</v>
      </c>
      <c r="J1390" s="320">
        <v>51</v>
      </c>
      <c r="K1390" s="317" t="s">
        <v>410</v>
      </c>
      <c r="L1390" s="317">
        <v>48.544510000000002</v>
      </c>
      <c r="M1390" s="317">
        <v>40.553440000000002</v>
      </c>
    </row>
    <row r="1391" spans="1:13" ht="45" hidden="1" x14ac:dyDescent="0.25">
      <c r="A1391" s="313">
        <f t="shared" si="21"/>
        <v>1390</v>
      </c>
      <c r="B1391" s="319" t="s">
        <v>2293</v>
      </c>
      <c r="C1391" s="315" t="s">
        <v>412</v>
      </c>
      <c r="D1391" s="315" t="s">
        <v>2294</v>
      </c>
      <c r="E1391" s="318">
        <v>1.78</v>
      </c>
      <c r="F1391" s="313" t="s">
        <v>395</v>
      </c>
      <c r="G1391" s="313" t="s">
        <v>395</v>
      </c>
      <c r="H1391" s="313" t="s">
        <v>395</v>
      </c>
      <c r="I1391" s="318" t="s">
        <v>1499</v>
      </c>
      <c r="J1391" s="320">
        <v>39</v>
      </c>
      <c r="K1391" s="317" t="s">
        <v>410</v>
      </c>
      <c r="L1391" s="317">
        <v>48.319420000000001</v>
      </c>
      <c r="M1391" s="317">
        <v>39.906660000000002</v>
      </c>
    </row>
    <row r="1392" spans="1:13" ht="45" hidden="1" x14ac:dyDescent="0.25">
      <c r="A1392" s="313">
        <f t="shared" si="21"/>
        <v>1391</v>
      </c>
      <c r="B1392" s="319" t="s">
        <v>2297</v>
      </c>
      <c r="C1392" s="315" t="s">
        <v>412</v>
      </c>
      <c r="D1392" s="315" t="s">
        <v>2298</v>
      </c>
      <c r="E1392" s="318">
        <v>5.9</v>
      </c>
      <c r="F1392" s="313" t="s">
        <v>395</v>
      </c>
      <c r="G1392" s="313" t="s">
        <v>395</v>
      </c>
      <c r="H1392" s="313" t="s">
        <v>395</v>
      </c>
      <c r="I1392" s="318" t="s">
        <v>1499</v>
      </c>
      <c r="J1392" s="320">
        <v>245</v>
      </c>
      <c r="K1392" s="317" t="s">
        <v>410</v>
      </c>
      <c r="L1392" s="317">
        <v>49.914470000000001</v>
      </c>
      <c r="M1392" s="317">
        <v>41.278709999999997</v>
      </c>
    </row>
    <row r="1393" spans="1:13" ht="45" hidden="1" x14ac:dyDescent="0.25">
      <c r="A1393" s="313">
        <f t="shared" si="21"/>
        <v>1392</v>
      </c>
      <c r="B1393" s="319" t="s">
        <v>2301</v>
      </c>
      <c r="C1393" s="315" t="s">
        <v>412</v>
      </c>
      <c r="D1393" s="315" t="s">
        <v>2302</v>
      </c>
      <c r="E1393" s="318">
        <v>2.12</v>
      </c>
      <c r="F1393" s="313" t="s">
        <v>395</v>
      </c>
      <c r="G1393" s="313" t="s">
        <v>395</v>
      </c>
      <c r="H1393" s="313" t="s">
        <v>395</v>
      </c>
      <c r="I1393" s="318" t="s">
        <v>1499</v>
      </c>
      <c r="J1393" s="320">
        <v>56</v>
      </c>
      <c r="K1393" s="317" t="s">
        <v>410</v>
      </c>
      <c r="L1393" s="317">
        <v>48.739719999999998</v>
      </c>
      <c r="M1393" s="317">
        <v>40.361939999999997</v>
      </c>
    </row>
    <row r="1394" spans="1:13" ht="75" hidden="1" x14ac:dyDescent="0.25">
      <c r="A1394" s="313">
        <f t="shared" si="21"/>
        <v>1393</v>
      </c>
      <c r="B1394" s="319" t="s">
        <v>2305</v>
      </c>
      <c r="C1394" s="315" t="s">
        <v>428</v>
      </c>
      <c r="D1394" s="315" t="s">
        <v>2306</v>
      </c>
      <c r="E1394" s="318">
        <v>1.42</v>
      </c>
      <c r="F1394" s="313" t="s">
        <v>395</v>
      </c>
      <c r="G1394" s="313" t="s">
        <v>395</v>
      </c>
      <c r="H1394" s="313" t="s">
        <v>395</v>
      </c>
      <c r="I1394" s="318" t="s">
        <v>1499</v>
      </c>
      <c r="J1394" s="320">
        <v>21</v>
      </c>
      <c r="K1394" s="317" t="s">
        <v>410</v>
      </c>
      <c r="L1394" s="317">
        <v>48.485999999999997</v>
      </c>
      <c r="M1394" s="317">
        <v>40.311410000000002</v>
      </c>
    </row>
    <row r="1395" spans="1:13" ht="45" hidden="1" x14ac:dyDescent="0.25">
      <c r="A1395" s="313">
        <f t="shared" si="21"/>
        <v>1394</v>
      </c>
      <c r="B1395" s="319" t="s">
        <v>2309</v>
      </c>
      <c r="C1395" s="315" t="s">
        <v>582</v>
      </c>
      <c r="D1395" s="315" t="s">
        <v>2310</v>
      </c>
      <c r="E1395" s="318">
        <v>5.0999999999999996</v>
      </c>
      <c r="F1395" s="313" t="s">
        <v>395</v>
      </c>
      <c r="G1395" s="313" t="s">
        <v>395</v>
      </c>
      <c r="H1395" s="313" t="s">
        <v>395</v>
      </c>
      <c r="I1395" s="318" t="s">
        <v>1499</v>
      </c>
      <c r="J1395" s="320">
        <v>205</v>
      </c>
      <c r="K1395" s="317" t="s">
        <v>410</v>
      </c>
      <c r="L1395" s="317">
        <v>48.921300000000002</v>
      </c>
      <c r="M1395" s="317">
        <v>41.77863</v>
      </c>
    </row>
    <row r="1396" spans="1:13" ht="75" hidden="1" x14ac:dyDescent="0.25">
      <c r="A1396" s="313">
        <f t="shared" si="21"/>
        <v>1395</v>
      </c>
      <c r="B1396" s="319" t="s">
        <v>2313</v>
      </c>
      <c r="C1396" s="315" t="s">
        <v>428</v>
      </c>
      <c r="D1396" s="315" t="s">
        <v>2314</v>
      </c>
      <c r="E1396" s="318">
        <v>1.7</v>
      </c>
      <c r="F1396" s="313" t="s">
        <v>395</v>
      </c>
      <c r="G1396" s="313" t="s">
        <v>395</v>
      </c>
      <c r="H1396" s="313" t="s">
        <v>395</v>
      </c>
      <c r="I1396" s="318" t="s">
        <v>1499</v>
      </c>
      <c r="J1396" s="320">
        <v>35</v>
      </c>
      <c r="K1396" s="317" t="s">
        <v>410</v>
      </c>
      <c r="L1396" s="317">
        <v>48.516219999999997</v>
      </c>
      <c r="M1396" s="317">
        <v>40.32394</v>
      </c>
    </row>
    <row r="1397" spans="1:13" ht="45" hidden="1" x14ac:dyDescent="0.25">
      <c r="A1397" s="313">
        <f t="shared" si="21"/>
        <v>1396</v>
      </c>
      <c r="B1397" s="319" t="s">
        <v>2317</v>
      </c>
      <c r="C1397" s="315" t="s">
        <v>582</v>
      </c>
      <c r="D1397" s="315" t="s">
        <v>2318</v>
      </c>
      <c r="E1397" s="318">
        <v>3.08</v>
      </c>
      <c r="F1397" s="313" t="s">
        <v>395</v>
      </c>
      <c r="G1397" s="313" t="s">
        <v>395</v>
      </c>
      <c r="H1397" s="313" t="s">
        <v>395</v>
      </c>
      <c r="I1397" s="318" t="s">
        <v>1499</v>
      </c>
      <c r="J1397" s="320">
        <v>104</v>
      </c>
      <c r="K1397" s="317" t="s">
        <v>410</v>
      </c>
      <c r="L1397" s="317">
        <v>48.459470000000003</v>
      </c>
      <c r="M1397" s="317">
        <v>40.946919999999999</v>
      </c>
    </row>
    <row r="1398" spans="1:13" ht="60" hidden="1" x14ac:dyDescent="0.25">
      <c r="A1398" s="313">
        <f t="shared" si="21"/>
        <v>1397</v>
      </c>
      <c r="B1398" s="319" t="s">
        <v>2321</v>
      </c>
      <c r="C1398" s="315" t="s">
        <v>447</v>
      </c>
      <c r="D1398" s="315" t="s">
        <v>2322</v>
      </c>
      <c r="E1398" s="318">
        <v>4.84</v>
      </c>
      <c r="F1398" s="313" t="s">
        <v>395</v>
      </c>
      <c r="G1398" s="313" t="s">
        <v>395</v>
      </c>
      <c r="H1398" s="313" t="s">
        <v>395</v>
      </c>
      <c r="I1398" s="318" t="s">
        <v>1499</v>
      </c>
      <c r="J1398" s="320">
        <v>192</v>
      </c>
      <c r="K1398" s="317" t="s">
        <v>410</v>
      </c>
      <c r="L1398" s="317">
        <v>48.848590000000002</v>
      </c>
      <c r="M1398" s="317">
        <v>41.721809999999998</v>
      </c>
    </row>
    <row r="1399" spans="1:13" ht="60" hidden="1" x14ac:dyDescent="0.25">
      <c r="A1399" s="313">
        <f t="shared" si="21"/>
        <v>1398</v>
      </c>
      <c r="B1399" s="319" t="s">
        <v>2325</v>
      </c>
      <c r="C1399" s="315" t="s">
        <v>447</v>
      </c>
      <c r="D1399" s="315" t="s">
        <v>2326</v>
      </c>
      <c r="E1399" s="318">
        <v>1.1200000000000001</v>
      </c>
      <c r="F1399" s="313" t="s">
        <v>395</v>
      </c>
      <c r="G1399" s="313" t="s">
        <v>395</v>
      </c>
      <c r="H1399" s="313" t="s">
        <v>395</v>
      </c>
      <c r="I1399" s="318" t="s">
        <v>1499</v>
      </c>
      <c r="J1399" s="320">
        <v>6</v>
      </c>
      <c r="K1399" s="317" t="s">
        <v>410</v>
      </c>
      <c r="L1399" s="317">
        <v>48.333280000000002</v>
      </c>
      <c r="M1399" s="317">
        <v>40.26341</v>
      </c>
    </row>
    <row r="1400" spans="1:13" ht="45" hidden="1" x14ac:dyDescent="0.25">
      <c r="A1400" s="313">
        <f t="shared" si="21"/>
        <v>1399</v>
      </c>
      <c r="B1400" s="319" t="s">
        <v>2329</v>
      </c>
      <c r="C1400" s="315" t="s">
        <v>582</v>
      </c>
      <c r="D1400" s="315" t="s">
        <v>2330</v>
      </c>
      <c r="E1400" s="318">
        <v>1.96</v>
      </c>
      <c r="F1400" s="313" t="s">
        <v>395</v>
      </c>
      <c r="G1400" s="313" t="s">
        <v>395</v>
      </c>
      <c r="H1400" s="313" t="s">
        <v>395</v>
      </c>
      <c r="I1400" s="318" t="s">
        <v>1499</v>
      </c>
      <c r="J1400" s="320">
        <v>48</v>
      </c>
      <c r="K1400" s="317" t="s">
        <v>410</v>
      </c>
      <c r="L1400" s="317">
        <v>48.486460000000001</v>
      </c>
      <c r="M1400" s="317">
        <v>40.097439999999999</v>
      </c>
    </row>
    <row r="1401" spans="1:13" ht="45" hidden="1" x14ac:dyDescent="0.25">
      <c r="A1401" s="313">
        <f t="shared" si="21"/>
        <v>1400</v>
      </c>
      <c r="B1401" s="319" t="s">
        <v>2333</v>
      </c>
      <c r="C1401" s="315" t="s">
        <v>412</v>
      </c>
      <c r="D1401" s="315" t="s">
        <v>2334</v>
      </c>
      <c r="E1401" s="318">
        <v>1.96</v>
      </c>
      <c r="F1401" s="313" t="s">
        <v>395</v>
      </c>
      <c r="G1401" s="313" t="s">
        <v>395</v>
      </c>
      <c r="H1401" s="313" t="s">
        <v>395</v>
      </c>
      <c r="I1401" s="318" t="s">
        <v>1499</v>
      </c>
      <c r="J1401" s="320">
        <v>48</v>
      </c>
      <c r="K1401" s="317" t="s">
        <v>410</v>
      </c>
      <c r="L1401" s="317">
        <v>48.200670000000002</v>
      </c>
      <c r="M1401" s="317">
        <v>40.657559999999997</v>
      </c>
    </row>
    <row r="1402" spans="1:13" ht="45" hidden="1" x14ac:dyDescent="0.25">
      <c r="A1402" s="313">
        <f t="shared" si="21"/>
        <v>1401</v>
      </c>
      <c r="B1402" s="319" t="s">
        <v>2337</v>
      </c>
      <c r="C1402" s="315" t="s">
        <v>412</v>
      </c>
      <c r="D1402" s="315" t="s">
        <v>2338</v>
      </c>
      <c r="E1402" s="318">
        <v>1.42</v>
      </c>
      <c r="F1402" s="313" t="s">
        <v>395</v>
      </c>
      <c r="G1402" s="313" t="s">
        <v>395</v>
      </c>
      <c r="H1402" s="313" t="s">
        <v>395</v>
      </c>
      <c r="I1402" s="318" t="s">
        <v>1499</v>
      </c>
      <c r="J1402" s="320">
        <v>21</v>
      </c>
      <c r="K1402" s="317" t="s">
        <v>410</v>
      </c>
      <c r="L1402" s="317">
        <v>48.139569999999999</v>
      </c>
      <c r="M1402" s="317">
        <v>40.261400000000002</v>
      </c>
    </row>
    <row r="1403" spans="1:13" ht="75" hidden="1" x14ac:dyDescent="0.25">
      <c r="A1403" s="313">
        <f t="shared" si="21"/>
        <v>1402</v>
      </c>
      <c r="B1403" s="319" t="s">
        <v>2341</v>
      </c>
      <c r="C1403" s="315" t="s">
        <v>428</v>
      </c>
      <c r="D1403" s="315" t="s">
        <v>2342</v>
      </c>
      <c r="E1403" s="318">
        <v>1.68</v>
      </c>
      <c r="F1403" s="313" t="s">
        <v>395</v>
      </c>
      <c r="G1403" s="313" t="s">
        <v>395</v>
      </c>
      <c r="H1403" s="313" t="s">
        <v>395</v>
      </c>
      <c r="I1403" s="318" t="s">
        <v>1499</v>
      </c>
      <c r="J1403" s="320">
        <v>34</v>
      </c>
      <c r="K1403" s="317" t="s">
        <v>410</v>
      </c>
      <c r="L1403" s="317">
        <v>48.328870000000002</v>
      </c>
      <c r="M1403" s="317">
        <v>39.948680000000003</v>
      </c>
    </row>
    <row r="1404" spans="1:13" ht="45" hidden="1" x14ac:dyDescent="0.25">
      <c r="A1404" s="313">
        <f t="shared" si="21"/>
        <v>1403</v>
      </c>
      <c r="B1404" s="319" t="s">
        <v>2345</v>
      </c>
      <c r="C1404" s="315" t="s">
        <v>412</v>
      </c>
      <c r="D1404" s="315" t="s">
        <v>2346</v>
      </c>
      <c r="E1404" s="318">
        <v>1.54</v>
      </c>
      <c r="F1404" s="313" t="s">
        <v>395</v>
      </c>
      <c r="G1404" s="313" t="s">
        <v>395</v>
      </c>
      <c r="H1404" s="313" t="s">
        <v>395</v>
      </c>
      <c r="I1404" s="318" t="s">
        <v>1499</v>
      </c>
      <c r="J1404" s="320">
        <v>27</v>
      </c>
      <c r="K1404" s="317" t="s">
        <v>410</v>
      </c>
      <c r="L1404" s="317">
        <v>48.146079999999998</v>
      </c>
      <c r="M1404" s="317">
        <v>40.163110000000003</v>
      </c>
    </row>
    <row r="1405" spans="1:13" ht="75" hidden="1" x14ac:dyDescent="0.25">
      <c r="A1405" s="313">
        <f t="shared" si="21"/>
        <v>1404</v>
      </c>
      <c r="B1405" s="319" t="s">
        <v>2349</v>
      </c>
      <c r="C1405" s="315" t="s">
        <v>428</v>
      </c>
      <c r="D1405" s="315" t="s">
        <v>2350</v>
      </c>
      <c r="E1405" s="318">
        <v>1.48</v>
      </c>
      <c r="F1405" s="313" t="s">
        <v>395</v>
      </c>
      <c r="G1405" s="313" t="s">
        <v>395</v>
      </c>
      <c r="H1405" s="313" t="s">
        <v>395</v>
      </c>
      <c r="I1405" s="318" t="s">
        <v>1499</v>
      </c>
      <c r="J1405" s="320">
        <v>24</v>
      </c>
      <c r="K1405" s="317" t="s">
        <v>410</v>
      </c>
      <c r="L1405" s="317">
        <v>48.380540000000003</v>
      </c>
      <c r="M1405" s="317">
        <v>40.079560000000001</v>
      </c>
    </row>
    <row r="1406" spans="1:13" ht="45" hidden="1" x14ac:dyDescent="0.25">
      <c r="A1406" s="313">
        <f t="shared" si="21"/>
        <v>1405</v>
      </c>
      <c r="B1406" s="319" t="s">
        <v>2353</v>
      </c>
      <c r="C1406" s="315" t="s">
        <v>412</v>
      </c>
      <c r="D1406" s="315" t="s">
        <v>2354</v>
      </c>
      <c r="E1406" s="318">
        <v>1.72</v>
      </c>
      <c r="F1406" s="313" t="s">
        <v>395</v>
      </c>
      <c r="G1406" s="313" t="s">
        <v>395</v>
      </c>
      <c r="H1406" s="313" t="s">
        <v>395</v>
      </c>
      <c r="I1406" s="318" t="s">
        <v>1499</v>
      </c>
      <c r="J1406" s="320">
        <v>36</v>
      </c>
      <c r="K1406" s="317" t="s">
        <v>410</v>
      </c>
      <c r="L1406" s="317">
        <v>48.046390000000002</v>
      </c>
      <c r="M1406" s="317">
        <v>40.265700000000002</v>
      </c>
    </row>
    <row r="1407" spans="1:13" ht="45" hidden="1" x14ac:dyDescent="0.25">
      <c r="A1407" s="313">
        <f t="shared" si="21"/>
        <v>1406</v>
      </c>
      <c r="B1407" s="319" t="s">
        <v>2357</v>
      </c>
      <c r="C1407" s="315" t="s">
        <v>412</v>
      </c>
      <c r="D1407" s="315" t="s">
        <v>2358</v>
      </c>
      <c r="E1407" s="318">
        <v>2.7</v>
      </c>
      <c r="F1407" s="313" t="s">
        <v>395</v>
      </c>
      <c r="G1407" s="313" t="s">
        <v>395</v>
      </c>
      <c r="H1407" s="313" t="s">
        <v>395</v>
      </c>
      <c r="I1407" s="318" t="s">
        <v>1499</v>
      </c>
      <c r="J1407" s="320">
        <v>85</v>
      </c>
      <c r="K1407" s="317" t="s">
        <v>410</v>
      </c>
      <c r="L1407" s="317">
        <v>48.93347</v>
      </c>
      <c r="M1407" s="317">
        <v>40.37529</v>
      </c>
    </row>
    <row r="1408" spans="1:13" ht="45" hidden="1" x14ac:dyDescent="0.25">
      <c r="A1408" s="313">
        <f t="shared" si="21"/>
        <v>1407</v>
      </c>
      <c r="B1408" s="319" t="s">
        <v>2361</v>
      </c>
      <c r="C1408" s="315" t="s">
        <v>412</v>
      </c>
      <c r="D1408" s="315" t="s">
        <v>2362</v>
      </c>
      <c r="E1408" s="318">
        <v>3.24</v>
      </c>
      <c r="F1408" s="313" t="s">
        <v>395</v>
      </c>
      <c r="G1408" s="313" t="s">
        <v>395</v>
      </c>
      <c r="H1408" s="313" t="s">
        <v>395</v>
      </c>
      <c r="I1408" s="318" t="s">
        <v>1499</v>
      </c>
      <c r="J1408" s="320">
        <v>112</v>
      </c>
      <c r="K1408" s="317" t="s">
        <v>410</v>
      </c>
      <c r="L1408" s="317">
        <v>48.857500000000002</v>
      </c>
      <c r="M1408" s="317">
        <v>40.91583</v>
      </c>
    </row>
    <row r="1409" spans="1:13" ht="45" hidden="1" x14ac:dyDescent="0.25">
      <c r="A1409" s="313">
        <f t="shared" si="21"/>
        <v>1408</v>
      </c>
      <c r="B1409" s="319" t="s">
        <v>2365</v>
      </c>
      <c r="C1409" s="315" t="s">
        <v>412</v>
      </c>
      <c r="D1409" s="315" t="s">
        <v>2366</v>
      </c>
      <c r="E1409" s="318">
        <v>2.16</v>
      </c>
      <c r="F1409" s="313" t="s">
        <v>395</v>
      </c>
      <c r="G1409" s="313" t="s">
        <v>395</v>
      </c>
      <c r="H1409" s="313" t="s">
        <v>395</v>
      </c>
      <c r="I1409" s="318" t="s">
        <v>1499</v>
      </c>
      <c r="J1409" s="320">
        <v>58</v>
      </c>
      <c r="K1409" s="317" t="s">
        <v>410</v>
      </c>
      <c r="L1409" s="317">
        <v>48.02393</v>
      </c>
      <c r="M1409" s="317">
        <v>39.866219999999998</v>
      </c>
    </row>
    <row r="1410" spans="1:13" ht="45" hidden="1" x14ac:dyDescent="0.25">
      <c r="A1410" s="313">
        <f t="shared" si="21"/>
        <v>1409</v>
      </c>
      <c r="B1410" s="319" t="s">
        <v>2369</v>
      </c>
      <c r="C1410" s="315" t="s">
        <v>412</v>
      </c>
      <c r="D1410" s="315" t="s">
        <v>2370</v>
      </c>
      <c r="E1410" s="318">
        <v>1.04</v>
      </c>
      <c r="F1410" s="313" t="s">
        <v>395</v>
      </c>
      <c r="G1410" s="313" t="s">
        <v>395</v>
      </c>
      <c r="H1410" s="313" t="s">
        <v>395</v>
      </c>
      <c r="I1410" s="318" t="s">
        <v>1499</v>
      </c>
      <c r="J1410" s="320">
        <v>2</v>
      </c>
      <c r="K1410" s="317" t="s">
        <v>410</v>
      </c>
      <c r="L1410" s="317">
        <v>48.300240000000002</v>
      </c>
      <c r="M1410" s="317">
        <v>40.303280000000001</v>
      </c>
    </row>
    <row r="1411" spans="1:13" ht="75" hidden="1" x14ac:dyDescent="0.25">
      <c r="A1411" s="313">
        <f t="shared" si="21"/>
        <v>1410</v>
      </c>
      <c r="B1411" s="319" t="s">
        <v>2373</v>
      </c>
      <c r="C1411" s="315" t="s">
        <v>428</v>
      </c>
      <c r="D1411" s="315" t="s">
        <v>2374</v>
      </c>
      <c r="E1411" s="318">
        <v>1.1200000000000001</v>
      </c>
      <c r="F1411" s="313" t="s">
        <v>395</v>
      </c>
      <c r="G1411" s="313" t="s">
        <v>395</v>
      </c>
      <c r="H1411" s="313" t="s">
        <v>395</v>
      </c>
      <c r="I1411" s="318" t="s">
        <v>1499</v>
      </c>
      <c r="J1411" s="320">
        <v>6</v>
      </c>
      <c r="K1411" s="317" t="s">
        <v>410</v>
      </c>
      <c r="L1411" s="317">
        <v>48.29927</v>
      </c>
      <c r="M1411" s="317">
        <v>40.243580000000001</v>
      </c>
    </row>
    <row r="1412" spans="1:13" ht="75" hidden="1" x14ac:dyDescent="0.25">
      <c r="A1412" s="313">
        <f t="shared" ref="A1412:A1475" si="22">A1411+1</f>
        <v>1411</v>
      </c>
      <c r="B1412" s="319" t="s">
        <v>2377</v>
      </c>
      <c r="C1412" s="315" t="s">
        <v>428</v>
      </c>
      <c r="D1412" s="315" t="s">
        <v>2378</v>
      </c>
      <c r="E1412" s="318">
        <v>1.46</v>
      </c>
      <c r="F1412" s="313" t="s">
        <v>395</v>
      </c>
      <c r="G1412" s="313" t="s">
        <v>395</v>
      </c>
      <c r="H1412" s="313" t="s">
        <v>395</v>
      </c>
      <c r="I1412" s="318" t="s">
        <v>1499</v>
      </c>
      <c r="J1412" s="320">
        <v>23</v>
      </c>
      <c r="K1412" s="317" t="s">
        <v>410</v>
      </c>
      <c r="L1412" s="317">
        <v>48.158059999999999</v>
      </c>
      <c r="M1412" s="317">
        <v>40.204999999999998</v>
      </c>
    </row>
    <row r="1413" spans="1:13" ht="45" hidden="1" x14ac:dyDescent="0.25">
      <c r="A1413" s="313">
        <f t="shared" si="22"/>
        <v>1412</v>
      </c>
      <c r="B1413" s="319" t="s">
        <v>2381</v>
      </c>
      <c r="C1413" s="315" t="s">
        <v>412</v>
      </c>
      <c r="D1413" s="315" t="s">
        <v>2382</v>
      </c>
      <c r="E1413" s="318">
        <v>1.82</v>
      </c>
      <c r="F1413" s="313" t="s">
        <v>395</v>
      </c>
      <c r="G1413" s="313" t="s">
        <v>395</v>
      </c>
      <c r="H1413" s="313" t="s">
        <v>395</v>
      </c>
      <c r="I1413" s="318" t="s">
        <v>1499</v>
      </c>
      <c r="J1413" s="320">
        <v>41</v>
      </c>
      <c r="K1413" s="317" t="s">
        <v>410</v>
      </c>
      <c r="L1413" s="317">
        <v>48.042490000000001</v>
      </c>
      <c r="M1413" s="317">
        <v>40.131270000000001</v>
      </c>
    </row>
    <row r="1414" spans="1:13" ht="45" hidden="1" x14ac:dyDescent="0.25">
      <c r="A1414" s="313">
        <f t="shared" si="22"/>
        <v>1413</v>
      </c>
      <c r="B1414" s="319" t="s">
        <v>2385</v>
      </c>
      <c r="C1414" s="315" t="s">
        <v>412</v>
      </c>
      <c r="D1414" s="315" t="s">
        <v>2386</v>
      </c>
      <c r="E1414" s="318">
        <v>2.46</v>
      </c>
      <c r="F1414" s="313" t="s">
        <v>395</v>
      </c>
      <c r="G1414" s="313" t="s">
        <v>395</v>
      </c>
      <c r="H1414" s="313" t="s">
        <v>395</v>
      </c>
      <c r="I1414" s="318" t="s">
        <v>1499</v>
      </c>
      <c r="J1414" s="320">
        <v>73</v>
      </c>
      <c r="K1414" s="317" t="s">
        <v>410</v>
      </c>
      <c r="L1414" s="317">
        <v>48.839790000000001</v>
      </c>
      <c r="M1414" s="317">
        <v>40.370950000000001</v>
      </c>
    </row>
    <row r="1415" spans="1:13" ht="45" hidden="1" x14ac:dyDescent="0.25">
      <c r="A1415" s="313">
        <f t="shared" si="22"/>
        <v>1414</v>
      </c>
      <c r="B1415" s="319" t="s">
        <v>2389</v>
      </c>
      <c r="C1415" s="315" t="s">
        <v>412</v>
      </c>
      <c r="D1415" s="315" t="s">
        <v>2390</v>
      </c>
      <c r="E1415" s="318">
        <v>2.6</v>
      </c>
      <c r="F1415" s="313" t="s">
        <v>395</v>
      </c>
      <c r="G1415" s="313" t="s">
        <v>395</v>
      </c>
      <c r="H1415" s="313" t="s">
        <v>395</v>
      </c>
      <c r="I1415" s="318" t="s">
        <v>1499</v>
      </c>
      <c r="J1415" s="320">
        <v>80</v>
      </c>
      <c r="K1415" s="317" t="s">
        <v>410</v>
      </c>
      <c r="L1415" s="317">
        <v>48.91234</v>
      </c>
      <c r="M1415" s="317">
        <v>40.4086</v>
      </c>
    </row>
    <row r="1416" spans="1:13" ht="45" hidden="1" x14ac:dyDescent="0.25">
      <c r="A1416" s="313">
        <f t="shared" si="22"/>
        <v>1415</v>
      </c>
      <c r="B1416" s="319" t="s">
        <v>2393</v>
      </c>
      <c r="C1416" s="315" t="s">
        <v>412</v>
      </c>
      <c r="D1416" s="315" t="s">
        <v>2394</v>
      </c>
      <c r="E1416" s="318">
        <v>1.92</v>
      </c>
      <c r="F1416" s="313" t="s">
        <v>395</v>
      </c>
      <c r="G1416" s="313" t="s">
        <v>395</v>
      </c>
      <c r="H1416" s="313" t="s">
        <v>395</v>
      </c>
      <c r="I1416" s="318" t="s">
        <v>1499</v>
      </c>
      <c r="J1416" s="320">
        <v>46</v>
      </c>
      <c r="K1416" s="317" t="s">
        <v>410</v>
      </c>
      <c r="L1416" s="317">
        <v>48.63579</v>
      </c>
      <c r="M1416" s="317">
        <v>40.318930000000002</v>
      </c>
    </row>
    <row r="1417" spans="1:13" ht="60" hidden="1" x14ac:dyDescent="0.25">
      <c r="A1417" s="313">
        <f t="shared" si="22"/>
        <v>1416</v>
      </c>
      <c r="B1417" s="319" t="s">
        <v>2397</v>
      </c>
      <c r="C1417" s="315" t="s">
        <v>447</v>
      </c>
      <c r="D1417" s="315" t="s">
        <v>2398</v>
      </c>
      <c r="E1417" s="318">
        <v>2.98</v>
      </c>
      <c r="F1417" s="313" t="s">
        <v>395</v>
      </c>
      <c r="G1417" s="313" t="s">
        <v>395</v>
      </c>
      <c r="H1417" s="313" t="s">
        <v>395</v>
      </c>
      <c r="I1417" s="318" t="s">
        <v>1499</v>
      </c>
      <c r="J1417" s="320">
        <v>99</v>
      </c>
      <c r="K1417" s="317" t="s">
        <v>410</v>
      </c>
      <c r="L1417" s="317">
        <v>49.060470000000002</v>
      </c>
      <c r="M1417" s="317">
        <v>40.524389999999997</v>
      </c>
    </row>
    <row r="1418" spans="1:13" ht="75" hidden="1" x14ac:dyDescent="0.25">
      <c r="A1418" s="313">
        <f t="shared" si="22"/>
        <v>1417</v>
      </c>
      <c r="B1418" s="319" t="s">
        <v>2401</v>
      </c>
      <c r="C1418" s="315" t="s">
        <v>428</v>
      </c>
      <c r="D1418" s="315" t="s">
        <v>2402</v>
      </c>
      <c r="E1418" s="318">
        <v>5.6</v>
      </c>
      <c r="F1418" s="313" t="s">
        <v>395</v>
      </c>
      <c r="G1418" s="313" t="s">
        <v>395</v>
      </c>
      <c r="H1418" s="313" t="s">
        <v>395</v>
      </c>
      <c r="I1418" s="318" t="s">
        <v>1499</v>
      </c>
      <c r="J1418" s="320">
        <v>230</v>
      </c>
      <c r="K1418" s="317" t="s">
        <v>410</v>
      </c>
      <c r="L1418" s="317">
        <v>49.798609999999996</v>
      </c>
      <c r="M1418" s="317">
        <v>41.14472</v>
      </c>
    </row>
    <row r="1419" spans="1:13" ht="75" hidden="1" x14ac:dyDescent="0.25">
      <c r="A1419" s="313">
        <f t="shared" si="22"/>
        <v>1418</v>
      </c>
      <c r="B1419" s="319" t="s">
        <v>2405</v>
      </c>
      <c r="C1419" s="315" t="s">
        <v>428</v>
      </c>
      <c r="D1419" s="315" t="s">
        <v>2406</v>
      </c>
      <c r="E1419" s="318">
        <v>1.52</v>
      </c>
      <c r="F1419" s="313" t="s">
        <v>395</v>
      </c>
      <c r="G1419" s="313" t="s">
        <v>395</v>
      </c>
      <c r="H1419" s="313" t="s">
        <v>395</v>
      </c>
      <c r="I1419" s="318" t="s">
        <v>1499</v>
      </c>
      <c r="J1419" s="320">
        <v>26</v>
      </c>
      <c r="K1419" s="317" t="s">
        <v>410</v>
      </c>
      <c r="L1419" s="317">
        <v>48.15222</v>
      </c>
      <c r="M1419" s="317">
        <v>40.193060000000003</v>
      </c>
    </row>
    <row r="1420" spans="1:13" ht="75" hidden="1" x14ac:dyDescent="0.25">
      <c r="A1420" s="313">
        <f t="shared" si="22"/>
        <v>1419</v>
      </c>
      <c r="B1420" s="319" t="s">
        <v>2409</v>
      </c>
      <c r="C1420" s="315" t="s">
        <v>428</v>
      </c>
      <c r="D1420" s="315" t="s">
        <v>2410</v>
      </c>
      <c r="E1420" s="318">
        <v>1.72</v>
      </c>
      <c r="F1420" s="313" t="s">
        <v>395</v>
      </c>
      <c r="G1420" s="313" t="s">
        <v>395</v>
      </c>
      <c r="H1420" s="313" t="s">
        <v>395</v>
      </c>
      <c r="I1420" s="318" t="s">
        <v>1499</v>
      </c>
      <c r="J1420" s="320">
        <v>36</v>
      </c>
      <c r="K1420" s="317" t="s">
        <v>410</v>
      </c>
      <c r="L1420" s="317">
        <v>48.532780000000002</v>
      </c>
      <c r="M1420" s="317">
        <v>40.325560000000003</v>
      </c>
    </row>
    <row r="1421" spans="1:13" ht="75" hidden="1" x14ac:dyDescent="0.25">
      <c r="A1421" s="313">
        <f t="shared" si="22"/>
        <v>1420</v>
      </c>
      <c r="B1421" s="319" t="s">
        <v>2413</v>
      </c>
      <c r="C1421" s="315" t="s">
        <v>428</v>
      </c>
      <c r="D1421" s="315" t="s">
        <v>2414</v>
      </c>
      <c r="E1421" s="318">
        <v>3.56</v>
      </c>
      <c r="F1421" s="313" t="s">
        <v>395</v>
      </c>
      <c r="G1421" s="313" t="s">
        <v>395</v>
      </c>
      <c r="H1421" s="313" t="s">
        <v>395</v>
      </c>
      <c r="I1421" s="318" t="s">
        <v>1499</v>
      </c>
      <c r="J1421" s="320">
        <v>128</v>
      </c>
      <c r="K1421" s="317" t="s">
        <v>410</v>
      </c>
      <c r="L1421" s="317">
        <v>49.04</v>
      </c>
      <c r="M1421" s="317">
        <v>41.003329999999998</v>
      </c>
    </row>
    <row r="1422" spans="1:13" ht="60" hidden="1" x14ac:dyDescent="0.25">
      <c r="A1422" s="313">
        <f t="shared" si="22"/>
        <v>1421</v>
      </c>
      <c r="B1422" s="319" t="s">
        <v>2417</v>
      </c>
      <c r="C1422" s="315" t="s">
        <v>677</v>
      </c>
      <c r="D1422" s="315" t="s">
        <v>2418</v>
      </c>
      <c r="E1422" s="318">
        <v>2.7</v>
      </c>
      <c r="F1422" s="313" t="s">
        <v>395</v>
      </c>
      <c r="G1422" s="313" t="s">
        <v>395</v>
      </c>
      <c r="H1422" s="313" t="s">
        <v>395</v>
      </c>
      <c r="I1422" s="318" t="s">
        <v>1499</v>
      </c>
      <c r="J1422" s="320">
        <v>85</v>
      </c>
      <c r="K1422" s="317" t="s">
        <v>410</v>
      </c>
      <c r="L1422" s="317">
        <v>48.921669999999999</v>
      </c>
      <c r="M1422" s="317">
        <v>40.396389999999997</v>
      </c>
    </row>
    <row r="1423" spans="1:13" ht="75" hidden="1" x14ac:dyDescent="0.25">
      <c r="A1423" s="313">
        <f t="shared" si="22"/>
        <v>1422</v>
      </c>
      <c r="B1423" s="319" t="s">
        <v>2421</v>
      </c>
      <c r="C1423" s="315" t="s">
        <v>428</v>
      </c>
      <c r="D1423" s="315" t="s">
        <v>2422</v>
      </c>
      <c r="E1423" s="318">
        <v>4.22</v>
      </c>
      <c r="F1423" s="313" t="s">
        <v>395</v>
      </c>
      <c r="G1423" s="313" t="s">
        <v>395</v>
      </c>
      <c r="H1423" s="313" t="s">
        <v>395</v>
      </c>
      <c r="I1423" s="318" t="s">
        <v>1499</v>
      </c>
      <c r="J1423" s="320">
        <v>161</v>
      </c>
      <c r="K1423" s="317" t="s">
        <v>410</v>
      </c>
      <c r="L1423" s="317">
        <v>48.626669999999997</v>
      </c>
      <c r="M1423" s="317">
        <v>41.674169999999997</v>
      </c>
    </row>
    <row r="1424" spans="1:13" ht="75" hidden="1" x14ac:dyDescent="0.25">
      <c r="A1424" s="313">
        <f t="shared" si="22"/>
        <v>1423</v>
      </c>
      <c r="B1424" s="319" t="s">
        <v>2425</v>
      </c>
      <c r="C1424" s="315" t="s">
        <v>428</v>
      </c>
      <c r="D1424" s="315" t="s">
        <v>2426</v>
      </c>
      <c r="E1424" s="318">
        <v>6</v>
      </c>
      <c r="F1424" s="313" t="s">
        <v>395</v>
      </c>
      <c r="G1424" s="313" t="s">
        <v>395</v>
      </c>
      <c r="H1424" s="313" t="s">
        <v>395</v>
      </c>
      <c r="I1424" s="318" t="s">
        <v>1499</v>
      </c>
      <c r="J1424" s="320">
        <v>250</v>
      </c>
      <c r="K1424" s="317" t="s">
        <v>410</v>
      </c>
      <c r="L1424" s="317">
        <v>49.00806</v>
      </c>
      <c r="M1424" s="317">
        <v>42.117220000000003</v>
      </c>
    </row>
    <row r="1425" spans="1:13" ht="60" hidden="1" x14ac:dyDescent="0.25">
      <c r="A1425" s="313">
        <f t="shared" si="22"/>
        <v>1424</v>
      </c>
      <c r="B1425" s="319" t="s">
        <v>2429</v>
      </c>
      <c r="C1425" s="315" t="s">
        <v>677</v>
      </c>
      <c r="D1425" s="315" t="s">
        <v>2430</v>
      </c>
      <c r="E1425" s="318">
        <v>2.1800000000000002</v>
      </c>
      <c r="F1425" s="313" t="s">
        <v>395</v>
      </c>
      <c r="G1425" s="313" t="s">
        <v>395</v>
      </c>
      <c r="H1425" s="313" t="s">
        <v>395</v>
      </c>
      <c r="I1425" s="318" t="s">
        <v>1499</v>
      </c>
      <c r="J1425" s="320">
        <v>59</v>
      </c>
      <c r="K1425" s="317" t="s">
        <v>410</v>
      </c>
      <c r="L1425" s="317">
        <v>48.72889</v>
      </c>
      <c r="M1425" s="317">
        <v>40.35389</v>
      </c>
    </row>
    <row r="1426" spans="1:13" ht="75" hidden="1" x14ac:dyDescent="0.25">
      <c r="A1426" s="313">
        <f t="shared" si="22"/>
        <v>1425</v>
      </c>
      <c r="B1426" s="319" t="s">
        <v>2433</v>
      </c>
      <c r="C1426" s="315" t="s">
        <v>428</v>
      </c>
      <c r="D1426" s="315" t="s">
        <v>2434</v>
      </c>
      <c r="E1426" s="318">
        <v>3.02</v>
      </c>
      <c r="F1426" s="313" t="s">
        <v>395</v>
      </c>
      <c r="G1426" s="313" t="s">
        <v>395</v>
      </c>
      <c r="H1426" s="313" t="s">
        <v>395</v>
      </c>
      <c r="I1426" s="318" t="s">
        <v>1499</v>
      </c>
      <c r="J1426" s="320">
        <v>101</v>
      </c>
      <c r="K1426" s="317" t="s">
        <v>410</v>
      </c>
      <c r="L1426" s="317">
        <v>48.193890000000003</v>
      </c>
      <c r="M1426" s="317">
        <v>41.281109999999998</v>
      </c>
    </row>
    <row r="1427" spans="1:13" ht="75" hidden="1" x14ac:dyDescent="0.25">
      <c r="A1427" s="313">
        <f t="shared" si="22"/>
        <v>1426</v>
      </c>
      <c r="B1427" s="319" t="s">
        <v>2437</v>
      </c>
      <c r="C1427" s="315" t="s">
        <v>428</v>
      </c>
      <c r="D1427" s="315" t="s">
        <v>2438</v>
      </c>
      <c r="E1427" s="318">
        <v>4.4800000000000004</v>
      </c>
      <c r="F1427" s="313" t="s">
        <v>395</v>
      </c>
      <c r="G1427" s="313" t="s">
        <v>395</v>
      </c>
      <c r="H1427" s="313" t="s">
        <v>395</v>
      </c>
      <c r="I1427" s="318" t="s">
        <v>1499</v>
      </c>
      <c r="J1427" s="320">
        <v>174</v>
      </c>
      <c r="K1427" s="317" t="s">
        <v>410</v>
      </c>
      <c r="L1427" s="317">
        <v>49.385829999999999</v>
      </c>
      <c r="M1427" s="317">
        <v>40.159170000000003</v>
      </c>
    </row>
    <row r="1428" spans="1:13" ht="45" hidden="1" x14ac:dyDescent="0.25">
      <c r="A1428" s="313">
        <f t="shared" si="22"/>
        <v>1427</v>
      </c>
      <c r="B1428" s="319" t="s">
        <v>2441</v>
      </c>
      <c r="C1428" s="315" t="s">
        <v>582</v>
      </c>
      <c r="D1428" s="315" t="s">
        <v>2442</v>
      </c>
      <c r="E1428" s="318">
        <v>3.5</v>
      </c>
      <c r="F1428" s="313" t="s">
        <v>395</v>
      </c>
      <c r="G1428" s="313" t="s">
        <v>395</v>
      </c>
      <c r="H1428" s="313" t="s">
        <v>395</v>
      </c>
      <c r="I1428" s="318" t="s">
        <v>1499</v>
      </c>
      <c r="J1428" s="320">
        <v>125</v>
      </c>
      <c r="K1428" s="317" t="s">
        <v>410</v>
      </c>
      <c r="L1428" s="317">
        <v>48.919800000000002</v>
      </c>
      <c r="M1428" s="317">
        <v>39.819429999999997</v>
      </c>
    </row>
    <row r="1429" spans="1:13" ht="45" hidden="1" x14ac:dyDescent="0.25">
      <c r="A1429" s="313">
        <f t="shared" si="22"/>
        <v>1428</v>
      </c>
      <c r="B1429" s="319" t="s">
        <v>2445</v>
      </c>
      <c r="C1429" s="315" t="s">
        <v>412</v>
      </c>
      <c r="D1429" s="315" t="s">
        <v>2446</v>
      </c>
      <c r="E1429" s="318">
        <v>4.0999999999999996</v>
      </c>
      <c r="F1429" s="313" t="s">
        <v>395</v>
      </c>
      <c r="G1429" s="313" t="s">
        <v>395</v>
      </c>
      <c r="H1429" s="313" t="s">
        <v>395</v>
      </c>
      <c r="I1429" s="318" t="s">
        <v>1499</v>
      </c>
      <c r="J1429" s="320">
        <v>155</v>
      </c>
      <c r="K1429" s="317" t="s">
        <v>410</v>
      </c>
      <c r="L1429" s="317">
        <v>49.017499999999998</v>
      </c>
      <c r="M1429" s="317">
        <v>41.298609999999996</v>
      </c>
    </row>
    <row r="1430" spans="1:13" ht="60" hidden="1" x14ac:dyDescent="0.25">
      <c r="A1430" s="313">
        <f t="shared" si="22"/>
        <v>1429</v>
      </c>
      <c r="B1430" s="319" t="s">
        <v>2449</v>
      </c>
      <c r="C1430" s="315" t="s">
        <v>677</v>
      </c>
      <c r="D1430" s="315" t="s">
        <v>2450</v>
      </c>
      <c r="E1430" s="318">
        <v>3.6</v>
      </c>
      <c r="F1430" s="313" t="s">
        <v>395</v>
      </c>
      <c r="G1430" s="313" t="s">
        <v>395</v>
      </c>
      <c r="H1430" s="313" t="s">
        <v>395</v>
      </c>
      <c r="I1430" s="318" t="s">
        <v>1499</v>
      </c>
      <c r="J1430" s="320">
        <v>130</v>
      </c>
      <c r="K1430" s="317" t="s">
        <v>410</v>
      </c>
      <c r="L1430" s="317">
        <v>48.393479999999997</v>
      </c>
      <c r="M1430" s="317">
        <v>41.468789999999998</v>
      </c>
    </row>
    <row r="1431" spans="1:13" ht="75" hidden="1" x14ac:dyDescent="0.25">
      <c r="A1431" s="313">
        <f t="shared" si="22"/>
        <v>1430</v>
      </c>
      <c r="B1431" s="319" t="s">
        <v>2453</v>
      </c>
      <c r="C1431" s="315" t="s">
        <v>428</v>
      </c>
      <c r="D1431" s="315" t="s">
        <v>2454</v>
      </c>
      <c r="E1431" s="318">
        <v>1.76</v>
      </c>
      <c r="F1431" s="313" t="s">
        <v>395</v>
      </c>
      <c r="G1431" s="313" t="s">
        <v>395</v>
      </c>
      <c r="H1431" s="313" t="s">
        <v>395</v>
      </c>
      <c r="I1431" s="318" t="s">
        <v>1499</v>
      </c>
      <c r="J1431" s="320">
        <v>38</v>
      </c>
      <c r="K1431" s="317" t="s">
        <v>410</v>
      </c>
      <c r="L1431" s="317">
        <v>48.340510000000002</v>
      </c>
      <c r="M1431" s="317">
        <v>39.952770000000001</v>
      </c>
    </row>
    <row r="1432" spans="1:13" ht="45" hidden="1" x14ac:dyDescent="0.25">
      <c r="A1432" s="313">
        <f t="shared" si="22"/>
        <v>1431</v>
      </c>
      <c r="B1432" s="319" t="s">
        <v>2457</v>
      </c>
      <c r="C1432" s="315" t="s">
        <v>412</v>
      </c>
      <c r="D1432" s="315" t="s">
        <v>2458</v>
      </c>
      <c r="E1432" s="318">
        <v>2.16</v>
      </c>
      <c r="F1432" s="313" t="s">
        <v>395</v>
      </c>
      <c r="G1432" s="313" t="s">
        <v>395</v>
      </c>
      <c r="H1432" s="313" t="s">
        <v>395</v>
      </c>
      <c r="I1432" s="318" t="s">
        <v>1499</v>
      </c>
      <c r="J1432" s="320">
        <v>58</v>
      </c>
      <c r="K1432" s="317" t="s">
        <v>410</v>
      </c>
      <c r="L1432" s="317">
        <v>48.177399999999999</v>
      </c>
      <c r="M1432" s="317">
        <v>40.785299999999999</v>
      </c>
    </row>
    <row r="1433" spans="1:13" ht="30" hidden="1" x14ac:dyDescent="0.25">
      <c r="A1433" s="313">
        <f t="shared" si="22"/>
        <v>1432</v>
      </c>
      <c r="B1433" s="319" t="s">
        <v>2461</v>
      </c>
      <c r="C1433" s="315" t="s">
        <v>399</v>
      </c>
      <c r="D1433" s="315" t="s">
        <v>2462</v>
      </c>
      <c r="E1433" s="318">
        <v>2.2000000000000002</v>
      </c>
      <c r="F1433" s="313" t="s">
        <v>395</v>
      </c>
      <c r="G1433" s="313" t="s">
        <v>395</v>
      </c>
      <c r="H1433" s="313" t="s">
        <v>395</v>
      </c>
      <c r="I1433" s="318" t="s">
        <v>1499</v>
      </c>
      <c r="J1433" s="320">
        <v>60</v>
      </c>
      <c r="K1433" s="317" t="s">
        <v>410</v>
      </c>
      <c r="L1433" s="317">
        <v>48.177419999999998</v>
      </c>
      <c r="M1433" s="317">
        <v>40.813220000000001</v>
      </c>
    </row>
    <row r="1434" spans="1:13" ht="75" hidden="1" x14ac:dyDescent="0.25">
      <c r="A1434" s="313">
        <f t="shared" si="22"/>
        <v>1433</v>
      </c>
      <c r="B1434" s="319" t="s">
        <v>2465</v>
      </c>
      <c r="C1434" s="315" t="s">
        <v>428</v>
      </c>
      <c r="D1434" s="315" t="s">
        <v>2466</v>
      </c>
      <c r="E1434" s="318">
        <v>2.1800000000000002</v>
      </c>
      <c r="F1434" s="313" t="s">
        <v>395</v>
      </c>
      <c r="G1434" s="313" t="s">
        <v>395</v>
      </c>
      <c r="H1434" s="313" t="s">
        <v>395</v>
      </c>
      <c r="I1434" s="318" t="s">
        <v>1499</v>
      </c>
      <c r="J1434" s="320">
        <v>59</v>
      </c>
      <c r="K1434" s="317" t="s">
        <v>410</v>
      </c>
      <c r="L1434" s="317">
        <v>48.17651</v>
      </c>
      <c r="M1434" s="317">
        <v>40.80106</v>
      </c>
    </row>
    <row r="1435" spans="1:13" ht="75" hidden="1" x14ac:dyDescent="0.25">
      <c r="A1435" s="313">
        <f t="shared" si="22"/>
        <v>1434</v>
      </c>
      <c r="B1435" s="319" t="s">
        <v>2469</v>
      </c>
      <c r="C1435" s="315" t="s">
        <v>428</v>
      </c>
      <c r="D1435" s="315" t="s">
        <v>2470</v>
      </c>
      <c r="E1435" s="318">
        <v>2.16</v>
      </c>
      <c r="F1435" s="313" t="s">
        <v>395</v>
      </c>
      <c r="G1435" s="313" t="s">
        <v>395</v>
      </c>
      <c r="H1435" s="313" t="s">
        <v>395</v>
      </c>
      <c r="I1435" s="318" t="s">
        <v>1499</v>
      </c>
      <c r="J1435" s="320">
        <v>58</v>
      </c>
      <c r="K1435" s="317" t="s">
        <v>410</v>
      </c>
      <c r="L1435" s="317">
        <v>48.17004</v>
      </c>
      <c r="M1435" s="317">
        <v>40.791960000000003</v>
      </c>
    </row>
    <row r="1436" spans="1:13" ht="45" hidden="1" x14ac:dyDescent="0.25">
      <c r="A1436" s="313">
        <f t="shared" si="22"/>
        <v>1435</v>
      </c>
      <c r="B1436" s="319" t="s">
        <v>2473</v>
      </c>
      <c r="C1436" s="315" t="s">
        <v>412</v>
      </c>
      <c r="D1436" s="315" t="s">
        <v>2474</v>
      </c>
      <c r="E1436" s="318">
        <v>2.64</v>
      </c>
      <c r="F1436" s="313" t="s">
        <v>395</v>
      </c>
      <c r="G1436" s="313" t="s">
        <v>395</v>
      </c>
      <c r="H1436" s="313" t="s">
        <v>395</v>
      </c>
      <c r="I1436" s="318" t="s">
        <v>1499</v>
      </c>
      <c r="J1436" s="320">
        <v>82</v>
      </c>
      <c r="K1436" s="317" t="s">
        <v>410</v>
      </c>
      <c r="L1436" s="317">
        <v>48.919029999999999</v>
      </c>
      <c r="M1436" s="317">
        <v>40.388750000000002</v>
      </c>
    </row>
    <row r="1437" spans="1:13" ht="45" hidden="1" x14ac:dyDescent="0.25">
      <c r="A1437" s="313">
        <f t="shared" si="22"/>
        <v>1436</v>
      </c>
      <c r="B1437" s="319" t="s">
        <v>2477</v>
      </c>
      <c r="C1437" s="315" t="s">
        <v>412</v>
      </c>
      <c r="D1437" s="315" t="s">
        <v>2478</v>
      </c>
      <c r="E1437" s="318">
        <v>2.64</v>
      </c>
      <c r="F1437" s="313" t="s">
        <v>395</v>
      </c>
      <c r="G1437" s="313" t="s">
        <v>395</v>
      </c>
      <c r="H1437" s="313" t="s">
        <v>395</v>
      </c>
      <c r="I1437" s="318" t="s">
        <v>1499</v>
      </c>
      <c r="J1437" s="320">
        <v>82</v>
      </c>
      <c r="K1437" s="317" t="s">
        <v>410</v>
      </c>
      <c r="L1437" s="317">
        <v>48.924810000000001</v>
      </c>
      <c r="M1437" s="317">
        <v>40.401249999999997</v>
      </c>
    </row>
    <row r="1438" spans="1:13" ht="45" hidden="1" x14ac:dyDescent="0.25">
      <c r="A1438" s="313">
        <f t="shared" si="22"/>
        <v>1437</v>
      </c>
      <c r="B1438" s="319" t="s">
        <v>2481</v>
      </c>
      <c r="C1438" s="315" t="s">
        <v>412</v>
      </c>
      <c r="D1438" s="315" t="s">
        <v>2482</v>
      </c>
      <c r="E1438" s="318">
        <v>1.88</v>
      </c>
      <c r="F1438" s="313" t="s">
        <v>395</v>
      </c>
      <c r="G1438" s="313" t="s">
        <v>395</v>
      </c>
      <c r="H1438" s="313" t="s">
        <v>395</v>
      </c>
      <c r="I1438" s="318" t="s">
        <v>1499</v>
      </c>
      <c r="J1438" s="320">
        <v>44</v>
      </c>
      <c r="K1438" s="317" t="s">
        <v>410</v>
      </c>
      <c r="L1438" s="317">
        <v>48.027389999999997</v>
      </c>
      <c r="M1438" s="317">
        <v>40.122190000000003</v>
      </c>
    </row>
    <row r="1439" spans="1:13" ht="75" hidden="1" x14ac:dyDescent="0.25">
      <c r="A1439" s="313">
        <f t="shared" si="22"/>
        <v>1438</v>
      </c>
      <c r="B1439" s="319" t="s">
        <v>2485</v>
      </c>
      <c r="C1439" s="315" t="s">
        <v>428</v>
      </c>
      <c r="D1439" s="315" t="s">
        <v>2486</v>
      </c>
      <c r="E1439" s="318">
        <v>2.08</v>
      </c>
      <c r="F1439" s="313" t="s">
        <v>395</v>
      </c>
      <c r="G1439" s="313" t="s">
        <v>395</v>
      </c>
      <c r="H1439" s="313" t="s">
        <v>395</v>
      </c>
      <c r="I1439" s="318" t="s">
        <v>1499</v>
      </c>
      <c r="J1439" s="320">
        <v>54</v>
      </c>
      <c r="K1439" s="317" t="s">
        <v>410</v>
      </c>
      <c r="L1439" s="317">
        <v>48.197000000000003</v>
      </c>
      <c r="M1439" s="317">
        <v>40.77214</v>
      </c>
    </row>
    <row r="1440" spans="1:13" ht="60" hidden="1" x14ac:dyDescent="0.25">
      <c r="A1440" s="313">
        <f t="shared" si="22"/>
        <v>1439</v>
      </c>
      <c r="B1440" s="319" t="s">
        <v>2489</v>
      </c>
      <c r="C1440" s="315" t="s">
        <v>452</v>
      </c>
      <c r="D1440" s="315" t="s">
        <v>2490</v>
      </c>
      <c r="E1440" s="318">
        <v>4.2</v>
      </c>
      <c r="F1440" s="313" t="s">
        <v>395</v>
      </c>
      <c r="G1440" s="313" t="s">
        <v>395</v>
      </c>
      <c r="H1440" s="313" t="s">
        <v>395</v>
      </c>
      <c r="I1440" s="318" t="s">
        <v>1499</v>
      </c>
      <c r="J1440" s="320">
        <v>160</v>
      </c>
      <c r="K1440" s="317" t="s">
        <v>410</v>
      </c>
      <c r="L1440" s="317">
        <v>49.146369999999997</v>
      </c>
      <c r="M1440" s="317">
        <v>41.372810000000001</v>
      </c>
    </row>
    <row r="1441" spans="1:13" ht="75" hidden="1" x14ac:dyDescent="0.25">
      <c r="A1441" s="313">
        <f t="shared" si="22"/>
        <v>1440</v>
      </c>
      <c r="B1441" s="319" t="s">
        <v>2493</v>
      </c>
      <c r="C1441" s="315" t="s">
        <v>428</v>
      </c>
      <c r="D1441" s="315" t="s">
        <v>2494</v>
      </c>
      <c r="E1441" s="318">
        <v>2.88</v>
      </c>
      <c r="F1441" s="318" t="s">
        <v>395</v>
      </c>
      <c r="G1441" s="318" t="s">
        <v>395</v>
      </c>
      <c r="H1441" s="318" t="s">
        <v>395</v>
      </c>
      <c r="I1441" s="318" t="s">
        <v>1499</v>
      </c>
      <c r="J1441" s="320">
        <v>94</v>
      </c>
      <c r="K1441" s="317" t="s">
        <v>410</v>
      </c>
      <c r="L1441" s="317">
        <v>48.94464</v>
      </c>
      <c r="M1441" s="317">
        <v>40.297020000000003</v>
      </c>
    </row>
    <row r="1442" spans="1:13" ht="45" hidden="1" x14ac:dyDescent="0.25">
      <c r="A1442" s="313">
        <f t="shared" si="22"/>
        <v>1441</v>
      </c>
      <c r="B1442" s="319" t="s">
        <v>2497</v>
      </c>
      <c r="C1442" s="315" t="s">
        <v>672</v>
      </c>
      <c r="D1442" s="315" t="s">
        <v>2498</v>
      </c>
      <c r="E1442" s="318">
        <v>3.84</v>
      </c>
      <c r="F1442" s="318" t="s">
        <v>395</v>
      </c>
      <c r="G1442" s="318" t="s">
        <v>395</v>
      </c>
      <c r="H1442" s="318" t="s">
        <v>395</v>
      </c>
      <c r="I1442" s="318" t="s">
        <v>1499</v>
      </c>
      <c r="J1442" s="320">
        <v>142</v>
      </c>
      <c r="K1442" s="317" t="s">
        <v>410</v>
      </c>
      <c r="L1442" s="317">
        <v>49.114899999999999</v>
      </c>
      <c r="M1442" s="317">
        <v>41.036920000000002</v>
      </c>
    </row>
    <row r="1443" spans="1:13" ht="45" hidden="1" x14ac:dyDescent="0.25">
      <c r="A1443" s="313">
        <f t="shared" si="22"/>
        <v>1442</v>
      </c>
      <c r="B1443" s="319" t="s">
        <v>2501</v>
      </c>
      <c r="C1443" s="315" t="s">
        <v>637</v>
      </c>
      <c r="D1443" s="315" t="s">
        <v>2502</v>
      </c>
      <c r="E1443" s="318">
        <v>4.6399999999999997</v>
      </c>
      <c r="F1443" s="318" t="s">
        <v>395</v>
      </c>
      <c r="G1443" s="318" t="s">
        <v>395</v>
      </c>
      <c r="H1443" s="318" t="s">
        <v>395</v>
      </c>
      <c r="I1443" s="318" t="s">
        <v>1499</v>
      </c>
      <c r="J1443" s="320">
        <v>182</v>
      </c>
      <c r="K1443" s="317" t="s">
        <v>410</v>
      </c>
      <c r="L1443" s="317">
        <v>48.735019999999999</v>
      </c>
      <c r="M1443" s="317">
        <v>41.546570000000003</v>
      </c>
    </row>
    <row r="1444" spans="1:13" ht="45" hidden="1" x14ac:dyDescent="0.25">
      <c r="A1444" s="313">
        <f t="shared" si="22"/>
        <v>1443</v>
      </c>
      <c r="B1444" s="319" t="s">
        <v>2505</v>
      </c>
      <c r="C1444" s="315" t="s">
        <v>637</v>
      </c>
      <c r="D1444" s="315" t="s">
        <v>2506</v>
      </c>
      <c r="E1444" s="318">
        <v>4.9000000000000004</v>
      </c>
      <c r="F1444" s="318" t="s">
        <v>395</v>
      </c>
      <c r="G1444" s="318" t="s">
        <v>395</v>
      </c>
      <c r="H1444" s="318" t="s">
        <v>395</v>
      </c>
      <c r="I1444" s="318" t="s">
        <v>1499</v>
      </c>
      <c r="J1444" s="320">
        <v>195</v>
      </c>
      <c r="K1444" s="317" t="s">
        <v>410</v>
      </c>
      <c r="L1444" s="317">
        <v>48.680039999999998</v>
      </c>
      <c r="M1444" s="317">
        <v>41.423490000000001</v>
      </c>
    </row>
    <row r="1445" spans="1:13" ht="45" hidden="1" x14ac:dyDescent="0.25">
      <c r="A1445" s="313">
        <f t="shared" si="22"/>
        <v>1444</v>
      </c>
      <c r="B1445" s="319" t="s">
        <v>2509</v>
      </c>
      <c r="C1445" s="315" t="s">
        <v>412</v>
      </c>
      <c r="D1445" s="315" t="s">
        <v>2510</v>
      </c>
      <c r="E1445" s="318">
        <v>1.58</v>
      </c>
      <c r="F1445" s="318" t="s">
        <v>395</v>
      </c>
      <c r="G1445" s="318" t="s">
        <v>395</v>
      </c>
      <c r="H1445" s="318" t="s">
        <v>395</v>
      </c>
      <c r="I1445" s="318" t="s">
        <v>1499</v>
      </c>
      <c r="J1445" s="320">
        <v>29</v>
      </c>
      <c r="K1445" s="317" t="s">
        <v>410</v>
      </c>
      <c r="L1445" s="317">
        <v>48.114249999999998</v>
      </c>
      <c r="M1445" s="317">
        <v>40.124250000000004</v>
      </c>
    </row>
    <row r="1446" spans="1:13" ht="75" hidden="1" x14ac:dyDescent="0.25">
      <c r="A1446" s="313">
        <f t="shared" si="22"/>
        <v>1445</v>
      </c>
      <c r="B1446" s="319" t="s">
        <v>2513</v>
      </c>
      <c r="C1446" s="315" t="s">
        <v>428</v>
      </c>
      <c r="D1446" s="315" t="s">
        <v>2514</v>
      </c>
      <c r="E1446" s="318">
        <v>1.76</v>
      </c>
      <c r="F1446" s="318" t="s">
        <v>395</v>
      </c>
      <c r="G1446" s="318" t="s">
        <v>395</v>
      </c>
      <c r="H1446" s="318" t="s">
        <v>395</v>
      </c>
      <c r="I1446" s="318" t="s">
        <v>1499</v>
      </c>
      <c r="J1446" s="320">
        <v>38</v>
      </c>
      <c r="K1446" s="317" t="s">
        <v>410</v>
      </c>
      <c r="L1446" s="317">
        <v>48.556980000000003</v>
      </c>
      <c r="M1446" s="317">
        <v>40.243859999999998</v>
      </c>
    </row>
    <row r="1447" spans="1:13" ht="30" hidden="1" x14ac:dyDescent="0.25">
      <c r="A1447" s="313">
        <f t="shared" si="22"/>
        <v>1446</v>
      </c>
      <c r="B1447" s="319" t="s">
        <v>2517</v>
      </c>
      <c r="C1447" s="315" t="s">
        <v>637</v>
      </c>
      <c r="D1447" s="315" t="s">
        <v>2518</v>
      </c>
      <c r="E1447" s="318">
        <v>3.46</v>
      </c>
      <c r="F1447" s="318" t="s">
        <v>395</v>
      </c>
      <c r="G1447" s="318" t="s">
        <v>395</v>
      </c>
      <c r="H1447" s="318" t="s">
        <v>395</v>
      </c>
      <c r="I1447" s="318" t="s">
        <v>1499</v>
      </c>
      <c r="J1447" s="320">
        <v>123</v>
      </c>
      <c r="K1447" s="317" t="s">
        <v>410</v>
      </c>
      <c r="L1447" s="317">
        <v>48.783389999999997</v>
      </c>
      <c r="M1447" s="317">
        <v>40.970860000000002</v>
      </c>
    </row>
    <row r="1448" spans="1:13" ht="60" hidden="1" x14ac:dyDescent="0.25">
      <c r="A1448" s="313">
        <f t="shared" si="22"/>
        <v>1447</v>
      </c>
      <c r="B1448" s="319" t="s">
        <v>2521</v>
      </c>
      <c r="C1448" s="315" t="s">
        <v>2291</v>
      </c>
      <c r="D1448" s="315" t="s">
        <v>2522</v>
      </c>
      <c r="E1448" s="318">
        <v>5.78</v>
      </c>
      <c r="F1448" s="318" t="s">
        <v>395</v>
      </c>
      <c r="G1448" s="318" t="s">
        <v>395</v>
      </c>
      <c r="H1448" s="318" t="s">
        <v>395</v>
      </c>
      <c r="I1448" s="318" t="s">
        <v>1499</v>
      </c>
      <c r="J1448" s="320">
        <v>239</v>
      </c>
      <c r="K1448" s="317" t="s">
        <v>410</v>
      </c>
      <c r="L1448" s="317">
        <v>49.706290000000003</v>
      </c>
      <c r="M1448" s="317">
        <v>41.758290000000002</v>
      </c>
    </row>
    <row r="1449" spans="1:13" ht="60" hidden="1" x14ac:dyDescent="0.25">
      <c r="A1449" s="313">
        <f t="shared" si="22"/>
        <v>1448</v>
      </c>
      <c r="B1449" s="319" t="s">
        <v>2525</v>
      </c>
      <c r="C1449" s="315" t="s">
        <v>677</v>
      </c>
      <c r="D1449" s="315" t="s">
        <v>2526</v>
      </c>
      <c r="E1449" s="318">
        <v>2.96</v>
      </c>
      <c r="F1449" s="318" t="s">
        <v>395</v>
      </c>
      <c r="G1449" s="318" t="s">
        <v>395</v>
      </c>
      <c r="H1449" s="318" t="s">
        <v>395</v>
      </c>
      <c r="I1449" s="318" t="s">
        <v>1499</v>
      </c>
      <c r="J1449" s="320">
        <v>98</v>
      </c>
      <c r="K1449" s="317" t="s">
        <v>410</v>
      </c>
      <c r="L1449" s="317">
        <v>48.362609999999997</v>
      </c>
      <c r="M1449" s="317">
        <v>41.243279999999999</v>
      </c>
    </row>
    <row r="1450" spans="1:13" ht="45" hidden="1" x14ac:dyDescent="0.25">
      <c r="A1450" s="313">
        <f t="shared" si="22"/>
        <v>1449</v>
      </c>
      <c r="B1450" s="319" t="s">
        <v>2529</v>
      </c>
      <c r="C1450" s="315" t="s">
        <v>412</v>
      </c>
      <c r="D1450" s="315" t="s">
        <v>2530</v>
      </c>
      <c r="E1450" s="318">
        <v>4.32</v>
      </c>
      <c r="F1450" s="318" t="s">
        <v>395</v>
      </c>
      <c r="G1450" s="318" t="s">
        <v>395</v>
      </c>
      <c r="H1450" s="318" t="s">
        <v>395</v>
      </c>
      <c r="I1450" s="318" t="s">
        <v>1499</v>
      </c>
      <c r="J1450" s="320">
        <v>166</v>
      </c>
      <c r="K1450" s="317" t="s">
        <v>410</v>
      </c>
      <c r="L1450" s="317">
        <v>49.369720000000001</v>
      </c>
      <c r="M1450" s="317">
        <v>40.181669999999997</v>
      </c>
    </row>
    <row r="1451" spans="1:13" ht="45" hidden="1" x14ac:dyDescent="0.25">
      <c r="A1451" s="313">
        <f t="shared" si="22"/>
        <v>1450</v>
      </c>
      <c r="B1451" s="319" t="s">
        <v>2533</v>
      </c>
      <c r="C1451" s="315" t="s">
        <v>412</v>
      </c>
      <c r="D1451" s="315" t="s">
        <v>2535</v>
      </c>
      <c r="E1451" s="318">
        <v>2.48</v>
      </c>
      <c r="F1451" s="318" t="s">
        <v>395</v>
      </c>
      <c r="G1451" s="318" t="s">
        <v>395</v>
      </c>
      <c r="H1451" s="318" t="s">
        <v>395</v>
      </c>
      <c r="I1451" s="318" t="s">
        <v>1499</v>
      </c>
      <c r="J1451" s="320">
        <v>74</v>
      </c>
      <c r="K1451" s="317" t="s">
        <v>410</v>
      </c>
      <c r="L1451" s="317">
        <v>48.898310000000002</v>
      </c>
      <c r="M1451" s="317">
        <v>40.461880000000001</v>
      </c>
    </row>
    <row r="1452" spans="1:13" ht="45" hidden="1" x14ac:dyDescent="0.25">
      <c r="A1452" s="313">
        <f t="shared" si="22"/>
        <v>1451</v>
      </c>
      <c r="B1452" s="319" t="s">
        <v>2537</v>
      </c>
      <c r="C1452" s="315" t="s">
        <v>2538</v>
      </c>
      <c r="D1452" s="315" t="s">
        <v>2540</v>
      </c>
      <c r="E1452" s="318">
        <v>1.3</v>
      </c>
      <c r="F1452" s="318" t="s">
        <v>395</v>
      </c>
      <c r="G1452" s="318" t="s">
        <v>395</v>
      </c>
      <c r="H1452" s="318" t="s">
        <v>395</v>
      </c>
      <c r="I1452" s="318" t="s">
        <v>1499</v>
      </c>
      <c r="J1452" s="320">
        <v>15</v>
      </c>
      <c r="K1452" s="317" t="s">
        <v>410</v>
      </c>
      <c r="L1452" s="317">
        <v>48.188310000000001</v>
      </c>
      <c r="M1452" s="317">
        <v>40.266579999999998</v>
      </c>
    </row>
    <row r="1453" spans="1:13" ht="45" hidden="1" x14ac:dyDescent="0.25">
      <c r="A1453" s="313">
        <f t="shared" si="22"/>
        <v>1452</v>
      </c>
      <c r="B1453" s="319" t="s">
        <v>2542</v>
      </c>
      <c r="C1453" s="315" t="s">
        <v>582</v>
      </c>
      <c r="D1453" s="315" t="s">
        <v>2544</v>
      </c>
      <c r="E1453" s="318">
        <v>5.8</v>
      </c>
      <c r="F1453" s="318" t="s">
        <v>395</v>
      </c>
      <c r="G1453" s="318" t="s">
        <v>395</v>
      </c>
      <c r="H1453" s="318" t="s">
        <v>395</v>
      </c>
      <c r="I1453" s="318" t="s">
        <v>1499</v>
      </c>
      <c r="J1453" s="320">
        <v>240</v>
      </c>
      <c r="K1453" s="317" t="s">
        <v>410</v>
      </c>
      <c r="L1453" s="317">
        <v>49.592619999999997</v>
      </c>
      <c r="M1453" s="317">
        <v>41.448549999999997</v>
      </c>
    </row>
    <row r="1454" spans="1:13" ht="45" hidden="1" x14ac:dyDescent="0.25">
      <c r="A1454" s="313">
        <f t="shared" si="22"/>
        <v>1453</v>
      </c>
      <c r="B1454" s="319" t="s">
        <v>2546</v>
      </c>
      <c r="C1454" s="315" t="s">
        <v>582</v>
      </c>
      <c r="D1454" s="315" t="s">
        <v>2547</v>
      </c>
      <c r="E1454" s="318">
        <v>3.56</v>
      </c>
      <c r="F1454" s="318" t="s">
        <v>395</v>
      </c>
      <c r="G1454" s="318" t="s">
        <v>395</v>
      </c>
      <c r="H1454" s="318" t="s">
        <v>395</v>
      </c>
      <c r="I1454" s="318" t="s">
        <v>1499</v>
      </c>
      <c r="J1454" s="320">
        <v>128</v>
      </c>
      <c r="K1454" s="317" t="s">
        <v>410</v>
      </c>
      <c r="L1454" s="317">
        <v>48.653149999999997</v>
      </c>
      <c r="M1454" s="317">
        <v>39.75761</v>
      </c>
    </row>
    <row r="1455" spans="1:13" ht="45" hidden="1" x14ac:dyDescent="0.25">
      <c r="A1455" s="313">
        <f t="shared" si="22"/>
        <v>1454</v>
      </c>
      <c r="B1455" s="319" t="s">
        <v>2550</v>
      </c>
      <c r="C1455" s="315" t="s">
        <v>582</v>
      </c>
      <c r="D1455" s="315" t="s">
        <v>2551</v>
      </c>
      <c r="E1455" s="318">
        <v>3.38</v>
      </c>
      <c r="F1455" s="318" t="s">
        <v>395</v>
      </c>
      <c r="G1455" s="318" t="s">
        <v>395</v>
      </c>
      <c r="H1455" s="318" t="s">
        <v>395</v>
      </c>
      <c r="I1455" s="318" t="s">
        <v>1499</v>
      </c>
      <c r="J1455" s="320">
        <v>119</v>
      </c>
      <c r="K1455" s="317" t="s">
        <v>410</v>
      </c>
      <c r="L1455" s="317">
        <v>48.794969999999999</v>
      </c>
      <c r="M1455" s="317">
        <v>39.794530000000002</v>
      </c>
    </row>
    <row r="1456" spans="1:13" ht="60" hidden="1" x14ac:dyDescent="0.25">
      <c r="A1456" s="313">
        <f t="shared" si="22"/>
        <v>1455</v>
      </c>
      <c r="B1456" s="319" t="s">
        <v>2554</v>
      </c>
      <c r="C1456" s="315" t="s">
        <v>582</v>
      </c>
      <c r="D1456" s="315" t="s">
        <v>2555</v>
      </c>
      <c r="E1456" s="318">
        <v>3.44</v>
      </c>
      <c r="F1456" s="318" t="s">
        <v>395</v>
      </c>
      <c r="G1456" s="318" t="s">
        <v>395</v>
      </c>
      <c r="H1456" s="318" t="s">
        <v>395</v>
      </c>
      <c r="I1456" s="318" t="s">
        <v>1499</v>
      </c>
      <c r="J1456" s="320">
        <v>122</v>
      </c>
      <c r="K1456" s="317" t="s">
        <v>410</v>
      </c>
      <c r="L1456" s="317">
        <v>48.826340000000002</v>
      </c>
      <c r="M1456" s="317">
        <v>39.805480000000003</v>
      </c>
    </row>
    <row r="1457" spans="1:13" ht="60" hidden="1" x14ac:dyDescent="0.25">
      <c r="A1457" s="313">
        <f t="shared" si="22"/>
        <v>1456</v>
      </c>
      <c r="B1457" s="319" t="s">
        <v>2558</v>
      </c>
      <c r="C1457" s="315" t="s">
        <v>582</v>
      </c>
      <c r="D1457" s="315" t="s">
        <v>2559</v>
      </c>
      <c r="E1457" s="318">
        <v>2.38</v>
      </c>
      <c r="F1457" s="318" t="s">
        <v>395</v>
      </c>
      <c r="G1457" s="318" t="s">
        <v>395</v>
      </c>
      <c r="H1457" s="318" t="s">
        <v>395</v>
      </c>
      <c r="I1457" s="318" t="s">
        <v>1499</v>
      </c>
      <c r="J1457" s="320">
        <v>69</v>
      </c>
      <c r="K1457" s="317" t="s">
        <v>410</v>
      </c>
      <c r="L1457" s="317">
        <v>48.747419999999998</v>
      </c>
      <c r="M1457" s="317">
        <v>40.204320000000003</v>
      </c>
    </row>
    <row r="1458" spans="1:13" ht="45" hidden="1" x14ac:dyDescent="0.25">
      <c r="A1458" s="313">
        <f t="shared" si="22"/>
        <v>1457</v>
      </c>
      <c r="B1458" s="319" t="s">
        <v>2562</v>
      </c>
      <c r="C1458" s="315" t="s">
        <v>582</v>
      </c>
      <c r="D1458" s="315" t="s">
        <v>2563</v>
      </c>
      <c r="E1458" s="318">
        <v>4.78</v>
      </c>
      <c r="F1458" s="318" t="s">
        <v>395</v>
      </c>
      <c r="G1458" s="318" t="s">
        <v>395</v>
      </c>
      <c r="H1458" s="318" t="s">
        <v>395</v>
      </c>
      <c r="I1458" s="318" t="s">
        <v>1499</v>
      </c>
      <c r="J1458" s="320">
        <v>189</v>
      </c>
      <c r="K1458" s="317" t="s">
        <v>410</v>
      </c>
      <c r="L1458" s="317">
        <v>49.507390000000001</v>
      </c>
      <c r="M1458" s="317">
        <v>40.071219999999997</v>
      </c>
    </row>
    <row r="1459" spans="1:13" ht="45" hidden="1" x14ac:dyDescent="0.25">
      <c r="A1459" s="313">
        <f t="shared" si="22"/>
        <v>1458</v>
      </c>
      <c r="B1459" s="319" t="s">
        <v>2566</v>
      </c>
      <c r="C1459" s="315" t="s">
        <v>582</v>
      </c>
      <c r="D1459" s="315" t="s">
        <v>2567</v>
      </c>
      <c r="E1459" s="318">
        <v>2.44</v>
      </c>
      <c r="F1459" s="318" t="s">
        <v>395</v>
      </c>
      <c r="G1459" s="318" t="s">
        <v>395</v>
      </c>
      <c r="H1459" s="318" t="s">
        <v>395</v>
      </c>
      <c r="I1459" s="318" t="s">
        <v>1499</v>
      </c>
      <c r="J1459" s="320">
        <v>72</v>
      </c>
      <c r="K1459" s="317" t="s">
        <v>410</v>
      </c>
      <c r="L1459" s="317">
        <v>48.066189999999999</v>
      </c>
      <c r="M1459" s="317">
        <v>40.645859999999999</v>
      </c>
    </row>
    <row r="1460" spans="1:13" ht="60" hidden="1" x14ac:dyDescent="0.25">
      <c r="A1460" s="313">
        <f t="shared" si="22"/>
        <v>1459</v>
      </c>
      <c r="B1460" s="319" t="s">
        <v>2570</v>
      </c>
      <c r="C1460" s="315" t="s">
        <v>582</v>
      </c>
      <c r="D1460" s="315" t="s">
        <v>2571</v>
      </c>
      <c r="E1460" s="318">
        <v>5.48</v>
      </c>
      <c r="F1460" s="318" t="s">
        <v>395</v>
      </c>
      <c r="G1460" s="318" t="s">
        <v>395</v>
      </c>
      <c r="H1460" s="318" t="s">
        <v>395</v>
      </c>
      <c r="I1460" s="318" t="s">
        <v>1499</v>
      </c>
      <c r="J1460" s="320">
        <v>224</v>
      </c>
      <c r="K1460" s="317" t="s">
        <v>410</v>
      </c>
      <c r="L1460" s="317">
        <v>49.134210000000003</v>
      </c>
      <c r="M1460" s="317">
        <v>41.740609999999997</v>
      </c>
    </row>
    <row r="1461" spans="1:13" ht="60" hidden="1" x14ac:dyDescent="0.25">
      <c r="A1461" s="313">
        <f t="shared" si="22"/>
        <v>1460</v>
      </c>
      <c r="B1461" s="319" t="s">
        <v>2574</v>
      </c>
      <c r="C1461" s="315" t="s">
        <v>582</v>
      </c>
      <c r="D1461" s="315" t="s">
        <v>2575</v>
      </c>
      <c r="E1461" s="318">
        <v>3.54</v>
      </c>
      <c r="F1461" s="318" t="s">
        <v>395</v>
      </c>
      <c r="G1461" s="318" t="s">
        <v>395</v>
      </c>
      <c r="H1461" s="318" t="s">
        <v>395</v>
      </c>
      <c r="I1461" s="318" t="s">
        <v>1499</v>
      </c>
      <c r="J1461" s="320">
        <v>127</v>
      </c>
      <c r="K1461" s="317" t="s">
        <v>410</v>
      </c>
      <c r="L1461" s="317">
        <v>49.068750000000001</v>
      </c>
      <c r="M1461" s="317">
        <v>41.025590000000001</v>
      </c>
    </row>
    <row r="1462" spans="1:13" ht="60" hidden="1" x14ac:dyDescent="0.25">
      <c r="A1462" s="313">
        <f t="shared" si="22"/>
        <v>1461</v>
      </c>
      <c r="B1462" s="319" t="s">
        <v>2578</v>
      </c>
      <c r="C1462" s="315" t="s">
        <v>2291</v>
      </c>
      <c r="D1462" s="315" t="s">
        <v>2579</v>
      </c>
      <c r="E1462" s="318">
        <v>3.94</v>
      </c>
      <c r="F1462" s="318" t="s">
        <v>395</v>
      </c>
      <c r="G1462" s="318" t="s">
        <v>395</v>
      </c>
      <c r="H1462" s="318" t="s">
        <v>395</v>
      </c>
      <c r="I1462" s="318" t="s">
        <v>1499</v>
      </c>
      <c r="J1462" s="320">
        <v>147</v>
      </c>
      <c r="K1462" s="317" t="s">
        <v>410</v>
      </c>
      <c r="L1462" s="317">
        <v>49.452010000000001</v>
      </c>
      <c r="M1462" s="317">
        <v>40.627229999999997</v>
      </c>
    </row>
    <row r="1463" spans="1:13" ht="45" hidden="1" x14ac:dyDescent="0.25">
      <c r="A1463" s="313">
        <f t="shared" si="22"/>
        <v>1462</v>
      </c>
      <c r="B1463" s="319" t="s">
        <v>2582</v>
      </c>
      <c r="C1463" s="315" t="s">
        <v>582</v>
      </c>
      <c r="D1463" s="315" t="s">
        <v>2583</v>
      </c>
      <c r="E1463" s="318">
        <v>3.6</v>
      </c>
      <c r="F1463" s="318" t="s">
        <v>395</v>
      </c>
      <c r="G1463" s="318" t="s">
        <v>395</v>
      </c>
      <c r="H1463" s="318" t="s">
        <v>395</v>
      </c>
      <c r="I1463" s="318" t="s">
        <v>1499</v>
      </c>
      <c r="J1463" s="320">
        <v>130</v>
      </c>
      <c r="K1463" s="317" t="s">
        <v>410</v>
      </c>
      <c r="L1463" s="317">
        <v>48.958210000000001</v>
      </c>
      <c r="M1463" s="317">
        <v>40.953040000000001</v>
      </c>
    </row>
    <row r="1464" spans="1:13" ht="45" hidden="1" x14ac:dyDescent="0.25">
      <c r="A1464" s="313">
        <f t="shared" si="22"/>
        <v>1463</v>
      </c>
      <c r="B1464" s="319" t="s">
        <v>2586</v>
      </c>
      <c r="C1464" s="315" t="s">
        <v>582</v>
      </c>
      <c r="D1464" s="315" t="s">
        <v>2587</v>
      </c>
      <c r="E1464" s="318">
        <v>3.22</v>
      </c>
      <c r="F1464" s="318" t="s">
        <v>395</v>
      </c>
      <c r="G1464" s="318" t="s">
        <v>395</v>
      </c>
      <c r="H1464" s="318" t="s">
        <v>395</v>
      </c>
      <c r="I1464" s="318" t="s">
        <v>1499</v>
      </c>
      <c r="J1464" s="320">
        <v>111</v>
      </c>
      <c r="K1464" s="317" t="s">
        <v>410</v>
      </c>
      <c r="L1464" s="317">
        <v>48.037309999999998</v>
      </c>
      <c r="M1464" s="317">
        <v>41.326880000000003</v>
      </c>
    </row>
    <row r="1465" spans="1:13" ht="45" hidden="1" x14ac:dyDescent="0.25">
      <c r="A1465" s="313">
        <f t="shared" si="22"/>
        <v>1464</v>
      </c>
      <c r="B1465" s="319" t="s">
        <v>2590</v>
      </c>
      <c r="C1465" s="315" t="s">
        <v>582</v>
      </c>
      <c r="D1465" s="315" t="s">
        <v>2591</v>
      </c>
      <c r="E1465" s="318">
        <v>3.56</v>
      </c>
      <c r="F1465" s="318" t="s">
        <v>395</v>
      </c>
      <c r="G1465" s="318" t="s">
        <v>395</v>
      </c>
      <c r="H1465" s="318" t="s">
        <v>395</v>
      </c>
      <c r="I1465" s="318" t="s">
        <v>1499</v>
      </c>
      <c r="J1465" s="320">
        <v>128</v>
      </c>
      <c r="K1465" s="317" t="s">
        <v>410</v>
      </c>
      <c r="L1465" s="317">
        <v>48.398919999999997</v>
      </c>
      <c r="M1465" s="317">
        <v>41.437649999999998</v>
      </c>
    </row>
    <row r="1466" spans="1:13" ht="60" hidden="1" x14ac:dyDescent="0.25">
      <c r="A1466" s="313">
        <f t="shared" si="22"/>
        <v>1465</v>
      </c>
      <c r="B1466" s="319" t="s">
        <v>2594</v>
      </c>
      <c r="C1466" s="315" t="s">
        <v>447</v>
      </c>
      <c r="D1466" s="315" t="s">
        <v>2595</v>
      </c>
      <c r="E1466" s="318">
        <v>3.24</v>
      </c>
      <c r="F1466" s="318" t="s">
        <v>395</v>
      </c>
      <c r="G1466" s="318" t="s">
        <v>395</v>
      </c>
      <c r="H1466" s="318" t="s">
        <v>395</v>
      </c>
      <c r="I1466" s="318" t="s">
        <v>1499</v>
      </c>
      <c r="J1466" s="320">
        <v>112</v>
      </c>
      <c r="K1466" s="317" t="s">
        <v>410</v>
      </c>
      <c r="L1466" s="317">
        <v>49.179879999999997</v>
      </c>
      <c r="M1466" s="317">
        <v>40.610840000000003</v>
      </c>
    </row>
    <row r="1467" spans="1:13" ht="60" hidden="1" x14ac:dyDescent="0.25">
      <c r="A1467" s="313">
        <f t="shared" si="22"/>
        <v>1466</v>
      </c>
      <c r="B1467" s="319" t="s">
        <v>2598</v>
      </c>
      <c r="C1467" s="315" t="s">
        <v>2291</v>
      </c>
      <c r="D1467" s="315" t="s">
        <v>2599</v>
      </c>
      <c r="E1467" s="318">
        <v>2.86</v>
      </c>
      <c r="F1467" s="318" t="s">
        <v>395</v>
      </c>
      <c r="G1467" s="318" t="s">
        <v>395</v>
      </c>
      <c r="H1467" s="318" t="s">
        <v>395</v>
      </c>
      <c r="I1467" s="318" t="s">
        <v>1499</v>
      </c>
      <c r="J1467" s="320">
        <v>93</v>
      </c>
      <c r="K1467" s="317" t="s">
        <v>410</v>
      </c>
      <c r="L1467" s="317">
        <v>48.913739999999997</v>
      </c>
      <c r="M1467" s="317">
        <v>40.253729999999997</v>
      </c>
    </row>
    <row r="1468" spans="1:13" ht="45" hidden="1" x14ac:dyDescent="0.25">
      <c r="A1468" s="313">
        <f t="shared" si="22"/>
        <v>1467</v>
      </c>
      <c r="B1468" s="319" t="s">
        <v>2602</v>
      </c>
      <c r="C1468" s="315" t="s">
        <v>582</v>
      </c>
      <c r="D1468" s="315" t="s">
        <v>2603</v>
      </c>
      <c r="E1468" s="318">
        <v>3.04</v>
      </c>
      <c r="F1468" s="318" t="s">
        <v>395</v>
      </c>
      <c r="G1468" s="318" t="s">
        <v>395</v>
      </c>
      <c r="H1468" s="318" t="s">
        <v>395</v>
      </c>
      <c r="I1468" s="318" t="s">
        <v>1499</v>
      </c>
      <c r="J1468" s="320">
        <v>102</v>
      </c>
      <c r="K1468" s="317" t="s">
        <v>410</v>
      </c>
      <c r="L1468" s="317">
        <v>48.924370000000003</v>
      </c>
      <c r="M1468" s="317">
        <v>40.138219999999997</v>
      </c>
    </row>
    <row r="1469" spans="1:13" ht="45" hidden="1" x14ac:dyDescent="0.25">
      <c r="A1469" s="313">
        <f t="shared" si="22"/>
        <v>1468</v>
      </c>
      <c r="B1469" s="319" t="s">
        <v>2606</v>
      </c>
      <c r="C1469" s="315" t="s">
        <v>582</v>
      </c>
      <c r="D1469" s="315" t="s">
        <v>2607</v>
      </c>
      <c r="E1469" s="318">
        <v>4.22</v>
      </c>
      <c r="F1469" s="318" t="s">
        <v>395</v>
      </c>
      <c r="G1469" s="318" t="s">
        <v>395</v>
      </c>
      <c r="H1469" s="318" t="s">
        <v>395</v>
      </c>
      <c r="I1469" s="318" t="s">
        <v>1499</v>
      </c>
      <c r="J1469" s="320">
        <v>161</v>
      </c>
      <c r="K1469" s="317" t="s">
        <v>410</v>
      </c>
      <c r="L1469" s="317">
        <v>49.418860000000002</v>
      </c>
      <c r="M1469" s="317">
        <v>40.883560000000003</v>
      </c>
    </row>
    <row r="1470" spans="1:13" ht="45" hidden="1" x14ac:dyDescent="0.25">
      <c r="A1470" s="313">
        <f t="shared" si="22"/>
        <v>1469</v>
      </c>
      <c r="B1470" s="319" t="s">
        <v>2610</v>
      </c>
      <c r="C1470" s="315" t="s">
        <v>2291</v>
      </c>
      <c r="D1470" s="315" t="s">
        <v>2611</v>
      </c>
      <c r="E1470" s="318">
        <v>3.42</v>
      </c>
      <c r="F1470" s="318" t="s">
        <v>395</v>
      </c>
      <c r="G1470" s="318" t="s">
        <v>395</v>
      </c>
      <c r="H1470" s="318" t="s">
        <v>395</v>
      </c>
      <c r="I1470" s="318" t="s">
        <v>1499</v>
      </c>
      <c r="J1470" s="320">
        <v>121</v>
      </c>
      <c r="K1470" s="317" t="s">
        <v>410</v>
      </c>
      <c r="L1470" s="317">
        <v>48.672809999999998</v>
      </c>
      <c r="M1470" s="317">
        <v>39.728720000000003</v>
      </c>
    </row>
    <row r="1471" spans="1:13" ht="75" hidden="1" x14ac:dyDescent="0.25">
      <c r="A1471" s="313">
        <f t="shared" si="22"/>
        <v>1470</v>
      </c>
      <c r="B1471" s="319" t="s">
        <v>2615</v>
      </c>
      <c r="C1471" s="315" t="s">
        <v>582</v>
      </c>
      <c r="D1471" s="315" t="s">
        <v>2617</v>
      </c>
      <c r="E1471" s="318">
        <v>3.4</v>
      </c>
      <c r="F1471" s="318" t="s">
        <v>395</v>
      </c>
      <c r="G1471" s="318" t="s">
        <v>395</v>
      </c>
      <c r="H1471" s="318" t="s">
        <v>395</v>
      </c>
      <c r="I1471" s="318" t="s">
        <v>1499</v>
      </c>
      <c r="J1471" s="320">
        <v>120</v>
      </c>
      <c r="K1471" s="317" t="s">
        <v>410</v>
      </c>
      <c r="L1471" s="317">
        <v>49.064079999999997</v>
      </c>
      <c r="M1471" s="317">
        <v>40.084629999999997</v>
      </c>
    </row>
    <row r="1472" spans="1:13" ht="60" hidden="1" x14ac:dyDescent="0.25">
      <c r="A1472" s="313">
        <f t="shared" si="22"/>
        <v>1471</v>
      </c>
      <c r="B1472" s="319" t="s">
        <v>2619</v>
      </c>
      <c r="C1472" s="315" t="s">
        <v>2621</v>
      </c>
      <c r="D1472" s="315" t="s">
        <v>2622</v>
      </c>
      <c r="E1472" s="318">
        <v>2.2000000000000002</v>
      </c>
      <c r="F1472" s="318" t="s">
        <v>395</v>
      </c>
      <c r="G1472" s="318" t="s">
        <v>395</v>
      </c>
      <c r="H1472" s="318" t="s">
        <v>395</v>
      </c>
      <c r="I1472" s="318" t="s">
        <v>1499</v>
      </c>
      <c r="J1472" s="320">
        <v>60</v>
      </c>
      <c r="K1472" s="317" t="s">
        <v>410</v>
      </c>
      <c r="L1472" s="317">
        <v>48.117060000000002</v>
      </c>
      <c r="M1472" s="317">
        <v>39.956000000000003</v>
      </c>
    </row>
    <row r="1473" spans="1:13" ht="45" hidden="1" x14ac:dyDescent="0.25">
      <c r="A1473" s="313">
        <f t="shared" si="22"/>
        <v>1472</v>
      </c>
      <c r="B1473" s="319" t="s">
        <v>2624</v>
      </c>
      <c r="C1473" s="315" t="s">
        <v>412</v>
      </c>
      <c r="D1473" s="315" t="s">
        <v>2626</v>
      </c>
      <c r="E1473" s="318">
        <v>2.08</v>
      </c>
      <c r="F1473" s="318" t="s">
        <v>395</v>
      </c>
      <c r="G1473" s="318" t="s">
        <v>395</v>
      </c>
      <c r="H1473" s="318" t="s">
        <v>395</v>
      </c>
      <c r="I1473" s="318" t="s">
        <v>1499</v>
      </c>
      <c r="J1473" s="320">
        <v>54</v>
      </c>
      <c r="K1473" s="317" t="s">
        <v>410</v>
      </c>
      <c r="L1473" s="317">
        <v>48.05556</v>
      </c>
      <c r="M1473" s="317">
        <v>39.969439999999999</v>
      </c>
    </row>
    <row r="1474" spans="1:13" ht="60" hidden="1" x14ac:dyDescent="0.25">
      <c r="A1474" s="313">
        <f t="shared" si="22"/>
        <v>1473</v>
      </c>
      <c r="B1474" s="319" t="s">
        <v>2628</v>
      </c>
      <c r="C1474" s="315" t="s">
        <v>582</v>
      </c>
      <c r="D1474" s="315" t="s">
        <v>2630</v>
      </c>
      <c r="E1474" s="318">
        <v>3.64</v>
      </c>
      <c r="F1474" s="318" t="s">
        <v>395</v>
      </c>
      <c r="G1474" s="318" t="s">
        <v>395</v>
      </c>
      <c r="H1474" s="318" t="s">
        <v>395</v>
      </c>
      <c r="I1474" s="318" t="s">
        <v>1499</v>
      </c>
      <c r="J1474" s="320">
        <v>132</v>
      </c>
      <c r="K1474" s="317" t="s">
        <v>410</v>
      </c>
      <c r="L1474" s="317">
        <v>48.450589999999998</v>
      </c>
      <c r="M1474" s="317">
        <v>41.380890000000001</v>
      </c>
    </row>
    <row r="1475" spans="1:13" ht="45" hidden="1" x14ac:dyDescent="0.25">
      <c r="A1475" s="313">
        <f t="shared" si="22"/>
        <v>1474</v>
      </c>
      <c r="B1475" s="319" t="s">
        <v>2632</v>
      </c>
      <c r="C1475" s="315" t="s">
        <v>582</v>
      </c>
      <c r="D1475" s="315" t="s">
        <v>2634</v>
      </c>
      <c r="E1475" s="318">
        <v>3.22</v>
      </c>
      <c r="F1475" s="318" t="s">
        <v>395</v>
      </c>
      <c r="G1475" s="318" t="s">
        <v>395</v>
      </c>
      <c r="H1475" s="318" t="s">
        <v>395</v>
      </c>
      <c r="I1475" s="318" t="s">
        <v>1499</v>
      </c>
      <c r="J1475" s="320">
        <v>111</v>
      </c>
      <c r="K1475" s="317" t="s">
        <v>410</v>
      </c>
      <c r="L1475" s="317">
        <v>48.154699999999998</v>
      </c>
      <c r="M1475" s="317">
        <v>41.391800000000003</v>
      </c>
    </row>
    <row r="1476" spans="1:13" ht="60" hidden="1" x14ac:dyDescent="0.25">
      <c r="A1476" s="313">
        <f t="shared" ref="A1476:A1539" si="23">A1475+1</f>
        <v>1475</v>
      </c>
      <c r="B1476" s="319" t="s">
        <v>2637</v>
      </c>
      <c r="C1476" s="315" t="s">
        <v>447</v>
      </c>
      <c r="D1476" s="315" t="s">
        <v>2638</v>
      </c>
      <c r="E1476" s="318">
        <v>2.02</v>
      </c>
      <c r="F1476" s="318" t="s">
        <v>395</v>
      </c>
      <c r="G1476" s="318" t="s">
        <v>395</v>
      </c>
      <c r="H1476" s="318" t="s">
        <v>395</v>
      </c>
      <c r="I1476" s="318" t="s">
        <v>1499</v>
      </c>
      <c r="J1476" s="320">
        <v>51</v>
      </c>
      <c r="K1476" s="317" t="s">
        <v>410</v>
      </c>
      <c r="L1476" s="317">
        <v>48.718499999999999</v>
      </c>
      <c r="M1476" s="317">
        <v>40.351280000000003</v>
      </c>
    </row>
    <row r="1477" spans="1:13" ht="45" hidden="1" x14ac:dyDescent="0.25">
      <c r="A1477" s="313">
        <f t="shared" si="23"/>
        <v>1476</v>
      </c>
      <c r="B1477" s="319" t="s">
        <v>2641</v>
      </c>
      <c r="C1477" s="315" t="s">
        <v>503</v>
      </c>
      <c r="D1477" s="315" t="s">
        <v>2642</v>
      </c>
      <c r="E1477" s="318">
        <v>1.1200000000000001</v>
      </c>
      <c r="F1477" s="318" t="s">
        <v>395</v>
      </c>
      <c r="G1477" s="318" t="s">
        <v>395</v>
      </c>
      <c r="H1477" s="318" t="s">
        <v>395</v>
      </c>
      <c r="I1477" s="318" t="s">
        <v>1499</v>
      </c>
      <c r="J1477" s="320">
        <v>6</v>
      </c>
      <c r="K1477" s="317" t="s">
        <v>410</v>
      </c>
      <c r="L1477" s="317">
        <v>48.35172</v>
      </c>
      <c r="M1477" s="317">
        <v>40.298470000000002</v>
      </c>
    </row>
    <row r="1478" spans="1:13" ht="45" hidden="1" x14ac:dyDescent="0.25">
      <c r="A1478" s="313">
        <f t="shared" si="23"/>
        <v>1477</v>
      </c>
      <c r="B1478" s="319" t="s">
        <v>2645</v>
      </c>
      <c r="C1478" s="315" t="s">
        <v>582</v>
      </c>
      <c r="D1478" s="315" t="s">
        <v>2646</v>
      </c>
      <c r="E1478" s="318">
        <v>2.98</v>
      </c>
      <c r="F1478" s="318" t="s">
        <v>395</v>
      </c>
      <c r="G1478" s="318" t="s">
        <v>395</v>
      </c>
      <c r="H1478" s="318" t="s">
        <v>395</v>
      </c>
      <c r="I1478" s="318" t="s">
        <v>1499</v>
      </c>
      <c r="J1478" s="320">
        <v>99</v>
      </c>
      <c r="K1478" s="317" t="s">
        <v>410</v>
      </c>
      <c r="L1478" s="317">
        <v>47.929639999999999</v>
      </c>
      <c r="M1478" s="317">
        <v>40.5931</v>
      </c>
    </row>
    <row r="1479" spans="1:13" ht="45" hidden="1" x14ac:dyDescent="0.25">
      <c r="A1479" s="313">
        <f t="shared" si="23"/>
        <v>1478</v>
      </c>
      <c r="B1479" s="319" t="s">
        <v>2649</v>
      </c>
      <c r="C1479" s="315" t="s">
        <v>582</v>
      </c>
      <c r="D1479" s="315" t="s">
        <v>2650</v>
      </c>
      <c r="E1479" s="318">
        <v>5.42</v>
      </c>
      <c r="F1479" s="318" t="s">
        <v>395</v>
      </c>
      <c r="G1479" s="318" t="s">
        <v>395</v>
      </c>
      <c r="H1479" s="318" t="s">
        <v>395</v>
      </c>
      <c r="I1479" s="318" t="s">
        <v>1499</v>
      </c>
      <c r="J1479" s="320">
        <v>221</v>
      </c>
      <c r="K1479" s="317" t="s">
        <v>410</v>
      </c>
      <c r="L1479" s="317">
        <v>49.161879999999996</v>
      </c>
      <c r="M1479" s="317">
        <v>41.75309</v>
      </c>
    </row>
    <row r="1480" spans="1:13" ht="75" hidden="1" x14ac:dyDescent="0.25">
      <c r="A1480" s="313">
        <f t="shared" si="23"/>
        <v>1479</v>
      </c>
      <c r="B1480" s="319" t="s">
        <v>2652</v>
      </c>
      <c r="C1480" s="315" t="s">
        <v>582</v>
      </c>
      <c r="D1480" s="315" t="s">
        <v>2654</v>
      </c>
      <c r="E1480" s="318">
        <v>4.9800000000000004</v>
      </c>
      <c r="F1480" s="318" t="s">
        <v>395</v>
      </c>
      <c r="G1480" s="318" t="s">
        <v>395</v>
      </c>
      <c r="H1480" s="318" t="s">
        <v>395</v>
      </c>
      <c r="I1480" s="318" t="s">
        <v>1499</v>
      </c>
      <c r="J1480" s="320">
        <v>199</v>
      </c>
      <c r="K1480" s="317" t="s">
        <v>410</v>
      </c>
      <c r="L1480" s="317">
        <v>48.804679999999998</v>
      </c>
      <c r="M1480" s="317">
        <v>41.830570000000002</v>
      </c>
    </row>
    <row r="1481" spans="1:13" ht="90" hidden="1" x14ac:dyDescent="0.25">
      <c r="A1481" s="313">
        <f t="shared" si="23"/>
        <v>1480</v>
      </c>
      <c r="B1481" s="319" t="s">
        <v>2656</v>
      </c>
      <c r="C1481" s="315" t="s">
        <v>582</v>
      </c>
      <c r="D1481" s="315" t="s">
        <v>2658</v>
      </c>
      <c r="E1481" s="318">
        <v>6.62</v>
      </c>
      <c r="F1481" s="318" t="s">
        <v>395</v>
      </c>
      <c r="G1481" s="318" t="s">
        <v>395</v>
      </c>
      <c r="H1481" s="318" t="s">
        <v>395</v>
      </c>
      <c r="I1481" s="318" t="s">
        <v>1499</v>
      </c>
      <c r="J1481" s="320">
        <v>281</v>
      </c>
      <c r="K1481" s="317" t="s">
        <v>410</v>
      </c>
      <c r="L1481" s="317">
        <v>50.15737</v>
      </c>
      <c r="M1481" s="317">
        <v>41.386099999999999</v>
      </c>
    </row>
    <row r="1482" spans="1:13" ht="45" hidden="1" x14ac:dyDescent="0.25">
      <c r="A1482" s="313">
        <f t="shared" si="23"/>
        <v>1481</v>
      </c>
      <c r="B1482" s="319" t="s">
        <v>2660</v>
      </c>
      <c r="C1482" s="315" t="s">
        <v>582</v>
      </c>
      <c r="D1482" s="315" t="s">
        <v>2662</v>
      </c>
      <c r="E1482" s="318">
        <v>5.78</v>
      </c>
      <c r="F1482" s="318" t="s">
        <v>395</v>
      </c>
      <c r="G1482" s="318" t="s">
        <v>395</v>
      </c>
      <c r="H1482" s="318" t="s">
        <v>395</v>
      </c>
      <c r="I1482" s="318" t="s">
        <v>1499</v>
      </c>
      <c r="J1482" s="320">
        <v>239</v>
      </c>
      <c r="K1482" s="317" t="s">
        <v>410</v>
      </c>
      <c r="L1482" s="317">
        <v>49.550330000000002</v>
      </c>
      <c r="M1482" s="317">
        <v>41.392490000000002</v>
      </c>
    </row>
    <row r="1483" spans="1:13" ht="45" hidden="1" x14ac:dyDescent="0.25">
      <c r="A1483" s="313">
        <f t="shared" si="23"/>
        <v>1482</v>
      </c>
      <c r="B1483" s="319" t="s">
        <v>2664</v>
      </c>
      <c r="C1483" s="315" t="s">
        <v>582</v>
      </c>
      <c r="D1483" s="315" t="s">
        <v>2666</v>
      </c>
      <c r="E1483" s="318">
        <v>2.94</v>
      </c>
      <c r="F1483" s="318" t="s">
        <v>395</v>
      </c>
      <c r="G1483" s="318" t="s">
        <v>395</v>
      </c>
      <c r="H1483" s="318" t="s">
        <v>395</v>
      </c>
      <c r="I1483" s="318" t="s">
        <v>1499</v>
      </c>
      <c r="J1483" s="320">
        <v>97</v>
      </c>
      <c r="K1483" s="317" t="s">
        <v>410</v>
      </c>
      <c r="L1483" s="317">
        <v>47.974730000000001</v>
      </c>
      <c r="M1483" s="317">
        <v>40.969639999999998</v>
      </c>
    </row>
    <row r="1484" spans="1:13" ht="75" hidden="1" x14ac:dyDescent="0.25">
      <c r="A1484" s="313">
        <f t="shared" si="23"/>
        <v>1483</v>
      </c>
      <c r="B1484" s="319" t="s">
        <v>2668</v>
      </c>
      <c r="C1484" s="315" t="s">
        <v>582</v>
      </c>
      <c r="D1484" s="315" t="s">
        <v>2670</v>
      </c>
      <c r="E1484" s="318">
        <v>5.88</v>
      </c>
      <c r="F1484" s="318" t="s">
        <v>395</v>
      </c>
      <c r="G1484" s="318" t="s">
        <v>395</v>
      </c>
      <c r="H1484" s="318" t="s">
        <v>395</v>
      </c>
      <c r="I1484" s="318" t="s">
        <v>1499</v>
      </c>
      <c r="J1484" s="320">
        <v>244</v>
      </c>
      <c r="K1484" s="317" t="s">
        <v>410</v>
      </c>
      <c r="L1484" s="317">
        <v>49.559570000000001</v>
      </c>
      <c r="M1484" s="317">
        <v>41.996459999999999</v>
      </c>
    </row>
    <row r="1485" spans="1:13" ht="60" hidden="1" x14ac:dyDescent="0.25">
      <c r="A1485" s="313">
        <f t="shared" si="23"/>
        <v>1484</v>
      </c>
      <c r="B1485" s="319" t="s">
        <v>2672</v>
      </c>
      <c r="C1485" s="315" t="s">
        <v>447</v>
      </c>
      <c r="D1485" s="315" t="s">
        <v>2674</v>
      </c>
      <c r="E1485" s="318">
        <v>5.46</v>
      </c>
      <c r="F1485" s="318" t="s">
        <v>395</v>
      </c>
      <c r="G1485" s="318" t="s">
        <v>395</v>
      </c>
      <c r="H1485" s="318" t="s">
        <v>395</v>
      </c>
      <c r="I1485" s="318" t="s">
        <v>1499</v>
      </c>
      <c r="J1485" s="320">
        <v>223</v>
      </c>
      <c r="K1485" s="317" t="s">
        <v>410</v>
      </c>
      <c r="L1485" s="317">
        <v>49.797370000000001</v>
      </c>
      <c r="M1485" s="317">
        <v>41.141599999999997</v>
      </c>
    </row>
    <row r="1486" spans="1:13" ht="60" hidden="1" x14ac:dyDescent="0.25">
      <c r="A1486" s="313">
        <f t="shared" si="23"/>
        <v>1485</v>
      </c>
      <c r="B1486" s="319" t="s">
        <v>2676</v>
      </c>
      <c r="C1486" s="315" t="s">
        <v>582</v>
      </c>
      <c r="D1486" s="315" t="s">
        <v>2678</v>
      </c>
      <c r="E1486" s="318">
        <v>3.06</v>
      </c>
      <c r="F1486" s="318" t="s">
        <v>395</v>
      </c>
      <c r="G1486" s="318" t="s">
        <v>395</v>
      </c>
      <c r="H1486" s="318" t="s">
        <v>395</v>
      </c>
      <c r="I1486" s="318" t="s">
        <v>1499</v>
      </c>
      <c r="J1486" s="320">
        <v>103</v>
      </c>
      <c r="K1486" s="317" t="s">
        <v>410</v>
      </c>
      <c r="L1486" s="317">
        <v>48.397629999999999</v>
      </c>
      <c r="M1486" s="317">
        <v>41.229149999999997</v>
      </c>
    </row>
    <row r="1487" spans="1:13" ht="45" hidden="1" x14ac:dyDescent="0.25">
      <c r="A1487" s="313">
        <f t="shared" si="23"/>
        <v>1486</v>
      </c>
      <c r="B1487" s="319" t="s">
        <v>2680</v>
      </c>
      <c r="C1487" s="315" t="s">
        <v>582</v>
      </c>
      <c r="D1487" s="315" t="s">
        <v>2682</v>
      </c>
      <c r="E1487" s="318">
        <v>5.28</v>
      </c>
      <c r="F1487" s="318" t="s">
        <v>395</v>
      </c>
      <c r="G1487" s="318" t="s">
        <v>395</v>
      </c>
      <c r="H1487" s="318" t="s">
        <v>395</v>
      </c>
      <c r="I1487" s="318" t="s">
        <v>1499</v>
      </c>
      <c r="J1487" s="320">
        <v>214</v>
      </c>
      <c r="K1487" s="317" t="s">
        <v>410</v>
      </c>
      <c r="L1487" s="317">
        <v>49.542760000000001</v>
      </c>
      <c r="M1487" s="317">
        <v>41.369410000000002</v>
      </c>
    </row>
    <row r="1488" spans="1:13" ht="45" hidden="1" x14ac:dyDescent="0.25">
      <c r="A1488" s="313">
        <f t="shared" si="23"/>
        <v>1487</v>
      </c>
      <c r="B1488" s="319" t="s">
        <v>2684</v>
      </c>
      <c r="C1488" s="315" t="s">
        <v>582</v>
      </c>
      <c r="D1488" s="315" t="s">
        <v>2686</v>
      </c>
      <c r="E1488" s="318">
        <v>3.1</v>
      </c>
      <c r="F1488" s="318" t="s">
        <v>395</v>
      </c>
      <c r="G1488" s="318" t="s">
        <v>395</v>
      </c>
      <c r="H1488" s="318" t="s">
        <v>395</v>
      </c>
      <c r="I1488" s="318" t="s">
        <v>1499</v>
      </c>
      <c r="J1488" s="320">
        <v>105</v>
      </c>
      <c r="K1488" s="317" t="s">
        <v>410</v>
      </c>
      <c r="L1488" s="317">
        <v>48.461640000000003</v>
      </c>
      <c r="M1488" s="317">
        <v>41.03293</v>
      </c>
    </row>
    <row r="1489" spans="1:13" ht="45" hidden="1" x14ac:dyDescent="0.25">
      <c r="A1489" s="313">
        <f t="shared" si="23"/>
        <v>1488</v>
      </c>
      <c r="B1489" s="319" t="s">
        <v>2688</v>
      </c>
      <c r="C1489" s="315" t="s">
        <v>582</v>
      </c>
      <c r="D1489" s="315" t="s">
        <v>2689</v>
      </c>
      <c r="E1489" s="318">
        <v>4.88</v>
      </c>
      <c r="F1489" s="318" t="s">
        <v>395</v>
      </c>
      <c r="G1489" s="318" t="s">
        <v>395</v>
      </c>
      <c r="H1489" s="318" t="s">
        <v>395</v>
      </c>
      <c r="I1489" s="318" t="s">
        <v>1499</v>
      </c>
      <c r="J1489" s="320">
        <v>194</v>
      </c>
      <c r="K1489" s="317" t="s">
        <v>410</v>
      </c>
      <c r="L1489" s="317">
        <v>48.813099999999999</v>
      </c>
      <c r="M1489" s="317">
        <v>41.601529999999997</v>
      </c>
    </row>
    <row r="1490" spans="1:13" ht="75" hidden="1" x14ac:dyDescent="0.25">
      <c r="A1490" s="313">
        <f t="shared" si="23"/>
        <v>1489</v>
      </c>
      <c r="B1490" s="319" t="s">
        <v>2691</v>
      </c>
      <c r="C1490" s="315" t="s">
        <v>428</v>
      </c>
      <c r="D1490" s="315" t="s">
        <v>2693</v>
      </c>
      <c r="E1490" s="318">
        <v>5.18</v>
      </c>
      <c r="F1490" s="318" t="s">
        <v>395</v>
      </c>
      <c r="G1490" s="318" t="s">
        <v>395</v>
      </c>
      <c r="H1490" s="318" t="s">
        <v>395</v>
      </c>
      <c r="I1490" s="318" t="s">
        <v>1499</v>
      </c>
      <c r="J1490" s="320">
        <v>209</v>
      </c>
      <c r="K1490" s="317" t="s">
        <v>410</v>
      </c>
      <c r="L1490" s="317">
        <v>49.228209999999997</v>
      </c>
      <c r="M1490" s="317">
        <v>41.834719999999997</v>
      </c>
    </row>
    <row r="1491" spans="1:13" ht="30" hidden="1" x14ac:dyDescent="0.25">
      <c r="A1491" s="313">
        <f t="shared" si="23"/>
        <v>1490</v>
      </c>
      <c r="B1491" s="319" t="s">
        <v>2695</v>
      </c>
      <c r="C1491" s="315" t="s">
        <v>399</v>
      </c>
      <c r="D1491" s="315" t="s">
        <v>2697</v>
      </c>
      <c r="E1491" s="318">
        <v>5.4</v>
      </c>
      <c r="F1491" s="318" t="s">
        <v>395</v>
      </c>
      <c r="G1491" s="318" t="s">
        <v>395</v>
      </c>
      <c r="H1491" s="318" t="s">
        <v>395</v>
      </c>
      <c r="I1491" s="318" t="s">
        <v>1499</v>
      </c>
      <c r="J1491" s="320">
        <v>220</v>
      </c>
      <c r="K1491" s="317" t="s">
        <v>410</v>
      </c>
      <c r="L1491" s="317">
        <v>49.600879999999997</v>
      </c>
      <c r="M1491" s="317">
        <v>41.723750000000003</v>
      </c>
    </row>
    <row r="1492" spans="1:13" ht="45" hidden="1" x14ac:dyDescent="0.25">
      <c r="A1492" s="313">
        <f t="shared" si="23"/>
        <v>1491</v>
      </c>
      <c r="B1492" s="319" t="s">
        <v>2700</v>
      </c>
      <c r="C1492" s="315" t="s">
        <v>412</v>
      </c>
      <c r="D1492" s="315" t="s">
        <v>2702</v>
      </c>
      <c r="E1492" s="318">
        <v>5.0999999999999996</v>
      </c>
      <c r="F1492" s="318" t="s">
        <v>395</v>
      </c>
      <c r="G1492" s="318" t="s">
        <v>395</v>
      </c>
      <c r="H1492" s="318" t="s">
        <v>395</v>
      </c>
      <c r="I1492" s="318" t="s">
        <v>1499</v>
      </c>
      <c r="J1492" s="320">
        <v>205</v>
      </c>
      <c r="K1492" s="317" t="s">
        <v>410</v>
      </c>
      <c r="L1492" s="317">
        <v>49.61692</v>
      </c>
      <c r="M1492" s="317">
        <v>41.010300000000001</v>
      </c>
    </row>
    <row r="1493" spans="1:13" ht="45" hidden="1" x14ac:dyDescent="0.25">
      <c r="A1493" s="313">
        <f t="shared" si="23"/>
        <v>1492</v>
      </c>
      <c r="B1493" s="319" t="s">
        <v>2705</v>
      </c>
      <c r="C1493" s="315" t="s">
        <v>503</v>
      </c>
      <c r="D1493" s="315" t="s">
        <v>2706</v>
      </c>
      <c r="E1493" s="318">
        <v>3.5</v>
      </c>
      <c r="F1493" s="318" t="s">
        <v>395</v>
      </c>
      <c r="G1493" s="318" t="s">
        <v>395</v>
      </c>
      <c r="H1493" s="318" t="s">
        <v>395</v>
      </c>
      <c r="I1493" s="318" t="s">
        <v>1499</v>
      </c>
      <c r="J1493" s="320">
        <v>125</v>
      </c>
      <c r="K1493" s="317" t="s">
        <v>410</v>
      </c>
      <c r="L1493" s="317">
        <v>48.993859999999998</v>
      </c>
      <c r="M1493" s="317">
        <v>39.958289999999998</v>
      </c>
    </row>
    <row r="1494" spans="1:13" ht="30" hidden="1" x14ac:dyDescent="0.25">
      <c r="A1494" s="313">
        <f t="shared" si="23"/>
        <v>1493</v>
      </c>
      <c r="B1494" s="319" t="s">
        <v>2709</v>
      </c>
      <c r="C1494" s="315" t="s">
        <v>503</v>
      </c>
      <c r="D1494" s="315" t="s">
        <v>2710</v>
      </c>
      <c r="E1494" s="318">
        <v>6.36</v>
      </c>
      <c r="F1494" s="318" t="s">
        <v>395</v>
      </c>
      <c r="G1494" s="318" t="s">
        <v>395</v>
      </c>
      <c r="H1494" s="318" t="s">
        <v>395</v>
      </c>
      <c r="I1494" s="318" t="s">
        <v>1499</v>
      </c>
      <c r="J1494" s="320">
        <v>268</v>
      </c>
      <c r="K1494" s="317" t="s">
        <v>410</v>
      </c>
      <c r="L1494" s="317">
        <v>50.061880000000002</v>
      </c>
      <c r="M1494" s="317">
        <v>41.48019</v>
      </c>
    </row>
    <row r="1495" spans="1:13" ht="75" hidden="1" x14ac:dyDescent="0.25">
      <c r="A1495" s="313">
        <f t="shared" si="23"/>
        <v>1494</v>
      </c>
      <c r="B1495" s="319" t="s">
        <v>2713</v>
      </c>
      <c r="C1495" s="315" t="s">
        <v>428</v>
      </c>
      <c r="D1495" s="315" t="s">
        <v>2714</v>
      </c>
      <c r="E1495" s="318">
        <v>5.56</v>
      </c>
      <c r="F1495" s="318" t="s">
        <v>395</v>
      </c>
      <c r="G1495" s="318" t="s">
        <v>395</v>
      </c>
      <c r="H1495" s="318" t="s">
        <v>395</v>
      </c>
      <c r="I1495" s="318" t="s">
        <v>1499</v>
      </c>
      <c r="J1495" s="320">
        <v>228</v>
      </c>
      <c r="K1495" s="317" t="s">
        <v>410</v>
      </c>
      <c r="L1495" s="317">
        <v>49.580030000000001</v>
      </c>
      <c r="M1495" s="317">
        <v>41.2151</v>
      </c>
    </row>
    <row r="1496" spans="1:13" ht="45" hidden="1" x14ac:dyDescent="0.25">
      <c r="A1496" s="313">
        <f t="shared" si="23"/>
        <v>1495</v>
      </c>
      <c r="B1496" s="319" t="s">
        <v>2717</v>
      </c>
      <c r="C1496" s="315" t="s">
        <v>582</v>
      </c>
      <c r="D1496" s="315" t="s">
        <v>2718</v>
      </c>
      <c r="E1496" s="318">
        <v>3.64</v>
      </c>
      <c r="F1496" s="318" t="s">
        <v>395</v>
      </c>
      <c r="G1496" s="318" t="s">
        <v>395</v>
      </c>
      <c r="H1496" s="318" t="s">
        <v>395</v>
      </c>
      <c r="I1496" s="318" t="s">
        <v>1499</v>
      </c>
      <c r="J1496" s="320">
        <v>132</v>
      </c>
      <c r="K1496" s="317" t="s">
        <v>410</v>
      </c>
      <c r="L1496" s="317">
        <v>49.341459999999998</v>
      </c>
      <c r="M1496" s="317">
        <v>40.664380000000001</v>
      </c>
    </row>
    <row r="1497" spans="1:13" ht="75" hidden="1" x14ac:dyDescent="0.25">
      <c r="A1497" s="313">
        <f t="shared" si="23"/>
        <v>1496</v>
      </c>
      <c r="B1497" s="319" t="s">
        <v>2721</v>
      </c>
      <c r="C1497" s="315" t="s">
        <v>412</v>
      </c>
      <c r="D1497" s="315" t="s">
        <v>2722</v>
      </c>
      <c r="E1497" s="318">
        <v>4.28</v>
      </c>
      <c r="F1497" s="318" t="s">
        <v>395</v>
      </c>
      <c r="G1497" s="318" t="s">
        <v>395</v>
      </c>
      <c r="H1497" s="318" t="s">
        <v>395</v>
      </c>
      <c r="I1497" s="318" t="s">
        <v>1499</v>
      </c>
      <c r="J1497" s="320">
        <v>164</v>
      </c>
      <c r="K1497" s="317" t="s">
        <v>410</v>
      </c>
      <c r="L1497" s="317">
        <v>49.24389</v>
      </c>
      <c r="M1497" s="317">
        <v>41.231389999999998</v>
      </c>
    </row>
    <row r="1498" spans="1:13" ht="60" hidden="1" x14ac:dyDescent="0.25">
      <c r="A1498" s="313">
        <f t="shared" si="23"/>
        <v>1497</v>
      </c>
      <c r="B1498" s="319" t="s">
        <v>2724</v>
      </c>
      <c r="C1498" s="315" t="s">
        <v>447</v>
      </c>
      <c r="D1498" s="315" t="s">
        <v>2726</v>
      </c>
      <c r="E1498" s="318">
        <v>1.1200000000000001</v>
      </c>
      <c r="F1498" s="318" t="s">
        <v>395</v>
      </c>
      <c r="G1498" s="318" t="s">
        <v>395</v>
      </c>
      <c r="H1498" s="318" t="s">
        <v>395</v>
      </c>
      <c r="I1498" s="318" t="s">
        <v>1499</v>
      </c>
      <c r="J1498" s="320">
        <v>6</v>
      </c>
      <c r="K1498" s="317" t="s">
        <v>410</v>
      </c>
      <c r="L1498" s="317">
        <v>48.32264</v>
      </c>
      <c r="M1498" s="317">
        <v>40.2804</v>
      </c>
    </row>
    <row r="1499" spans="1:13" ht="45" hidden="1" x14ac:dyDescent="0.25">
      <c r="A1499" s="313">
        <f t="shared" si="23"/>
        <v>1498</v>
      </c>
      <c r="B1499" s="319" t="s">
        <v>2728</v>
      </c>
      <c r="C1499" s="315" t="s">
        <v>412</v>
      </c>
      <c r="D1499" s="315" t="s">
        <v>2730</v>
      </c>
      <c r="E1499" s="318">
        <v>1.62</v>
      </c>
      <c r="F1499" s="318" t="s">
        <v>395</v>
      </c>
      <c r="G1499" s="318" t="s">
        <v>395</v>
      </c>
      <c r="H1499" s="318" t="s">
        <v>395</v>
      </c>
      <c r="I1499" s="318" t="s">
        <v>1499</v>
      </c>
      <c r="J1499" s="320">
        <v>31</v>
      </c>
      <c r="K1499" s="317" t="s">
        <v>410</v>
      </c>
      <c r="L1499" s="317">
        <v>48.33061</v>
      </c>
      <c r="M1499" s="317">
        <v>39.967559999999999</v>
      </c>
    </row>
    <row r="1500" spans="1:13" ht="60" hidden="1" x14ac:dyDescent="0.25">
      <c r="A1500" s="313">
        <f t="shared" si="23"/>
        <v>1499</v>
      </c>
      <c r="B1500" s="319" t="s">
        <v>2732</v>
      </c>
      <c r="C1500" s="315" t="s">
        <v>447</v>
      </c>
      <c r="D1500" s="315" t="s">
        <v>2734</v>
      </c>
      <c r="E1500" s="318">
        <v>1.84</v>
      </c>
      <c r="F1500" s="318" t="s">
        <v>395</v>
      </c>
      <c r="G1500" s="318" t="s">
        <v>395</v>
      </c>
      <c r="H1500" s="318" t="s">
        <v>395</v>
      </c>
      <c r="I1500" s="318" t="s">
        <v>1499</v>
      </c>
      <c r="J1500" s="320">
        <v>42</v>
      </c>
      <c r="K1500" s="317" t="s">
        <v>410</v>
      </c>
      <c r="L1500" s="317">
        <v>48.034439999999996</v>
      </c>
      <c r="M1500" s="317">
        <v>40.128520000000002</v>
      </c>
    </row>
    <row r="1501" spans="1:13" ht="45" hidden="1" x14ac:dyDescent="0.25">
      <c r="A1501" s="313">
        <f t="shared" si="23"/>
        <v>1500</v>
      </c>
      <c r="B1501" s="319" t="s">
        <v>2736</v>
      </c>
      <c r="C1501" s="315" t="s">
        <v>412</v>
      </c>
      <c r="D1501" s="315" t="s">
        <v>2738</v>
      </c>
      <c r="E1501" s="318">
        <v>3.86</v>
      </c>
      <c r="F1501" s="318" t="s">
        <v>395</v>
      </c>
      <c r="G1501" s="318" t="s">
        <v>395</v>
      </c>
      <c r="H1501" s="318" t="s">
        <v>395</v>
      </c>
      <c r="I1501" s="318" t="s">
        <v>1499</v>
      </c>
      <c r="J1501" s="320">
        <v>143</v>
      </c>
      <c r="K1501" s="317" t="s">
        <v>410</v>
      </c>
      <c r="L1501" s="317">
        <v>48.982889999999998</v>
      </c>
      <c r="M1501" s="317">
        <v>41.166339999999998</v>
      </c>
    </row>
    <row r="1502" spans="1:13" ht="45" hidden="1" x14ac:dyDescent="0.25">
      <c r="A1502" s="313">
        <f t="shared" si="23"/>
        <v>1501</v>
      </c>
      <c r="B1502" s="319" t="s">
        <v>2740</v>
      </c>
      <c r="C1502" s="315" t="s">
        <v>412</v>
      </c>
      <c r="D1502" s="315" t="s">
        <v>2742</v>
      </c>
      <c r="E1502" s="318">
        <v>2.78</v>
      </c>
      <c r="F1502" s="318" t="s">
        <v>395</v>
      </c>
      <c r="G1502" s="318" t="s">
        <v>395</v>
      </c>
      <c r="H1502" s="318" t="s">
        <v>395</v>
      </c>
      <c r="I1502" s="318" t="s">
        <v>1499</v>
      </c>
      <c r="J1502" s="320">
        <v>89</v>
      </c>
      <c r="K1502" s="317" t="s">
        <v>410</v>
      </c>
      <c r="L1502" s="317">
        <v>48.935279999999999</v>
      </c>
      <c r="M1502" s="317">
        <v>40.430280000000003</v>
      </c>
    </row>
    <row r="1503" spans="1:13" ht="45" hidden="1" x14ac:dyDescent="0.25">
      <c r="A1503" s="313">
        <f t="shared" si="23"/>
        <v>1502</v>
      </c>
      <c r="B1503" s="319" t="s">
        <v>2744</v>
      </c>
      <c r="C1503" s="315" t="s">
        <v>412</v>
      </c>
      <c r="D1503" s="315" t="s">
        <v>2746</v>
      </c>
      <c r="E1503" s="318">
        <v>6.22</v>
      </c>
      <c r="F1503" s="318" t="s">
        <v>395</v>
      </c>
      <c r="G1503" s="318" t="s">
        <v>395</v>
      </c>
      <c r="H1503" s="318" t="s">
        <v>395</v>
      </c>
      <c r="I1503" s="318" t="s">
        <v>1499</v>
      </c>
      <c r="J1503" s="320">
        <v>261</v>
      </c>
      <c r="K1503" s="317" t="s">
        <v>410</v>
      </c>
      <c r="L1503" s="317">
        <v>48.931950000000001</v>
      </c>
      <c r="M1503" s="317">
        <v>42.152450000000002</v>
      </c>
    </row>
    <row r="1504" spans="1:13" ht="45" hidden="1" x14ac:dyDescent="0.25">
      <c r="A1504" s="313">
        <f t="shared" si="23"/>
        <v>1503</v>
      </c>
      <c r="B1504" s="319" t="s">
        <v>2748</v>
      </c>
      <c r="C1504" s="315" t="s">
        <v>412</v>
      </c>
      <c r="D1504" s="315" t="s">
        <v>2750</v>
      </c>
      <c r="E1504" s="318">
        <v>2.16</v>
      </c>
      <c r="F1504" s="318" t="s">
        <v>395</v>
      </c>
      <c r="G1504" s="318" t="s">
        <v>395</v>
      </c>
      <c r="H1504" s="318" t="s">
        <v>395</v>
      </c>
      <c r="I1504" s="318" t="s">
        <v>1499</v>
      </c>
      <c r="J1504" s="320">
        <v>58</v>
      </c>
      <c r="K1504" s="317" t="s">
        <v>410</v>
      </c>
      <c r="L1504" s="317">
        <v>48.001469999999998</v>
      </c>
      <c r="M1504" s="317">
        <v>40.500059999999998</v>
      </c>
    </row>
    <row r="1505" spans="1:13" ht="45" hidden="1" x14ac:dyDescent="0.25">
      <c r="A1505" s="313">
        <f t="shared" si="23"/>
        <v>1504</v>
      </c>
      <c r="B1505" s="319" t="s">
        <v>2752</v>
      </c>
      <c r="C1505" s="315" t="s">
        <v>412</v>
      </c>
      <c r="D1505" s="315" t="s">
        <v>2754</v>
      </c>
      <c r="E1505" s="318">
        <v>4.22</v>
      </c>
      <c r="F1505" s="318" t="s">
        <v>395</v>
      </c>
      <c r="G1505" s="318" t="s">
        <v>395</v>
      </c>
      <c r="H1505" s="318" t="s">
        <v>395</v>
      </c>
      <c r="I1505" s="318" t="s">
        <v>1499</v>
      </c>
      <c r="J1505" s="320">
        <v>161</v>
      </c>
      <c r="K1505" s="317" t="s">
        <v>410</v>
      </c>
      <c r="L1505" s="317">
        <v>49.459690000000002</v>
      </c>
      <c r="M1505" s="317">
        <v>40.486640000000001</v>
      </c>
    </row>
    <row r="1506" spans="1:13" ht="30" hidden="1" x14ac:dyDescent="0.25">
      <c r="A1506" s="313">
        <f t="shared" si="23"/>
        <v>1505</v>
      </c>
      <c r="B1506" s="319" t="s">
        <v>2756</v>
      </c>
      <c r="C1506" s="315" t="s">
        <v>399</v>
      </c>
      <c r="D1506" s="315" t="s">
        <v>2758</v>
      </c>
      <c r="E1506" s="318">
        <v>2.1800000000000002</v>
      </c>
      <c r="F1506" s="318" t="s">
        <v>395</v>
      </c>
      <c r="G1506" s="318" t="s">
        <v>395</v>
      </c>
      <c r="H1506" s="318" t="s">
        <v>395</v>
      </c>
      <c r="I1506" s="318" t="s">
        <v>2759</v>
      </c>
      <c r="J1506" s="320">
        <v>59</v>
      </c>
      <c r="K1506" s="317" t="s">
        <v>410</v>
      </c>
      <c r="L1506" s="317">
        <v>47.149610000000003</v>
      </c>
      <c r="M1506" s="317">
        <v>42.466889999999999</v>
      </c>
    </row>
    <row r="1507" spans="1:13" ht="30" hidden="1" x14ac:dyDescent="0.25">
      <c r="A1507" s="313">
        <f t="shared" si="23"/>
        <v>1506</v>
      </c>
      <c r="B1507" s="319" t="s">
        <v>2761</v>
      </c>
      <c r="C1507" s="315" t="s">
        <v>399</v>
      </c>
      <c r="D1507" s="315" t="s">
        <v>2763</v>
      </c>
      <c r="E1507" s="318">
        <v>2.34</v>
      </c>
      <c r="F1507" s="318" t="s">
        <v>395</v>
      </c>
      <c r="G1507" s="318" t="s">
        <v>395</v>
      </c>
      <c r="H1507" s="318" t="s">
        <v>395</v>
      </c>
      <c r="I1507" s="318" t="s">
        <v>2759</v>
      </c>
      <c r="J1507" s="320">
        <v>67</v>
      </c>
      <c r="K1507" s="317" t="s">
        <v>410</v>
      </c>
      <c r="L1507" s="317">
        <v>47.403329999999997</v>
      </c>
      <c r="M1507" s="317">
        <v>42.744219999999999</v>
      </c>
    </row>
    <row r="1508" spans="1:13" ht="45" hidden="1" x14ac:dyDescent="0.25">
      <c r="A1508" s="313">
        <f t="shared" si="23"/>
        <v>1507</v>
      </c>
      <c r="B1508" s="319" t="s">
        <v>2765</v>
      </c>
      <c r="C1508" s="315" t="s">
        <v>412</v>
      </c>
      <c r="D1508" s="315" t="s">
        <v>2767</v>
      </c>
      <c r="E1508" s="318">
        <v>2.6</v>
      </c>
      <c r="F1508" s="318" t="s">
        <v>395</v>
      </c>
      <c r="G1508" s="318" t="s">
        <v>395</v>
      </c>
      <c r="H1508" s="318" t="s">
        <v>395</v>
      </c>
      <c r="I1508" s="318" t="s">
        <v>2759</v>
      </c>
      <c r="J1508" s="320">
        <v>80</v>
      </c>
      <c r="K1508" s="317" t="s">
        <v>410</v>
      </c>
      <c r="L1508" s="317">
        <v>47.275880000000001</v>
      </c>
      <c r="M1508" s="317">
        <v>42.594990000000003</v>
      </c>
    </row>
    <row r="1509" spans="1:13" ht="45" hidden="1" x14ac:dyDescent="0.25">
      <c r="A1509" s="313">
        <f t="shared" si="23"/>
        <v>1508</v>
      </c>
      <c r="B1509" s="319" t="s">
        <v>2769</v>
      </c>
      <c r="C1509" s="315" t="s">
        <v>412</v>
      </c>
      <c r="D1509" s="315" t="s">
        <v>2771</v>
      </c>
      <c r="E1509" s="318">
        <v>2.78</v>
      </c>
      <c r="F1509" s="318" t="s">
        <v>395</v>
      </c>
      <c r="G1509" s="318" t="s">
        <v>395</v>
      </c>
      <c r="H1509" s="318" t="s">
        <v>395</v>
      </c>
      <c r="I1509" s="318" t="s">
        <v>2759</v>
      </c>
      <c r="J1509" s="320">
        <v>89</v>
      </c>
      <c r="K1509" s="317" t="s">
        <v>410</v>
      </c>
      <c r="L1509" s="317">
        <v>46.88194</v>
      </c>
      <c r="M1509" s="317">
        <v>42.505000000000003</v>
      </c>
    </row>
    <row r="1510" spans="1:13" ht="45" hidden="1" x14ac:dyDescent="0.25">
      <c r="A1510" s="313">
        <f t="shared" si="23"/>
        <v>1509</v>
      </c>
      <c r="B1510" s="319" t="s">
        <v>2773</v>
      </c>
      <c r="C1510" s="315" t="s">
        <v>412</v>
      </c>
      <c r="D1510" s="315" t="s">
        <v>2775</v>
      </c>
      <c r="E1510" s="318">
        <v>1.96</v>
      </c>
      <c r="F1510" s="318" t="s">
        <v>395</v>
      </c>
      <c r="G1510" s="318" t="s">
        <v>395</v>
      </c>
      <c r="H1510" s="318" t="s">
        <v>395</v>
      </c>
      <c r="I1510" s="318" t="s">
        <v>2759</v>
      </c>
      <c r="J1510" s="320">
        <v>48</v>
      </c>
      <c r="K1510" s="317" t="s">
        <v>410</v>
      </c>
      <c r="L1510" s="317">
        <v>47.231670000000001</v>
      </c>
      <c r="M1510" s="317">
        <v>42.129719999999999</v>
      </c>
    </row>
    <row r="1511" spans="1:13" ht="60" hidden="1" x14ac:dyDescent="0.25">
      <c r="A1511" s="313">
        <f t="shared" si="23"/>
        <v>1510</v>
      </c>
      <c r="B1511" s="319" t="s">
        <v>2777</v>
      </c>
      <c r="C1511" s="315" t="s">
        <v>447</v>
      </c>
      <c r="D1511" s="315" t="s">
        <v>2779</v>
      </c>
      <c r="E1511" s="318">
        <v>4.28</v>
      </c>
      <c r="F1511" s="318" t="s">
        <v>395</v>
      </c>
      <c r="G1511" s="318" t="s">
        <v>395</v>
      </c>
      <c r="H1511" s="318" t="s">
        <v>395</v>
      </c>
      <c r="I1511" s="318" t="s">
        <v>2759</v>
      </c>
      <c r="J1511" s="320">
        <v>164</v>
      </c>
      <c r="K1511" s="317" t="s">
        <v>410</v>
      </c>
      <c r="L1511" s="317">
        <v>47.125610000000002</v>
      </c>
      <c r="M1511" s="317">
        <v>43.901479999999999</v>
      </c>
    </row>
    <row r="1512" spans="1:13" ht="45" hidden="1" x14ac:dyDescent="0.25">
      <c r="A1512" s="313">
        <f t="shared" si="23"/>
        <v>1511</v>
      </c>
      <c r="B1512" s="319" t="s">
        <v>2780</v>
      </c>
      <c r="C1512" s="315" t="s">
        <v>412</v>
      </c>
      <c r="D1512" s="315" t="s">
        <v>2782</v>
      </c>
      <c r="E1512" s="318">
        <v>4.0599999999999996</v>
      </c>
      <c r="F1512" s="318" t="s">
        <v>395</v>
      </c>
      <c r="G1512" s="318" t="s">
        <v>395</v>
      </c>
      <c r="H1512" s="318" t="s">
        <v>395</v>
      </c>
      <c r="I1512" s="318" t="s">
        <v>2759</v>
      </c>
      <c r="J1512" s="320">
        <v>153</v>
      </c>
      <c r="K1512" s="317" t="s">
        <v>410</v>
      </c>
      <c r="L1512" s="317">
        <v>46.656999999999996</v>
      </c>
      <c r="M1512" s="317">
        <v>43.412120000000002</v>
      </c>
    </row>
    <row r="1513" spans="1:13" ht="45" hidden="1" x14ac:dyDescent="0.25">
      <c r="A1513" s="313">
        <f t="shared" si="23"/>
        <v>1512</v>
      </c>
      <c r="B1513" s="319" t="s">
        <v>2784</v>
      </c>
      <c r="C1513" s="315" t="s">
        <v>412</v>
      </c>
      <c r="D1513" s="315" t="s">
        <v>2786</v>
      </c>
      <c r="E1513" s="318">
        <v>3.32</v>
      </c>
      <c r="F1513" s="318" t="s">
        <v>395</v>
      </c>
      <c r="G1513" s="318" t="s">
        <v>395</v>
      </c>
      <c r="H1513" s="318" t="s">
        <v>395</v>
      </c>
      <c r="I1513" s="318" t="s">
        <v>2759</v>
      </c>
      <c r="J1513" s="320">
        <v>116</v>
      </c>
      <c r="K1513" s="317" t="s">
        <v>410</v>
      </c>
      <c r="L1513" s="317">
        <v>46.845550000000003</v>
      </c>
      <c r="M1513" s="317">
        <v>42.97916</v>
      </c>
    </row>
    <row r="1514" spans="1:13" ht="45" hidden="1" x14ac:dyDescent="0.25">
      <c r="A1514" s="313">
        <f t="shared" si="23"/>
        <v>1513</v>
      </c>
      <c r="B1514" s="319" t="s">
        <v>2788</v>
      </c>
      <c r="C1514" s="315" t="s">
        <v>412</v>
      </c>
      <c r="D1514" s="315" t="s">
        <v>2791</v>
      </c>
      <c r="E1514" s="318">
        <v>3.64</v>
      </c>
      <c r="F1514" s="318" t="s">
        <v>395</v>
      </c>
      <c r="G1514" s="318" t="s">
        <v>395</v>
      </c>
      <c r="H1514" s="318" t="s">
        <v>395</v>
      </c>
      <c r="I1514" s="318" t="s">
        <v>2759</v>
      </c>
      <c r="J1514" s="320">
        <v>132</v>
      </c>
      <c r="K1514" s="317" t="s">
        <v>410</v>
      </c>
      <c r="L1514" s="317">
        <v>46.787779999999998</v>
      </c>
      <c r="M1514" s="317">
        <v>43.109720000000003</v>
      </c>
    </row>
    <row r="1515" spans="1:13" ht="45" hidden="1" x14ac:dyDescent="0.25">
      <c r="A1515" s="313">
        <f t="shared" si="23"/>
        <v>1514</v>
      </c>
      <c r="B1515" s="319" t="s">
        <v>2793</v>
      </c>
      <c r="C1515" s="315" t="s">
        <v>412</v>
      </c>
      <c r="D1515" s="315" t="s">
        <v>2794</v>
      </c>
      <c r="E1515" s="318">
        <v>3.32</v>
      </c>
      <c r="F1515" s="318" t="s">
        <v>395</v>
      </c>
      <c r="G1515" s="318" t="s">
        <v>395</v>
      </c>
      <c r="H1515" s="318" t="s">
        <v>395</v>
      </c>
      <c r="I1515" s="318" t="s">
        <v>2759</v>
      </c>
      <c r="J1515" s="320">
        <v>116</v>
      </c>
      <c r="K1515" s="317" t="s">
        <v>410</v>
      </c>
      <c r="L1515" s="317">
        <v>46.75806</v>
      </c>
      <c r="M1515" s="317">
        <v>42.784999999999997</v>
      </c>
    </row>
    <row r="1516" spans="1:13" ht="45" hidden="1" x14ac:dyDescent="0.25">
      <c r="A1516" s="313">
        <f t="shared" si="23"/>
        <v>1515</v>
      </c>
      <c r="B1516" s="319" t="s">
        <v>2796</v>
      </c>
      <c r="C1516" s="315" t="s">
        <v>412</v>
      </c>
      <c r="D1516" s="315" t="s">
        <v>2798</v>
      </c>
      <c r="E1516" s="318">
        <v>3.88</v>
      </c>
      <c r="F1516" s="318" t="s">
        <v>395</v>
      </c>
      <c r="G1516" s="318" t="s">
        <v>395</v>
      </c>
      <c r="H1516" s="318" t="s">
        <v>395</v>
      </c>
      <c r="I1516" s="318" t="s">
        <v>2759</v>
      </c>
      <c r="J1516" s="320">
        <v>144</v>
      </c>
      <c r="K1516" s="317" t="s">
        <v>410</v>
      </c>
      <c r="L1516" s="317">
        <v>47.254519999999999</v>
      </c>
      <c r="M1516" s="317">
        <v>43.709629999999997</v>
      </c>
    </row>
    <row r="1517" spans="1:13" ht="45" hidden="1" x14ac:dyDescent="0.25">
      <c r="A1517" s="313">
        <f t="shared" si="23"/>
        <v>1516</v>
      </c>
      <c r="B1517" s="319" t="s">
        <v>2801</v>
      </c>
      <c r="C1517" s="315" t="s">
        <v>412</v>
      </c>
      <c r="D1517" s="315" t="s">
        <v>2803</v>
      </c>
      <c r="E1517" s="318">
        <v>2.76</v>
      </c>
      <c r="F1517" s="318" t="s">
        <v>395</v>
      </c>
      <c r="G1517" s="318" t="s">
        <v>395</v>
      </c>
      <c r="H1517" s="318" t="s">
        <v>395</v>
      </c>
      <c r="I1517" s="318" t="s">
        <v>2759</v>
      </c>
      <c r="J1517" s="320">
        <v>88</v>
      </c>
      <c r="K1517" s="317" t="s">
        <v>410</v>
      </c>
      <c r="L1517" s="317">
        <v>47.01746</v>
      </c>
      <c r="M1517" s="317">
        <v>42.772680000000001</v>
      </c>
    </row>
    <row r="1518" spans="1:13" ht="60" hidden="1" x14ac:dyDescent="0.25">
      <c r="A1518" s="313">
        <f t="shared" si="23"/>
        <v>1517</v>
      </c>
      <c r="B1518" s="319" t="s">
        <v>2805</v>
      </c>
      <c r="C1518" s="315" t="s">
        <v>677</v>
      </c>
      <c r="D1518" s="315" t="s">
        <v>2807</v>
      </c>
      <c r="E1518" s="318">
        <v>4.4800000000000004</v>
      </c>
      <c r="F1518" s="318" t="s">
        <v>395</v>
      </c>
      <c r="G1518" s="318" t="s">
        <v>395</v>
      </c>
      <c r="H1518" s="318" t="s">
        <v>395</v>
      </c>
      <c r="I1518" s="318" t="s">
        <v>2759</v>
      </c>
      <c r="J1518" s="320">
        <v>174</v>
      </c>
      <c r="K1518" s="317" t="s">
        <v>410</v>
      </c>
      <c r="L1518" s="317">
        <v>47.078110000000002</v>
      </c>
      <c r="M1518" s="317">
        <v>44.036140000000003</v>
      </c>
    </row>
    <row r="1519" spans="1:13" ht="60" hidden="1" x14ac:dyDescent="0.25">
      <c r="A1519" s="313">
        <f t="shared" si="23"/>
        <v>1518</v>
      </c>
      <c r="B1519" s="319" t="s">
        <v>2809</v>
      </c>
      <c r="C1519" s="315" t="s">
        <v>452</v>
      </c>
      <c r="D1519" s="315" t="s">
        <v>2811</v>
      </c>
      <c r="E1519" s="318">
        <v>2.44</v>
      </c>
      <c r="F1519" s="318" t="s">
        <v>395</v>
      </c>
      <c r="G1519" s="318" t="s">
        <v>395</v>
      </c>
      <c r="H1519" s="318" t="s">
        <v>395</v>
      </c>
      <c r="I1519" s="318" t="s">
        <v>2759</v>
      </c>
      <c r="J1519" s="320">
        <v>72</v>
      </c>
      <c r="K1519" s="317" t="s">
        <v>410</v>
      </c>
      <c r="L1519" s="317">
        <v>47.347900000000003</v>
      </c>
      <c r="M1519" s="317">
        <v>41.445050000000002</v>
      </c>
    </row>
    <row r="1520" spans="1:13" ht="45" hidden="1" x14ac:dyDescent="0.25">
      <c r="A1520" s="313">
        <f t="shared" si="23"/>
        <v>1519</v>
      </c>
      <c r="B1520" s="319" t="s">
        <v>2813</v>
      </c>
      <c r="C1520" s="315" t="s">
        <v>412</v>
      </c>
      <c r="D1520" s="315" t="s">
        <v>2815</v>
      </c>
      <c r="E1520" s="318">
        <v>4.68</v>
      </c>
      <c r="F1520" s="318" t="s">
        <v>395</v>
      </c>
      <c r="G1520" s="318" t="s">
        <v>395</v>
      </c>
      <c r="H1520" s="318" t="s">
        <v>395</v>
      </c>
      <c r="I1520" s="318" t="s">
        <v>2759</v>
      </c>
      <c r="J1520" s="320">
        <v>184</v>
      </c>
      <c r="K1520" s="317" t="s">
        <v>410</v>
      </c>
      <c r="L1520" s="317">
        <v>46.701390000000004</v>
      </c>
      <c r="M1520" s="317">
        <v>43.752780000000001</v>
      </c>
    </row>
    <row r="1521" spans="1:13" ht="30" hidden="1" x14ac:dyDescent="0.25">
      <c r="A1521" s="313">
        <f t="shared" si="23"/>
        <v>1520</v>
      </c>
      <c r="B1521" s="319" t="s">
        <v>2816</v>
      </c>
      <c r="C1521" s="315" t="s">
        <v>399</v>
      </c>
      <c r="D1521" s="315" t="s">
        <v>2819</v>
      </c>
      <c r="E1521" s="318">
        <v>3.4</v>
      </c>
      <c r="F1521" s="318" t="s">
        <v>395</v>
      </c>
      <c r="G1521" s="318" t="s">
        <v>395</v>
      </c>
      <c r="H1521" s="318" t="s">
        <v>395</v>
      </c>
      <c r="I1521" s="318" t="s">
        <v>2759</v>
      </c>
      <c r="J1521" s="320">
        <v>120</v>
      </c>
      <c r="K1521" s="317" t="s">
        <v>410</v>
      </c>
      <c r="L1521" s="317">
        <v>47.534599999999998</v>
      </c>
      <c r="M1521" s="317">
        <v>40.83014</v>
      </c>
    </row>
    <row r="1522" spans="1:13" ht="45" hidden="1" x14ac:dyDescent="0.25">
      <c r="A1522" s="313">
        <f t="shared" si="23"/>
        <v>1521</v>
      </c>
      <c r="B1522" s="319" t="s">
        <v>2821</v>
      </c>
      <c r="C1522" s="315" t="s">
        <v>412</v>
      </c>
      <c r="D1522" s="315" t="s">
        <v>2823</v>
      </c>
      <c r="E1522" s="318">
        <v>3.44</v>
      </c>
      <c r="F1522" s="318" t="s">
        <v>395</v>
      </c>
      <c r="G1522" s="318" t="s">
        <v>395</v>
      </c>
      <c r="H1522" s="318" t="s">
        <v>395</v>
      </c>
      <c r="I1522" s="318" t="s">
        <v>2759</v>
      </c>
      <c r="J1522" s="320">
        <v>122</v>
      </c>
      <c r="K1522" s="317" t="s">
        <v>410</v>
      </c>
      <c r="L1522" s="317">
        <v>47.51961</v>
      </c>
      <c r="M1522" s="317">
        <v>40.807110000000002</v>
      </c>
    </row>
    <row r="1523" spans="1:13" ht="45" hidden="1" x14ac:dyDescent="0.25">
      <c r="A1523" s="313">
        <f t="shared" si="23"/>
        <v>1522</v>
      </c>
      <c r="B1523" s="319" t="s">
        <v>2824</v>
      </c>
      <c r="C1523" s="315" t="s">
        <v>412</v>
      </c>
      <c r="D1523" s="315" t="s">
        <v>2826</v>
      </c>
      <c r="E1523" s="318">
        <v>3.18</v>
      </c>
      <c r="F1523" s="318" t="s">
        <v>395</v>
      </c>
      <c r="G1523" s="318" t="s">
        <v>395</v>
      </c>
      <c r="H1523" s="318" t="s">
        <v>395</v>
      </c>
      <c r="I1523" s="318" t="s">
        <v>2759</v>
      </c>
      <c r="J1523" s="320">
        <v>109</v>
      </c>
      <c r="K1523" s="317" t="s">
        <v>410</v>
      </c>
      <c r="L1523" s="317">
        <v>47.577970000000001</v>
      </c>
      <c r="M1523" s="317">
        <v>41.102029999999999</v>
      </c>
    </row>
    <row r="1524" spans="1:13" ht="45" hidden="1" x14ac:dyDescent="0.25">
      <c r="A1524" s="313">
        <f t="shared" si="23"/>
        <v>1523</v>
      </c>
      <c r="B1524" s="319" t="s">
        <v>2828</v>
      </c>
      <c r="C1524" s="315" t="s">
        <v>412</v>
      </c>
      <c r="D1524" s="315" t="s">
        <v>2830</v>
      </c>
      <c r="E1524" s="318">
        <v>1.1200000000000001</v>
      </c>
      <c r="F1524" s="318" t="s">
        <v>395</v>
      </c>
      <c r="G1524" s="318" t="s">
        <v>395</v>
      </c>
      <c r="H1524" s="318" t="s">
        <v>395</v>
      </c>
      <c r="I1524" s="318" t="s">
        <v>2759</v>
      </c>
      <c r="J1524" s="320">
        <v>6</v>
      </c>
      <c r="K1524" s="317" t="s">
        <v>410</v>
      </c>
      <c r="L1524" s="317">
        <v>47.488779999999998</v>
      </c>
      <c r="M1524" s="317">
        <v>42.191389999999998</v>
      </c>
    </row>
    <row r="1525" spans="1:13" ht="30" hidden="1" x14ac:dyDescent="0.25">
      <c r="A1525" s="313">
        <f t="shared" si="23"/>
        <v>1524</v>
      </c>
      <c r="B1525" s="319" t="s">
        <v>2832</v>
      </c>
      <c r="C1525" s="315" t="s">
        <v>399</v>
      </c>
      <c r="D1525" s="315" t="s">
        <v>2833</v>
      </c>
      <c r="E1525" s="318">
        <v>1.1200000000000001</v>
      </c>
      <c r="F1525" s="318" t="s">
        <v>395</v>
      </c>
      <c r="G1525" s="318" t="s">
        <v>395</v>
      </c>
      <c r="H1525" s="318" t="s">
        <v>395</v>
      </c>
      <c r="I1525" s="318" t="s">
        <v>2759</v>
      </c>
      <c r="J1525" s="320">
        <v>6</v>
      </c>
      <c r="K1525" s="317" t="s">
        <v>410</v>
      </c>
      <c r="L1525" s="317">
        <v>47.517829999999996</v>
      </c>
      <c r="M1525" s="317">
        <v>42.208779999999997</v>
      </c>
    </row>
    <row r="1526" spans="1:13" ht="45" hidden="1" x14ac:dyDescent="0.25">
      <c r="A1526" s="313">
        <f t="shared" si="23"/>
        <v>1525</v>
      </c>
      <c r="B1526" s="319" t="s">
        <v>2836</v>
      </c>
      <c r="C1526" s="315" t="s">
        <v>393</v>
      </c>
      <c r="D1526" s="315" t="s">
        <v>2837</v>
      </c>
      <c r="E1526" s="318">
        <v>1.02</v>
      </c>
      <c r="F1526" s="318" t="s">
        <v>395</v>
      </c>
      <c r="G1526" s="318" t="s">
        <v>395</v>
      </c>
      <c r="H1526" s="318" t="s">
        <v>395</v>
      </c>
      <c r="I1526" s="318" t="s">
        <v>2759</v>
      </c>
      <c r="J1526" s="320">
        <v>1</v>
      </c>
      <c r="K1526" s="317" t="s">
        <v>410</v>
      </c>
      <c r="L1526" s="317">
        <v>47.519219999999997</v>
      </c>
      <c r="M1526" s="317">
        <v>42.149889999999999</v>
      </c>
    </row>
    <row r="1527" spans="1:13" ht="45" hidden="1" x14ac:dyDescent="0.25">
      <c r="A1527" s="313">
        <f t="shared" si="23"/>
        <v>1526</v>
      </c>
      <c r="B1527" s="319" t="s">
        <v>2840</v>
      </c>
      <c r="C1527" s="315" t="s">
        <v>412</v>
      </c>
      <c r="D1527" s="315" t="s">
        <v>2841</v>
      </c>
      <c r="E1527" s="318">
        <v>1.08</v>
      </c>
      <c r="F1527" s="318" t="s">
        <v>395</v>
      </c>
      <c r="G1527" s="318" t="s">
        <v>395</v>
      </c>
      <c r="H1527" s="318" t="s">
        <v>395</v>
      </c>
      <c r="I1527" s="318" t="s">
        <v>2759</v>
      </c>
      <c r="J1527" s="320">
        <v>4</v>
      </c>
      <c r="K1527" s="317" t="s">
        <v>410</v>
      </c>
      <c r="L1527" s="317">
        <v>47.528060000000004</v>
      </c>
      <c r="M1527" s="317">
        <v>42.133859999999999</v>
      </c>
    </row>
    <row r="1528" spans="1:13" ht="45" hidden="1" x14ac:dyDescent="0.25">
      <c r="A1528" s="313">
        <f t="shared" si="23"/>
        <v>1527</v>
      </c>
      <c r="B1528" s="319" t="s">
        <v>2844</v>
      </c>
      <c r="C1528" s="315" t="s">
        <v>412</v>
      </c>
      <c r="D1528" s="315" t="s">
        <v>2845</v>
      </c>
      <c r="E1528" s="318">
        <v>1.48</v>
      </c>
      <c r="F1528" s="318" t="s">
        <v>395</v>
      </c>
      <c r="G1528" s="318" t="s">
        <v>395</v>
      </c>
      <c r="H1528" s="318" t="s">
        <v>395</v>
      </c>
      <c r="I1528" s="318" t="s">
        <v>2759</v>
      </c>
      <c r="J1528" s="320">
        <v>24</v>
      </c>
      <c r="K1528" s="317" t="s">
        <v>410</v>
      </c>
      <c r="L1528" s="317">
        <v>47.657719999999998</v>
      </c>
      <c r="M1528" s="317">
        <v>42.10819</v>
      </c>
    </row>
    <row r="1529" spans="1:13" ht="45" hidden="1" x14ac:dyDescent="0.25">
      <c r="A1529" s="313">
        <f t="shared" si="23"/>
        <v>1528</v>
      </c>
      <c r="B1529" s="319" t="s">
        <v>2848</v>
      </c>
      <c r="C1529" s="315" t="s">
        <v>412</v>
      </c>
      <c r="D1529" s="315" t="s">
        <v>2849</v>
      </c>
      <c r="E1529" s="318">
        <v>1.46</v>
      </c>
      <c r="F1529" s="318" t="s">
        <v>395</v>
      </c>
      <c r="G1529" s="318" t="s">
        <v>395</v>
      </c>
      <c r="H1529" s="318" t="s">
        <v>395</v>
      </c>
      <c r="I1529" s="318" t="s">
        <v>2759</v>
      </c>
      <c r="J1529" s="320">
        <v>23</v>
      </c>
      <c r="K1529" s="317" t="s">
        <v>410</v>
      </c>
      <c r="L1529" s="317">
        <v>47.644190000000002</v>
      </c>
      <c r="M1529" s="317">
        <v>42.087789999999998</v>
      </c>
    </row>
    <row r="1530" spans="1:13" ht="30" hidden="1" x14ac:dyDescent="0.25">
      <c r="A1530" s="313">
        <f t="shared" si="23"/>
        <v>1529</v>
      </c>
      <c r="B1530" s="319" t="s">
        <v>2852</v>
      </c>
      <c r="C1530" s="315" t="s">
        <v>399</v>
      </c>
      <c r="D1530" s="315" t="s">
        <v>2853</v>
      </c>
      <c r="E1530" s="318">
        <v>1.1200000000000001</v>
      </c>
      <c r="F1530" s="318" t="s">
        <v>395</v>
      </c>
      <c r="G1530" s="318" t="s">
        <v>395</v>
      </c>
      <c r="H1530" s="318" t="s">
        <v>395</v>
      </c>
      <c r="I1530" s="318" t="s">
        <v>2759</v>
      </c>
      <c r="J1530" s="320">
        <v>6</v>
      </c>
      <c r="K1530" s="317" t="s">
        <v>410</v>
      </c>
      <c r="L1530" s="317">
        <v>47.514530000000001</v>
      </c>
      <c r="M1530" s="317">
        <v>42.193530000000003</v>
      </c>
    </row>
    <row r="1531" spans="1:13" ht="45" hidden="1" x14ac:dyDescent="0.25">
      <c r="A1531" s="313">
        <f t="shared" si="23"/>
        <v>1530</v>
      </c>
      <c r="B1531" s="319" t="s">
        <v>2856</v>
      </c>
      <c r="C1531" s="315" t="s">
        <v>412</v>
      </c>
      <c r="D1531" s="315" t="s">
        <v>2857</v>
      </c>
      <c r="E1531" s="318">
        <v>1.04</v>
      </c>
      <c r="F1531" s="318" t="s">
        <v>395</v>
      </c>
      <c r="G1531" s="318" t="s">
        <v>395</v>
      </c>
      <c r="H1531" s="318" t="s">
        <v>395</v>
      </c>
      <c r="I1531" s="318" t="s">
        <v>2759</v>
      </c>
      <c r="J1531" s="320">
        <v>2</v>
      </c>
      <c r="K1531" s="317" t="s">
        <v>410</v>
      </c>
      <c r="L1531" s="317">
        <v>47.50958</v>
      </c>
      <c r="M1531" s="317">
        <v>42.16675</v>
      </c>
    </row>
    <row r="1532" spans="1:13" ht="45" hidden="1" x14ac:dyDescent="0.25">
      <c r="A1532" s="313">
        <f t="shared" si="23"/>
        <v>1531</v>
      </c>
      <c r="B1532" s="319" t="s">
        <v>2860</v>
      </c>
      <c r="C1532" s="315" t="s">
        <v>412</v>
      </c>
      <c r="D1532" s="315" t="s">
        <v>2861</v>
      </c>
      <c r="E1532" s="318">
        <v>1.46</v>
      </c>
      <c r="F1532" s="318" t="s">
        <v>395</v>
      </c>
      <c r="G1532" s="318" t="s">
        <v>395</v>
      </c>
      <c r="H1532" s="318" t="s">
        <v>395</v>
      </c>
      <c r="I1532" s="318" t="s">
        <v>2759</v>
      </c>
      <c r="J1532" s="320">
        <v>23</v>
      </c>
      <c r="K1532" s="317" t="s">
        <v>410</v>
      </c>
      <c r="L1532" s="317">
        <v>47.605499999999999</v>
      </c>
      <c r="M1532" s="317">
        <v>42.381500000000003</v>
      </c>
    </row>
    <row r="1533" spans="1:13" ht="60" hidden="1" x14ac:dyDescent="0.25">
      <c r="A1533" s="313">
        <f t="shared" si="23"/>
        <v>1532</v>
      </c>
      <c r="B1533" s="319" t="s">
        <v>2864</v>
      </c>
      <c r="C1533" s="315" t="s">
        <v>452</v>
      </c>
      <c r="D1533" s="315" t="s">
        <v>2865</v>
      </c>
      <c r="E1533" s="318">
        <v>3</v>
      </c>
      <c r="F1533" s="318" t="s">
        <v>395</v>
      </c>
      <c r="G1533" s="318" t="s">
        <v>395</v>
      </c>
      <c r="H1533" s="318" t="s">
        <v>395</v>
      </c>
      <c r="I1533" s="318" t="s">
        <v>2759</v>
      </c>
      <c r="J1533" s="320">
        <v>100</v>
      </c>
      <c r="K1533" s="317" t="s">
        <v>410</v>
      </c>
      <c r="L1533" s="317">
        <v>47.514719999999997</v>
      </c>
      <c r="M1533" s="317">
        <v>41.097499999999997</v>
      </c>
    </row>
    <row r="1534" spans="1:13" ht="75" hidden="1" x14ac:dyDescent="0.25">
      <c r="A1534" s="313">
        <f t="shared" si="23"/>
        <v>1533</v>
      </c>
      <c r="B1534" s="319" t="s">
        <v>2868</v>
      </c>
      <c r="C1534" s="315" t="s">
        <v>428</v>
      </c>
      <c r="D1534" s="315" t="s">
        <v>2869</v>
      </c>
      <c r="E1534" s="318">
        <v>1.3</v>
      </c>
      <c r="F1534" s="318" t="s">
        <v>395</v>
      </c>
      <c r="G1534" s="318" t="s">
        <v>395</v>
      </c>
      <c r="H1534" s="318" t="s">
        <v>395</v>
      </c>
      <c r="I1534" s="318" t="s">
        <v>2759</v>
      </c>
      <c r="J1534" s="320">
        <v>15</v>
      </c>
      <c r="K1534" s="317" t="s">
        <v>410</v>
      </c>
      <c r="L1534" s="317">
        <v>47.541170000000001</v>
      </c>
      <c r="M1534" s="317">
        <v>42.025390000000002</v>
      </c>
    </row>
    <row r="1535" spans="1:13" ht="45" hidden="1" x14ac:dyDescent="0.25">
      <c r="A1535" s="313">
        <f t="shared" si="23"/>
        <v>1534</v>
      </c>
      <c r="B1535" s="319" t="s">
        <v>2872</v>
      </c>
      <c r="C1535" s="315" t="s">
        <v>412</v>
      </c>
      <c r="D1535" s="315" t="s">
        <v>2873</v>
      </c>
      <c r="E1535" s="318">
        <v>2.4</v>
      </c>
      <c r="F1535" s="318" t="s">
        <v>395</v>
      </c>
      <c r="G1535" s="318" t="s">
        <v>395</v>
      </c>
      <c r="H1535" s="318" t="s">
        <v>395</v>
      </c>
      <c r="I1535" s="318" t="s">
        <v>2759</v>
      </c>
      <c r="J1535" s="320">
        <v>70</v>
      </c>
      <c r="K1535" s="317" t="s">
        <v>410</v>
      </c>
      <c r="L1535" s="317">
        <v>48.045670000000001</v>
      </c>
      <c r="M1535" s="317">
        <v>41.825249999999997</v>
      </c>
    </row>
    <row r="1536" spans="1:13" ht="30" hidden="1" x14ac:dyDescent="0.25">
      <c r="A1536" s="313">
        <f t="shared" si="23"/>
        <v>1535</v>
      </c>
      <c r="B1536" s="319" t="s">
        <v>2876</v>
      </c>
      <c r="C1536" s="315" t="s">
        <v>399</v>
      </c>
      <c r="D1536" s="315" t="s">
        <v>2877</v>
      </c>
      <c r="E1536" s="318">
        <v>2.2000000000000002</v>
      </c>
      <c r="F1536" s="318" t="s">
        <v>395</v>
      </c>
      <c r="G1536" s="318" t="s">
        <v>395</v>
      </c>
      <c r="H1536" s="318" t="s">
        <v>395</v>
      </c>
      <c r="I1536" s="318" t="s">
        <v>2759</v>
      </c>
      <c r="J1536" s="320">
        <v>60</v>
      </c>
      <c r="K1536" s="317" t="s">
        <v>410</v>
      </c>
      <c r="L1536" s="317">
        <v>47.942639999999997</v>
      </c>
      <c r="M1536" s="317">
        <v>42.001779999999997</v>
      </c>
    </row>
    <row r="1537" spans="1:13" ht="75" hidden="1" x14ac:dyDescent="0.25">
      <c r="A1537" s="313">
        <f t="shared" si="23"/>
        <v>1536</v>
      </c>
      <c r="B1537" s="319" t="s">
        <v>2880</v>
      </c>
      <c r="C1537" s="315" t="s">
        <v>428</v>
      </c>
      <c r="D1537" s="315" t="s">
        <v>2881</v>
      </c>
      <c r="E1537" s="318">
        <v>3.16</v>
      </c>
      <c r="F1537" s="318" t="s">
        <v>395</v>
      </c>
      <c r="G1537" s="318" t="s">
        <v>395</v>
      </c>
      <c r="H1537" s="318" t="s">
        <v>395</v>
      </c>
      <c r="I1537" s="318" t="s">
        <v>2759</v>
      </c>
      <c r="J1537" s="320">
        <v>108</v>
      </c>
      <c r="K1537" s="317" t="s">
        <v>410</v>
      </c>
      <c r="L1537" s="317">
        <v>48.345669999999998</v>
      </c>
      <c r="M1537" s="317">
        <v>41.847110000000001</v>
      </c>
    </row>
    <row r="1538" spans="1:13" ht="45" hidden="1" x14ac:dyDescent="0.25">
      <c r="A1538" s="313">
        <f t="shared" si="23"/>
        <v>1537</v>
      </c>
      <c r="B1538" s="319" t="s">
        <v>2884</v>
      </c>
      <c r="C1538" s="315" t="s">
        <v>412</v>
      </c>
      <c r="D1538" s="315" t="s">
        <v>2885</v>
      </c>
      <c r="E1538" s="318">
        <v>3.12</v>
      </c>
      <c r="F1538" s="318" t="s">
        <v>395</v>
      </c>
      <c r="G1538" s="318" t="s">
        <v>395</v>
      </c>
      <c r="H1538" s="318" t="s">
        <v>395</v>
      </c>
      <c r="I1538" s="318" t="s">
        <v>2759</v>
      </c>
      <c r="J1538" s="320">
        <v>106</v>
      </c>
      <c r="K1538" s="317" t="s">
        <v>410</v>
      </c>
      <c r="L1538" s="317">
        <v>48.336750000000002</v>
      </c>
      <c r="M1538" s="317">
        <v>41.816560000000003</v>
      </c>
    </row>
    <row r="1539" spans="1:13" ht="75" hidden="1" x14ac:dyDescent="0.25">
      <c r="A1539" s="313">
        <f t="shared" si="23"/>
        <v>1538</v>
      </c>
      <c r="B1539" s="319" t="s">
        <v>2888</v>
      </c>
      <c r="C1539" s="315" t="s">
        <v>428</v>
      </c>
      <c r="D1539" s="315" t="s">
        <v>2889</v>
      </c>
      <c r="E1539" s="318">
        <v>3.2</v>
      </c>
      <c r="F1539" s="318" t="s">
        <v>395</v>
      </c>
      <c r="G1539" s="318" t="s">
        <v>395</v>
      </c>
      <c r="H1539" s="318" t="s">
        <v>395</v>
      </c>
      <c r="I1539" s="318" t="s">
        <v>2759</v>
      </c>
      <c r="J1539" s="320">
        <v>110</v>
      </c>
      <c r="K1539" s="317" t="s">
        <v>410</v>
      </c>
      <c r="L1539" s="317">
        <v>48.352829999999997</v>
      </c>
      <c r="M1539" s="317">
        <v>41.82394</v>
      </c>
    </row>
    <row r="1540" spans="1:13" ht="45" hidden="1" x14ac:dyDescent="0.25">
      <c r="A1540" s="313">
        <f t="shared" ref="A1540:A1603" si="24">A1539+1</f>
        <v>1539</v>
      </c>
      <c r="B1540" s="319" t="s">
        <v>2892</v>
      </c>
      <c r="C1540" s="315" t="s">
        <v>412</v>
      </c>
      <c r="D1540" s="315" t="s">
        <v>2893</v>
      </c>
      <c r="E1540" s="318">
        <v>3.36</v>
      </c>
      <c r="F1540" s="318" t="s">
        <v>395</v>
      </c>
      <c r="G1540" s="318" t="s">
        <v>395</v>
      </c>
      <c r="H1540" s="318" t="s">
        <v>395</v>
      </c>
      <c r="I1540" s="318" t="s">
        <v>2759</v>
      </c>
      <c r="J1540" s="320">
        <v>118</v>
      </c>
      <c r="K1540" s="317" t="s">
        <v>410</v>
      </c>
      <c r="L1540" s="317">
        <v>48.386499999999998</v>
      </c>
      <c r="M1540" s="317">
        <v>41.847940000000001</v>
      </c>
    </row>
    <row r="1541" spans="1:13" ht="30" hidden="1" x14ac:dyDescent="0.25">
      <c r="A1541" s="313">
        <f t="shared" si="24"/>
        <v>1540</v>
      </c>
      <c r="B1541" s="319" t="s">
        <v>2896</v>
      </c>
      <c r="C1541" s="315" t="s">
        <v>399</v>
      </c>
      <c r="D1541" s="315" t="s">
        <v>2897</v>
      </c>
      <c r="E1541" s="318">
        <v>4.1399999999999997</v>
      </c>
      <c r="F1541" s="318" t="s">
        <v>395</v>
      </c>
      <c r="G1541" s="318" t="s">
        <v>395</v>
      </c>
      <c r="H1541" s="318" t="s">
        <v>395</v>
      </c>
      <c r="I1541" s="318" t="s">
        <v>2759</v>
      </c>
      <c r="J1541" s="320">
        <v>157</v>
      </c>
      <c r="K1541" s="317" t="s">
        <v>410</v>
      </c>
      <c r="L1541" s="317">
        <v>48.541110000000003</v>
      </c>
      <c r="M1541" s="317">
        <v>42.492780000000003</v>
      </c>
    </row>
    <row r="1542" spans="1:13" ht="75" hidden="1" x14ac:dyDescent="0.25">
      <c r="A1542" s="313">
        <f t="shared" si="24"/>
        <v>1541</v>
      </c>
      <c r="B1542" s="319" t="s">
        <v>2900</v>
      </c>
      <c r="C1542" s="315" t="s">
        <v>428</v>
      </c>
      <c r="D1542" s="315" t="s">
        <v>2901</v>
      </c>
      <c r="E1542" s="318">
        <v>3.4</v>
      </c>
      <c r="F1542" s="318" t="s">
        <v>395</v>
      </c>
      <c r="G1542" s="318" t="s">
        <v>395</v>
      </c>
      <c r="H1542" s="318" t="s">
        <v>395</v>
      </c>
      <c r="I1542" s="318" t="s">
        <v>2759</v>
      </c>
      <c r="J1542" s="320">
        <v>120</v>
      </c>
      <c r="K1542" s="317" t="s">
        <v>410</v>
      </c>
      <c r="L1542" s="317">
        <v>47.516080000000002</v>
      </c>
      <c r="M1542" s="317">
        <v>40.823860000000003</v>
      </c>
    </row>
    <row r="1543" spans="1:13" ht="60" hidden="1" x14ac:dyDescent="0.25">
      <c r="A1543" s="313">
        <f t="shared" si="24"/>
        <v>1542</v>
      </c>
      <c r="B1543" s="319" t="s">
        <v>2904</v>
      </c>
      <c r="C1543" s="315" t="s">
        <v>452</v>
      </c>
      <c r="D1543" s="315" t="s">
        <v>2905</v>
      </c>
      <c r="E1543" s="318">
        <v>1.1599999999999999</v>
      </c>
      <c r="F1543" s="318" t="s">
        <v>395</v>
      </c>
      <c r="G1543" s="318" t="s">
        <v>395</v>
      </c>
      <c r="H1543" s="318" t="s">
        <v>395</v>
      </c>
      <c r="I1543" s="318" t="s">
        <v>2759</v>
      </c>
      <c r="J1543" s="320">
        <v>8</v>
      </c>
      <c r="K1543" s="317" t="s">
        <v>410</v>
      </c>
      <c r="L1543" s="317">
        <v>47.547220000000003</v>
      </c>
      <c r="M1543" s="317">
        <v>42.091670000000001</v>
      </c>
    </row>
    <row r="1544" spans="1:13" ht="75" hidden="1" x14ac:dyDescent="0.25">
      <c r="A1544" s="313">
        <f t="shared" si="24"/>
        <v>1543</v>
      </c>
      <c r="B1544" s="319" t="s">
        <v>2908</v>
      </c>
      <c r="C1544" s="315" t="s">
        <v>428</v>
      </c>
      <c r="D1544" s="315" t="s">
        <v>2909</v>
      </c>
      <c r="E1544" s="318">
        <v>1.06</v>
      </c>
      <c r="F1544" s="318" t="s">
        <v>395</v>
      </c>
      <c r="G1544" s="318" t="s">
        <v>395</v>
      </c>
      <c r="H1544" s="318" t="s">
        <v>395</v>
      </c>
      <c r="I1544" s="318" t="s">
        <v>2759</v>
      </c>
      <c r="J1544" s="320">
        <v>3</v>
      </c>
      <c r="K1544" s="317" t="s">
        <v>410</v>
      </c>
      <c r="L1544" s="317">
        <v>47.502780000000001</v>
      </c>
      <c r="M1544" s="317">
        <v>42.165579999999999</v>
      </c>
    </row>
    <row r="1545" spans="1:13" ht="75" hidden="1" x14ac:dyDescent="0.25">
      <c r="A1545" s="313">
        <f t="shared" si="24"/>
        <v>1544</v>
      </c>
      <c r="B1545" s="319" t="s">
        <v>2912</v>
      </c>
      <c r="C1545" s="315" t="s">
        <v>428</v>
      </c>
      <c r="D1545" s="315" t="s">
        <v>2913</v>
      </c>
      <c r="E1545" s="318">
        <v>1.1599999999999999</v>
      </c>
      <c r="F1545" s="318" t="s">
        <v>395</v>
      </c>
      <c r="G1545" s="318" t="s">
        <v>395</v>
      </c>
      <c r="H1545" s="318" t="s">
        <v>395</v>
      </c>
      <c r="I1545" s="318" t="s">
        <v>2759</v>
      </c>
      <c r="J1545" s="320">
        <v>8</v>
      </c>
      <c r="K1545" s="317" t="s">
        <v>410</v>
      </c>
      <c r="L1545" s="317">
        <v>47.523029999999999</v>
      </c>
      <c r="M1545" s="317">
        <v>42.224420000000002</v>
      </c>
    </row>
    <row r="1546" spans="1:13" ht="75" hidden="1" x14ac:dyDescent="0.25">
      <c r="A1546" s="313">
        <f t="shared" si="24"/>
        <v>1545</v>
      </c>
      <c r="B1546" s="319" t="s">
        <v>2916</v>
      </c>
      <c r="C1546" s="315" t="s">
        <v>428</v>
      </c>
      <c r="D1546" s="315" t="s">
        <v>2917</v>
      </c>
      <c r="E1546" s="318">
        <v>1.1399999999999999</v>
      </c>
      <c r="F1546" s="318" t="s">
        <v>395</v>
      </c>
      <c r="G1546" s="318" t="s">
        <v>395</v>
      </c>
      <c r="H1546" s="318" t="s">
        <v>395</v>
      </c>
      <c r="I1546" s="318" t="s">
        <v>2759</v>
      </c>
      <c r="J1546" s="320">
        <v>7</v>
      </c>
      <c r="K1546" s="317" t="s">
        <v>410</v>
      </c>
      <c r="L1546" s="317">
        <v>47.532170000000001</v>
      </c>
      <c r="M1546" s="317">
        <v>42.197690000000001</v>
      </c>
    </row>
    <row r="1547" spans="1:13" ht="45" hidden="1" x14ac:dyDescent="0.25">
      <c r="A1547" s="313">
        <f t="shared" si="24"/>
        <v>1546</v>
      </c>
      <c r="B1547" s="319" t="s">
        <v>2920</v>
      </c>
      <c r="C1547" s="315" t="s">
        <v>412</v>
      </c>
      <c r="D1547" s="315" t="s">
        <v>2921</v>
      </c>
      <c r="E1547" s="318">
        <v>2.3199999999999998</v>
      </c>
      <c r="F1547" s="318" t="s">
        <v>395</v>
      </c>
      <c r="G1547" s="318" t="s">
        <v>395</v>
      </c>
      <c r="H1547" s="318" t="s">
        <v>395</v>
      </c>
      <c r="I1547" s="318" t="s">
        <v>2759</v>
      </c>
      <c r="J1547" s="320">
        <v>66</v>
      </c>
      <c r="K1547" s="317" t="s">
        <v>410</v>
      </c>
      <c r="L1547" s="317">
        <v>47.275829999999999</v>
      </c>
      <c r="M1547" s="317">
        <v>41.655479999999997</v>
      </c>
    </row>
    <row r="1548" spans="1:13" ht="45" hidden="1" x14ac:dyDescent="0.25">
      <c r="A1548" s="313">
        <f t="shared" si="24"/>
        <v>1547</v>
      </c>
      <c r="B1548" s="319" t="s">
        <v>2924</v>
      </c>
      <c r="C1548" s="315" t="s">
        <v>412</v>
      </c>
      <c r="D1548" s="315" t="s">
        <v>2925</v>
      </c>
      <c r="E1548" s="318">
        <v>2.84</v>
      </c>
      <c r="F1548" s="318" t="s">
        <v>395</v>
      </c>
      <c r="G1548" s="318" t="s">
        <v>395</v>
      </c>
      <c r="H1548" s="318" t="s">
        <v>395</v>
      </c>
      <c r="I1548" s="318" t="s">
        <v>2759</v>
      </c>
      <c r="J1548" s="320">
        <v>92</v>
      </c>
      <c r="K1548" s="317" t="s">
        <v>410</v>
      </c>
      <c r="L1548" s="317">
        <v>47.335830000000001</v>
      </c>
      <c r="M1548" s="317">
        <v>41.283999999999999</v>
      </c>
    </row>
    <row r="1549" spans="1:13" ht="75" hidden="1" x14ac:dyDescent="0.25">
      <c r="A1549" s="313">
        <f t="shared" si="24"/>
        <v>1548</v>
      </c>
      <c r="B1549" s="319" t="s">
        <v>2928</v>
      </c>
      <c r="C1549" s="315" t="s">
        <v>428</v>
      </c>
      <c r="D1549" s="315" t="s">
        <v>2929</v>
      </c>
      <c r="E1549" s="318">
        <v>1.74</v>
      </c>
      <c r="F1549" s="318" t="s">
        <v>395</v>
      </c>
      <c r="G1549" s="318" t="s">
        <v>395</v>
      </c>
      <c r="H1549" s="318" t="s">
        <v>395</v>
      </c>
      <c r="I1549" s="318" t="s">
        <v>2759</v>
      </c>
      <c r="J1549" s="320">
        <v>37</v>
      </c>
      <c r="K1549" s="317" t="s">
        <v>410</v>
      </c>
      <c r="L1549" s="317">
        <v>47.72381</v>
      </c>
      <c r="M1549" s="317">
        <v>42.214559999999999</v>
      </c>
    </row>
    <row r="1550" spans="1:13" ht="45" hidden="1" x14ac:dyDescent="0.25">
      <c r="A1550" s="313">
        <f t="shared" si="24"/>
        <v>1549</v>
      </c>
      <c r="B1550" s="319" t="s">
        <v>2932</v>
      </c>
      <c r="C1550" s="315" t="s">
        <v>412</v>
      </c>
      <c r="D1550" s="315" t="s">
        <v>2933</v>
      </c>
      <c r="E1550" s="318">
        <v>1.84</v>
      </c>
      <c r="F1550" s="318" t="s">
        <v>395</v>
      </c>
      <c r="G1550" s="318" t="s">
        <v>395</v>
      </c>
      <c r="H1550" s="318" t="s">
        <v>395</v>
      </c>
      <c r="I1550" s="318" t="s">
        <v>2759</v>
      </c>
      <c r="J1550" s="320">
        <v>42</v>
      </c>
      <c r="K1550" s="317" t="s">
        <v>410</v>
      </c>
      <c r="L1550" s="317">
        <v>47.369689999999999</v>
      </c>
      <c r="M1550" s="317">
        <v>41.850099999999998</v>
      </c>
    </row>
    <row r="1551" spans="1:13" ht="60" hidden="1" x14ac:dyDescent="0.25">
      <c r="A1551" s="313">
        <f t="shared" si="24"/>
        <v>1550</v>
      </c>
      <c r="B1551" s="319" t="s">
        <v>2936</v>
      </c>
      <c r="C1551" s="315" t="s">
        <v>1188</v>
      </c>
      <c r="D1551" s="315" t="s">
        <v>2937</v>
      </c>
      <c r="E1551" s="318">
        <v>2.38</v>
      </c>
      <c r="F1551" s="318" t="s">
        <v>395</v>
      </c>
      <c r="G1551" s="318" t="s">
        <v>395</v>
      </c>
      <c r="H1551" s="318" t="s">
        <v>395</v>
      </c>
      <c r="I1551" s="318" t="s">
        <v>2759</v>
      </c>
      <c r="J1551" s="320">
        <v>69</v>
      </c>
      <c r="K1551" s="317" t="s">
        <v>410</v>
      </c>
      <c r="L1551" s="317">
        <v>47.614170000000001</v>
      </c>
      <c r="M1551" s="317">
        <v>41.514580000000002</v>
      </c>
    </row>
    <row r="1552" spans="1:13" ht="45" hidden="1" x14ac:dyDescent="0.25">
      <c r="A1552" s="313">
        <f t="shared" si="24"/>
        <v>1551</v>
      </c>
      <c r="B1552" s="319" t="s">
        <v>2940</v>
      </c>
      <c r="C1552" s="315" t="s">
        <v>412</v>
      </c>
      <c r="D1552" s="315" t="s">
        <v>2941</v>
      </c>
      <c r="E1552" s="318">
        <v>2.54</v>
      </c>
      <c r="F1552" s="318" t="s">
        <v>395</v>
      </c>
      <c r="G1552" s="318" t="s">
        <v>395</v>
      </c>
      <c r="H1552" s="318" t="s">
        <v>395</v>
      </c>
      <c r="I1552" s="318" t="s">
        <v>2759</v>
      </c>
      <c r="J1552" s="320">
        <v>77</v>
      </c>
      <c r="K1552" s="317" t="s">
        <v>410</v>
      </c>
      <c r="L1552" s="317">
        <v>47.518050000000002</v>
      </c>
      <c r="M1552" s="317">
        <v>41.300890000000003</v>
      </c>
    </row>
    <row r="1553" spans="1:13" ht="75" hidden="1" x14ac:dyDescent="0.25">
      <c r="A1553" s="313">
        <f t="shared" si="24"/>
        <v>1552</v>
      </c>
      <c r="B1553" s="319" t="s">
        <v>2944</v>
      </c>
      <c r="C1553" s="315" t="s">
        <v>428</v>
      </c>
      <c r="D1553" s="315" t="s">
        <v>2945</v>
      </c>
      <c r="E1553" s="318">
        <v>1.2</v>
      </c>
      <c r="F1553" s="318" t="s">
        <v>395</v>
      </c>
      <c r="G1553" s="318" t="s">
        <v>395</v>
      </c>
      <c r="H1553" s="318" t="s">
        <v>395</v>
      </c>
      <c r="I1553" s="318" t="s">
        <v>2759</v>
      </c>
      <c r="J1553" s="320">
        <v>10</v>
      </c>
      <c r="K1553" s="317" t="s">
        <v>410</v>
      </c>
      <c r="L1553" s="317">
        <v>47.583739999999999</v>
      </c>
      <c r="M1553" s="317">
        <v>42.121279999999999</v>
      </c>
    </row>
    <row r="1554" spans="1:13" ht="75" hidden="1" x14ac:dyDescent="0.25">
      <c r="A1554" s="313">
        <f t="shared" si="24"/>
        <v>1553</v>
      </c>
      <c r="B1554" s="319" t="s">
        <v>2948</v>
      </c>
      <c r="C1554" s="315" t="s">
        <v>428</v>
      </c>
      <c r="D1554" s="315" t="s">
        <v>2949</v>
      </c>
      <c r="E1554" s="318">
        <v>1.22</v>
      </c>
      <c r="F1554" s="318" t="s">
        <v>395</v>
      </c>
      <c r="G1554" s="318" t="s">
        <v>395</v>
      </c>
      <c r="H1554" s="318" t="s">
        <v>395</v>
      </c>
      <c r="I1554" s="318" t="s">
        <v>2759</v>
      </c>
      <c r="J1554" s="320">
        <v>11</v>
      </c>
      <c r="K1554" s="317" t="s">
        <v>410</v>
      </c>
      <c r="L1554" s="317">
        <v>47.520829999999997</v>
      </c>
      <c r="M1554" s="317">
        <v>42.064999999999998</v>
      </c>
    </row>
    <row r="1555" spans="1:13" ht="75" hidden="1" x14ac:dyDescent="0.25">
      <c r="A1555" s="313">
        <f t="shared" si="24"/>
        <v>1554</v>
      </c>
      <c r="B1555" s="319" t="s">
        <v>2952</v>
      </c>
      <c r="C1555" s="315" t="s">
        <v>428</v>
      </c>
      <c r="D1555" s="315" t="s">
        <v>2953</v>
      </c>
      <c r="E1555" s="318">
        <v>3.4</v>
      </c>
      <c r="F1555" s="318" t="s">
        <v>395</v>
      </c>
      <c r="G1555" s="318" t="s">
        <v>395</v>
      </c>
      <c r="H1555" s="318" t="s">
        <v>395</v>
      </c>
      <c r="I1555" s="318" t="s">
        <v>2759</v>
      </c>
      <c r="J1555" s="320">
        <v>120</v>
      </c>
      <c r="K1555" s="317" t="s">
        <v>410</v>
      </c>
      <c r="L1555" s="317">
        <v>47.514719999999997</v>
      </c>
      <c r="M1555" s="317">
        <v>40.790280000000003</v>
      </c>
    </row>
    <row r="1556" spans="1:13" ht="75" hidden="1" x14ac:dyDescent="0.25">
      <c r="A1556" s="313">
        <f t="shared" si="24"/>
        <v>1555</v>
      </c>
      <c r="B1556" s="319" t="s">
        <v>2956</v>
      </c>
      <c r="C1556" s="315" t="s">
        <v>428</v>
      </c>
      <c r="D1556" s="315" t="s">
        <v>2957</v>
      </c>
      <c r="E1556" s="318">
        <v>3.16</v>
      </c>
      <c r="F1556" s="318" t="s">
        <v>395</v>
      </c>
      <c r="G1556" s="318" t="s">
        <v>395</v>
      </c>
      <c r="H1556" s="318" t="s">
        <v>395</v>
      </c>
      <c r="I1556" s="318" t="s">
        <v>2759</v>
      </c>
      <c r="J1556" s="320">
        <v>108</v>
      </c>
      <c r="K1556" s="317" t="s">
        <v>410</v>
      </c>
      <c r="L1556" s="317">
        <v>47.593499999999999</v>
      </c>
      <c r="M1556" s="317">
        <v>41.082340000000002</v>
      </c>
    </row>
    <row r="1557" spans="1:13" ht="75" hidden="1" x14ac:dyDescent="0.25">
      <c r="A1557" s="313">
        <f t="shared" si="24"/>
        <v>1556</v>
      </c>
      <c r="B1557" s="319" t="s">
        <v>2960</v>
      </c>
      <c r="C1557" s="315" t="s">
        <v>428</v>
      </c>
      <c r="D1557" s="315" t="s">
        <v>2961</v>
      </c>
      <c r="E1557" s="318">
        <v>3.08</v>
      </c>
      <c r="F1557" s="318" t="s">
        <v>395</v>
      </c>
      <c r="G1557" s="318" t="s">
        <v>395</v>
      </c>
      <c r="H1557" s="318" t="s">
        <v>395</v>
      </c>
      <c r="I1557" s="318" t="s">
        <v>2759</v>
      </c>
      <c r="J1557" s="320">
        <v>104</v>
      </c>
      <c r="K1557" s="317" t="s">
        <v>410</v>
      </c>
      <c r="L1557" s="317">
        <v>47.579720000000002</v>
      </c>
      <c r="M1557" s="317">
        <v>41.113059999999997</v>
      </c>
    </row>
    <row r="1558" spans="1:13" ht="60" hidden="1" x14ac:dyDescent="0.25">
      <c r="A1558" s="313">
        <f t="shared" si="24"/>
        <v>1557</v>
      </c>
      <c r="B1558" s="319" t="s">
        <v>2964</v>
      </c>
      <c r="C1558" s="315" t="s">
        <v>1188</v>
      </c>
      <c r="D1558" s="315" t="s">
        <v>2965</v>
      </c>
      <c r="E1558" s="318">
        <v>2.8</v>
      </c>
      <c r="F1558" s="318" t="s">
        <v>395</v>
      </c>
      <c r="G1558" s="318" t="s">
        <v>395</v>
      </c>
      <c r="H1558" s="318" t="s">
        <v>395</v>
      </c>
      <c r="I1558" s="318" t="s">
        <v>2759</v>
      </c>
      <c r="J1558" s="320">
        <v>90</v>
      </c>
      <c r="K1558" s="317" t="s">
        <v>410</v>
      </c>
      <c r="L1558" s="317">
        <v>47.44211</v>
      </c>
      <c r="M1558" s="317">
        <v>41.232810000000001</v>
      </c>
    </row>
    <row r="1559" spans="1:13" ht="60" hidden="1" x14ac:dyDescent="0.25">
      <c r="A1559" s="313">
        <f t="shared" si="24"/>
        <v>1558</v>
      </c>
      <c r="B1559" s="319" t="s">
        <v>2968</v>
      </c>
      <c r="C1559" s="315" t="s">
        <v>452</v>
      </c>
      <c r="D1559" s="315" t="s">
        <v>2969</v>
      </c>
      <c r="E1559" s="318">
        <v>2.16</v>
      </c>
      <c r="F1559" s="318" t="s">
        <v>395</v>
      </c>
      <c r="G1559" s="318" t="s">
        <v>395</v>
      </c>
      <c r="H1559" s="318" t="s">
        <v>395</v>
      </c>
      <c r="I1559" s="318" t="s">
        <v>2759</v>
      </c>
      <c r="J1559" s="320">
        <v>58</v>
      </c>
      <c r="K1559" s="317" t="s">
        <v>410</v>
      </c>
      <c r="L1559" s="317">
        <v>47.520359999999997</v>
      </c>
      <c r="M1559" s="317">
        <v>41.487220000000001</v>
      </c>
    </row>
    <row r="1560" spans="1:13" ht="60" hidden="1" x14ac:dyDescent="0.25">
      <c r="A1560" s="313">
        <f t="shared" si="24"/>
        <v>1559</v>
      </c>
      <c r="B1560" s="319" t="s">
        <v>2972</v>
      </c>
      <c r="C1560" s="315" t="s">
        <v>452</v>
      </c>
      <c r="D1560" s="315" t="s">
        <v>2973</v>
      </c>
      <c r="E1560" s="318">
        <v>1.66</v>
      </c>
      <c r="F1560" s="318" t="s">
        <v>395</v>
      </c>
      <c r="G1560" s="318" t="s">
        <v>395</v>
      </c>
      <c r="H1560" s="318" t="s">
        <v>395</v>
      </c>
      <c r="I1560" s="318" t="s">
        <v>2759</v>
      </c>
      <c r="J1560" s="320">
        <v>33</v>
      </c>
      <c r="K1560" s="317" t="s">
        <v>410</v>
      </c>
      <c r="L1560" s="317">
        <v>47.494390000000003</v>
      </c>
      <c r="M1560" s="317">
        <v>41.842939999999999</v>
      </c>
    </row>
    <row r="1561" spans="1:13" ht="60" hidden="1" x14ac:dyDescent="0.25">
      <c r="A1561" s="313">
        <f t="shared" si="24"/>
        <v>1560</v>
      </c>
      <c r="B1561" s="319" t="s">
        <v>2976</v>
      </c>
      <c r="C1561" s="315" t="s">
        <v>452</v>
      </c>
      <c r="D1561" s="315" t="s">
        <v>2977</v>
      </c>
      <c r="E1561" s="318">
        <v>2.02</v>
      </c>
      <c r="F1561" s="318" t="s">
        <v>395</v>
      </c>
      <c r="G1561" s="318" t="s">
        <v>395</v>
      </c>
      <c r="H1561" s="318" t="s">
        <v>395</v>
      </c>
      <c r="I1561" s="318" t="s">
        <v>2759</v>
      </c>
      <c r="J1561" s="320">
        <v>51</v>
      </c>
      <c r="K1561" s="317" t="s">
        <v>410</v>
      </c>
      <c r="L1561" s="317">
        <v>47.424109999999999</v>
      </c>
      <c r="M1561" s="317">
        <v>41.586500000000001</v>
      </c>
    </row>
    <row r="1562" spans="1:13" ht="75" hidden="1" x14ac:dyDescent="0.25">
      <c r="A1562" s="313">
        <f t="shared" si="24"/>
        <v>1561</v>
      </c>
      <c r="B1562" s="319" t="s">
        <v>2980</v>
      </c>
      <c r="C1562" s="315" t="s">
        <v>428</v>
      </c>
      <c r="D1562" s="315" t="s">
        <v>2981</v>
      </c>
      <c r="E1562" s="318">
        <v>3.08</v>
      </c>
      <c r="F1562" s="318" t="s">
        <v>395</v>
      </c>
      <c r="G1562" s="318" t="s">
        <v>395</v>
      </c>
      <c r="H1562" s="318" t="s">
        <v>395</v>
      </c>
      <c r="I1562" s="318" t="s">
        <v>2759</v>
      </c>
      <c r="J1562" s="320">
        <v>104</v>
      </c>
      <c r="K1562" s="317" t="s">
        <v>410</v>
      </c>
      <c r="L1562" s="317">
        <v>47.576619999999998</v>
      </c>
      <c r="M1562" s="317">
        <v>41.095030000000001</v>
      </c>
    </row>
    <row r="1563" spans="1:13" ht="60" hidden="1" x14ac:dyDescent="0.25">
      <c r="A1563" s="313">
        <f t="shared" si="24"/>
        <v>1562</v>
      </c>
      <c r="B1563" s="319" t="s">
        <v>2984</v>
      </c>
      <c r="C1563" s="315" t="s">
        <v>452</v>
      </c>
      <c r="D1563" s="315" t="s">
        <v>2985</v>
      </c>
      <c r="E1563" s="318">
        <v>1.7</v>
      </c>
      <c r="F1563" s="318" t="s">
        <v>395</v>
      </c>
      <c r="G1563" s="318" t="s">
        <v>395</v>
      </c>
      <c r="H1563" s="318" t="s">
        <v>395</v>
      </c>
      <c r="I1563" s="318" t="s">
        <v>2759</v>
      </c>
      <c r="J1563" s="320">
        <v>35</v>
      </c>
      <c r="K1563" s="317" t="s">
        <v>410</v>
      </c>
      <c r="L1563" s="317">
        <v>47.777970000000003</v>
      </c>
      <c r="M1563" s="317">
        <v>41.965829999999997</v>
      </c>
    </row>
    <row r="1564" spans="1:13" ht="60" hidden="1" x14ac:dyDescent="0.25">
      <c r="A1564" s="313">
        <f t="shared" si="24"/>
        <v>1563</v>
      </c>
      <c r="B1564" s="319" t="s">
        <v>2988</v>
      </c>
      <c r="C1564" s="315" t="s">
        <v>452</v>
      </c>
      <c r="D1564" s="315" t="s">
        <v>2989</v>
      </c>
      <c r="E1564" s="318">
        <v>1.4</v>
      </c>
      <c r="F1564" s="318" t="s">
        <v>395</v>
      </c>
      <c r="G1564" s="318" t="s">
        <v>395</v>
      </c>
      <c r="H1564" s="318" t="s">
        <v>395</v>
      </c>
      <c r="I1564" s="318" t="s">
        <v>2759</v>
      </c>
      <c r="J1564" s="320">
        <v>20</v>
      </c>
      <c r="K1564" s="317" t="s">
        <v>410</v>
      </c>
      <c r="L1564" s="317">
        <v>47.654389999999999</v>
      </c>
      <c r="M1564" s="317">
        <v>42.049500000000002</v>
      </c>
    </row>
    <row r="1565" spans="1:13" ht="45" hidden="1" x14ac:dyDescent="0.25">
      <c r="A1565" s="313">
        <f t="shared" si="24"/>
        <v>1564</v>
      </c>
      <c r="B1565" s="319" t="s">
        <v>2992</v>
      </c>
      <c r="C1565" s="315" t="s">
        <v>412</v>
      </c>
      <c r="D1565" s="315" t="s">
        <v>2993</v>
      </c>
      <c r="E1565" s="318">
        <v>4.26</v>
      </c>
      <c r="F1565" s="318" t="s">
        <v>395</v>
      </c>
      <c r="G1565" s="318" t="s">
        <v>395</v>
      </c>
      <c r="H1565" s="318" t="s">
        <v>395</v>
      </c>
      <c r="I1565" s="318" t="s">
        <v>2759</v>
      </c>
      <c r="J1565" s="320">
        <v>163</v>
      </c>
      <c r="K1565" s="317" t="s">
        <v>410</v>
      </c>
      <c r="L1565" s="317">
        <v>48.530169999999998</v>
      </c>
      <c r="M1565" s="317">
        <v>42.476610000000001</v>
      </c>
    </row>
    <row r="1566" spans="1:13" ht="45" hidden="1" x14ac:dyDescent="0.25">
      <c r="A1566" s="313">
        <f t="shared" si="24"/>
        <v>1565</v>
      </c>
      <c r="B1566" s="319" t="s">
        <v>2996</v>
      </c>
      <c r="C1566" s="315" t="s">
        <v>412</v>
      </c>
      <c r="D1566" s="315" t="s">
        <v>2997</v>
      </c>
      <c r="E1566" s="318">
        <v>1.1200000000000001</v>
      </c>
      <c r="F1566" s="318" t="s">
        <v>395</v>
      </c>
      <c r="G1566" s="318" t="s">
        <v>395</v>
      </c>
      <c r="H1566" s="318" t="s">
        <v>395</v>
      </c>
      <c r="I1566" s="318" t="s">
        <v>2759</v>
      </c>
      <c r="J1566" s="320">
        <v>6</v>
      </c>
      <c r="K1566" s="317" t="s">
        <v>410</v>
      </c>
      <c r="L1566" s="317">
        <v>47.52272</v>
      </c>
      <c r="M1566" s="317">
        <v>42.205329999999996</v>
      </c>
    </row>
    <row r="1567" spans="1:13" ht="75" hidden="1" x14ac:dyDescent="0.25">
      <c r="A1567" s="313">
        <f t="shared" si="24"/>
        <v>1566</v>
      </c>
      <c r="B1567" s="319" t="s">
        <v>3000</v>
      </c>
      <c r="C1567" s="315" t="s">
        <v>428</v>
      </c>
      <c r="D1567" s="315" t="s">
        <v>3001</v>
      </c>
      <c r="E1567" s="318">
        <v>1.1599999999999999</v>
      </c>
      <c r="F1567" s="318" t="s">
        <v>395</v>
      </c>
      <c r="G1567" s="318" t="s">
        <v>395</v>
      </c>
      <c r="H1567" s="318" t="s">
        <v>395</v>
      </c>
      <c r="I1567" s="318" t="s">
        <v>2759</v>
      </c>
      <c r="J1567" s="320">
        <v>8</v>
      </c>
      <c r="K1567" s="317" t="s">
        <v>410</v>
      </c>
      <c r="L1567" s="317">
        <v>47.50667</v>
      </c>
      <c r="M1567" s="317">
        <v>42.241669999999999</v>
      </c>
    </row>
    <row r="1568" spans="1:13" ht="75" hidden="1" x14ac:dyDescent="0.25">
      <c r="A1568" s="313">
        <f t="shared" si="24"/>
        <v>1567</v>
      </c>
      <c r="B1568" s="319" t="s">
        <v>3004</v>
      </c>
      <c r="C1568" s="315" t="s">
        <v>428</v>
      </c>
      <c r="D1568" s="315" t="s">
        <v>3005</v>
      </c>
      <c r="E1568" s="318">
        <v>1.1599999999999999</v>
      </c>
      <c r="F1568" s="318" t="s">
        <v>395</v>
      </c>
      <c r="G1568" s="318" t="s">
        <v>395</v>
      </c>
      <c r="H1568" s="318" t="s">
        <v>395</v>
      </c>
      <c r="I1568" s="318" t="s">
        <v>2759</v>
      </c>
      <c r="J1568" s="320">
        <v>8</v>
      </c>
      <c r="K1568" s="317" t="s">
        <v>410</v>
      </c>
      <c r="L1568" s="317">
        <v>47.531939999999999</v>
      </c>
      <c r="M1568" s="317">
        <v>42.214170000000003</v>
      </c>
    </row>
    <row r="1569" spans="1:13" ht="45" hidden="1" x14ac:dyDescent="0.25">
      <c r="A1569" s="313">
        <f t="shared" si="24"/>
        <v>1568</v>
      </c>
      <c r="B1569" s="319" t="s">
        <v>3008</v>
      </c>
      <c r="C1569" s="315" t="s">
        <v>393</v>
      </c>
      <c r="D1569" s="315" t="s">
        <v>3009</v>
      </c>
      <c r="E1569" s="318">
        <v>1.18</v>
      </c>
      <c r="F1569" s="318" t="s">
        <v>395</v>
      </c>
      <c r="G1569" s="318" t="s">
        <v>395</v>
      </c>
      <c r="H1569" s="318" t="s">
        <v>395</v>
      </c>
      <c r="I1569" s="318" t="s">
        <v>2759</v>
      </c>
      <c r="J1569" s="320">
        <v>9</v>
      </c>
      <c r="K1569" s="317" t="s">
        <v>410</v>
      </c>
      <c r="L1569" s="317">
        <v>47.525280000000002</v>
      </c>
      <c r="M1569" s="317">
        <v>42.237780000000001</v>
      </c>
    </row>
    <row r="1570" spans="1:13" ht="45" hidden="1" x14ac:dyDescent="0.25">
      <c r="A1570" s="313">
        <f t="shared" si="24"/>
        <v>1569</v>
      </c>
      <c r="B1570" s="319" t="s">
        <v>3012</v>
      </c>
      <c r="C1570" s="315" t="s">
        <v>412</v>
      </c>
      <c r="D1570" s="315" t="s">
        <v>3013</v>
      </c>
      <c r="E1570" s="318">
        <v>3.42</v>
      </c>
      <c r="F1570" s="318" t="s">
        <v>395</v>
      </c>
      <c r="G1570" s="318" t="s">
        <v>395</v>
      </c>
      <c r="H1570" s="318" t="s">
        <v>395</v>
      </c>
      <c r="I1570" s="318" t="s">
        <v>2759</v>
      </c>
      <c r="J1570" s="320">
        <v>121</v>
      </c>
      <c r="K1570" s="317" t="s">
        <v>410</v>
      </c>
      <c r="L1570" s="317">
        <v>47.825560000000003</v>
      </c>
      <c r="M1570" s="317">
        <v>41.060830000000003</v>
      </c>
    </row>
    <row r="1571" spans="1:13" ht="45" hidden="1" x14ac:dyDescent="0.25">
      <c r="A1571" s="313">
        <f t="shared" si="24"/>
        <v>1570</v>
      </c>
      <c r="B1571" s="319" t="s">
        <v>3016</v>
      </c>
      <c r="C1571" s="315" t="s">
        <v>412</v>
      </c>
      <c r="D1571" s="315" t="s">
        <v>3017</v>
      </c>
      <c r="E1571" s="318">
        <v>1.34</v>
      </c>
      <c r="F1571" s="318" t="s">
        <v>395</v>
      </c>
      <c r="G1571" s="318" t="s">
        <v>395</v>
      </c>
      <c r="H1571" s="318" t="s">
        <v>395</v>
      </c>
      <c r="I1571" s="318" t="s">
        <v>2759</v>
      </c>
      <c r="J1571" s="320">
        <v>17</v>
      </c>
      <c r="K1571" s="317" t="s">
        <v>410</v>
      </c>
      <c r="L1571" s="317">
        <v>47.642749999999999</v>
      </c>
      <c r="M1571" s="317">
        <v>42.10389</v>
      </c>
    </row>
    <row r="1572" spans="1:13" ht="60" hidden="1" x14ac:dyDescent="0.25">
      <c r="A1572" s="313">
        <f t="shared" si="24"/>
        <v>1571</v>
      </c>
      <c r="B1572" s="319" t="s">
        <v>3020</v>
      </c>
      <c r="C1572" s="315" t="s">
        <v>452</v>
      </c>
      <c r="D1572" s="315" t="s">
        <v>3021</v>
      </c>
      <c r="E1572" s="318">
        <v>1.5</v>
      </c>
      <c r="F1572" s="318" t="s">
        <v>395</v>
      </c>
      <c r="G1572" s="318" t="s">
        <v>395</v>
      </c>
      <c r="H1572" s="318" t="s">
        <v>395</v>
      </c>
      <c r="I1572" s="318" t="s">
        <v>2759</v>
      </c>
      <c r="J1572" s="320">
        <v>25</v>
      </c>
      <c r="K1572" s="317" t="s">
        <v>410</v>
      </c>
      <c r="L1572" s="317">
        <v>47.633249999999997</v>
      </c>
      <c r="M1572" s="317">
        <v>41.962940000000003</v>
      </c>
    </row>
    <row r="1573" spans="1:13" ht="60" hidden="1" x14ac:dyDescent="0.25">
      <c r="A1573" s="313">
        <f t="shared" si="24"/>
        <v>1572</v>
      </c>
      <c r="B1573" s="319" t="s">
        <v>3024</v>
      </c>
      <c r="C1573" s="315" t="s">
        <v>452</v>
      </c>
      <c r="D1573" s="315" t="s">
        <v>3025</v>
      </c>
      <c r="E1573" s="318">
        <v>3.38</v>
      </c>
      <c r="F1573" s="318" t="s">
        <v>395</v>
      </c>
      <c r="G1573" s="318" t="s">
        <v>395</v>
      </c>
      <c r="H1573" s="318" t="s">
        <v>395</v>
      </c>
      <c r="I1573" s="318" t="s">
        <v>2759</v>
      </c>
      <c r="J1573" s="320">
        <v>119</v>
      </c>
      <c r="K1573" s="317" t="s">
        <v>410</v>
      </c>
      <c r="L1573" s="317">
        <v>47.57403</v>
      </c>
      <c r="M1573" s="317">
        <v>40.94453</v>
      </c>
    </row>
    <row r="1574" spans="1:13" ht="75" hidden="1" x14ac:dyDescent="0.25">
      <c r="A1574" s="313">
        <f t="shared" si="24"/>
        <v>1573</v>
      </c>
      <c r="B1574" s="319" t="s">
        <v>3027</v>
      </c>
      <c r="C1574" s="315" t="s">
        <v>428</v>
      </c>
      <c r="D1574" s="315" t="s">
        <v>3029</v>
      </c>
      <c r="E1574" s="318">
        <v>3.6</v>
      </c>
      <c r="F1574" s="318" t="s">
        <v>395</v>
      </c>
      <c r="G1574" s="318" t="s">
        <v>395</v>
      </c>
      <c r="H1574" s="318" t="s">
        <v>395</v>
      </c>
      <c r="I1574" s="318" t="s">
        <v>2759</v>
      </c>
      <c r="J1574" s="320">
        <v>130</v>
      </c>
      <c r="K1574" s="317" t="s">
        <v>410</v>
      </c>
      <c r="L1574" s="317">
        <v>47.579720000000002</v>
      </c>
      <c r="M1574" s="317">
        <v>40.844169999999998</v>
      </c>
    </row>
    <row r="1575" spans="1:13" ht="30" hidden="1" x14ac:dyDescent="0.25">
      <c r="A1575" s="313">
        <f t="shared" si="24"/>
        <v>1574</v>
      </c>
      <c r="B1575" s="319" t="s">
        <v>3032</v>
      </c>
      <c r="C1575" s="315" t="s">
        <v>399</v>
      </c>
      <c r="D1575" s="315" t="s">
        <v>3033</v>
      </c>
      <c r="E1575" s="318">
        <v>1.1599999999999999</v>
      </c>
      <c r="F1575" s="318" t="s">
        <v>395</v>
      </c>
      <c r="G1575" s="318" t="s">
        <v>395</v>
      </c>
      <c r="H1575" s="318" t="s">
        <v>395</v>
      </c>
      <c r="I1575" s="318" t="s">
        <v>2759</v>
      </c>
      <c r="J1575" s="320">
        <v>8</v>
      </c>
      <c r="K1575" s="317" t="s">
        <v>410</v>
      </c>
      <c r="L1575" s="317">
        <v>47.519289999999998</v>
      </c>
      <c r="M1575" s="317">
        <v>42.214019999999998</v>
      </c>
    </row>
    <row r="1576" spans="1:13" ht="60" hidden="1" x14ac:dyDescent="0.25">
      <c r="A1576" s="313">
        <f t="shared" si="24"/>
        <v>1575</v>
      </c>
      <c r="B1576" s="319" t="s">
        <v>3036</v>
      </c>
      <c r="C1576" s="315" t="s">
        <v>452</v>
      </c>
      <c r="D1576" s="315" t="s">
        <v>3037</v>
      </c>
      <c r="E1576" s="318">
        <v>1.8</v>
      </c>
      <c r="F1576" s="318" t="s">
        <v>395</v>
      </c>
      <c r="G1576" s="318" t="s">
        <v>395</v>
      </c>
      <c r="H1576" s="318" t="s">
        <v>395</v>
      </c>
      <c r="I1576" s="318" t="s">
        <v>2759</v>
      </c>
      <c r="J1576" s="320">
        <v>40</v>
      </c>
      <c r="K1576" s="317" t="s">
        <v>410</v>
      </c>
      <c r="L1576" s="317">
        <v>47.620280000000001</v>
      </c>
      <c r="M1576" s="317">
        <v>41.831940000000003</v>
      </c>
    </row>
    <row r="1577" spans="1:13" ht="45" hidden="1" x14ac:dyDescent="0.25">
      <c r="A1577" s="313">
        <f t="shared" si="24"/>
        <v>1576</v>
      </c>
      <c r="B1577" s="319" t="s">
        <v>3039</v>
      </c>
      <c r="C1577" s="315" t="s">
        <v>412</v>
      </c>
      <c r="D1577" s="315" t="s">
        <v>3041</v>
      </c>
      <c r="E1577" s="318">
        <v>1.08</v>
      </c>
      <c r="F1577" s="318" t="s">
        <v>395</v>
      </c>
      <c r="G1577" s="318" t="s">
        <v>395</v>
      </c>
      <c r="H1577" s="318" t="s">
        <v>395</v>
      </c>
      <c r="I1577" s="318" t="s">
        <v>2759</v>
      </c>
      <c r="J1577" s="320">
        <v>4</v>
      </c>
      <c r="K1577" s="317" t="s">
        <v>410</v>
      </c>
      <c r="L1577" s="317">
        <v>47.541679999999999</v>
      </c>
      <c r="M1577" s="317">
        <v>42.128439999999998</v>
      </c>
    </row>
    <row r="1578" spans="1:13" ht="60" hidden="1" x14ac:dyDescent="0.25">
      <c r="A1578" s="313">
        <f t="shared" si="24"/>
        <v>1577</v>
      </c>
      <c r="B1578" s="319" t="s">
        <v>3044</v>
      </c>
      <c r="C1578" s="315" t="s">
        <v>447</v>
      </c>
      <c r="D1578" s="315" t="s">
        <v>3045</v>
      </c>
      <c r="E1578" s="318">
        <v>1.68</v>
      </c>
      <c r="F1578" s="318" t="s">
        <v>395</v>
      </c>
      <c r="G1578" s="318" t="s">
        <v>395</v>
      </c>
      <c r="H1578" s="318" t="s">
        <v>395</v>
      </c>
      <c r="I1578" s="318" t="s">
        <v>2759</v>
      </c>
      <c r="J1578" s="320">
        <v>34</v>
      </c>
      <c r="K1578" s="317" t="s">
        <v>410</v>
      </c>
      <c r="L1578" s="317">
        <v>47.620730000000002</v>
      </c>
      <c r="M1578" s="317">
        <v>42.501249999999999</v>
      </c>
    </row>
    <row r="1579" spans="1:13" hidden="1" x14ac:dyDescent="0.25">
      <c r="A1579" s="313">
        <f t="shared" si="24"/>
        <v>1578</v>
      </c>
      <c r="B1579" s="319" t="s">
        <v>3048</v>
      </c>
      <c r="C1579" s="315" t="s">
        <v>402</v>
      </c>
      <c r="D1579" s="315" t="s">
        <v>3049</v>
      </c>
      <c r="E1579" s="318">
        <v>1.08</v>
      </c>
      <c r="F1579" s="318" t="s">
        <v>395</v>
      </c>
      <c r="G1579" s="318" t="s">
        <v>395</v>
      </c>
      <c r="H1579" s="318" t="s">
        <v>395</v>
      </c>
      <c r="I1579" s="318" t="s">
        <v>2759</v>
      </c>
      <c r="J1579" s="320">
        <v>4</v>
      </c>
      <c r="K1579" s="317" t="s">
        <v>410</v>
      </c>
      <c r="L1579" s="317">
        <v>47.514000000000003</v>
      </c>
      <c r="M1579" s="317">
        <v>42.185589999999998</v>
      </c>
    </row>
    <row r="1580" spans="1:13" ht="60" hidden="1" x14ac:dyDescent="0.25">
      <c r="A1580" s="313">
        <f t="shared" si="24"/>
        <v>1579</v>
      </c>
      <c r="B1580" s="319" t="s">
        <v>3052</v>
      </c>
      <c r="C1580" s="315" t="s">
        <v>447</v>
      </c>
      <c r="D1580" s="315" t="s">
        <v>3053</v>
      </c>
      <c r="E1580" s="318">
        <v>2.88</v>
      </c>
      <c r="F1580" s="318" t="s">
        <v>395</v>
      </c>
      <c r="G1580" s="318" t="s">
        <v>395</v>
      </c>
      <c r="H1580" s="318" t="s">
        <v>395</v>
      </c>
      <c r="I1580" s="318" t="s">
        <v>2759</v>
      </c>
      <c r="J1580" s="320">
        <v>94</v>
      </c>
      <c r="K1580" s="317" t="s">
        <v>410</v>
      </c>
      <c r="L1580" s="317">
        <v>47.363750000000003</v>
      </c>
      <c r="M1580" s="317">
        <v>41.144860000000001</v>
      </c>
    </row>
    <row r="1581" spans="1:13" ht="60" hidden="1" x14ac:dyDescent="0.25">
      <c r="A1581" s="313">
        <f t="shared" si="24"/>
        <v>1580</v>
      </c>
      <c r="B1581" s="319" t="s">
        <v>3056</v>
      </c>
      <c r="C1581" s="315" t="s">
        <v>677</v>
      </c>
      <c r="D1581" s="315" t="s">
        <v>3057</v>
      </c>
      <c r="E1581" s="318">
        <v>1.72</v>
      </c>
      <c r="F1581" s="318" t="s">
        <v>395</v>
      </c>
      <c r="G1581" s="318" t="s">
        <v>395</v>
      </c>
      <c r="H1581" s="318" t="s">
        <v>395</v>
      </c>
      <c r="I1581" s="318" t="s">
        <v>2759</v>
      </c>
      <c r="J1581" s="320">
        <v>36</v>
      </c>
      <c r="K1581" s="317" t="s">
        <v>410</v>
      </c>
      <c r="L1581" s="317">
        <v>47.422780000000003</v>
      </c>
      <c r="M1581" s="317">
        <v>41.781390000000002</v>
      </c>
    </row>
    <row r="1582" spans="1:13" ht="75" hidden="1" x14ac:dyDescent="0.25">
      <c r="A1582" s="313">
        <f t="shared" si="24"/>
        <v>1581</v>
      </c>
      <c r="B1582" s="319" t="s">
        <v>3060</v>
      </c>
      <c r="C1582" s="315" t="s">
        <v>428</v>
      </c>
      <c r="D1582" s="315" t="s">
        <v>3061</v>
      </c>
      <c r="E1582" s="318">
        <v>1.36</v>
      </c>
      <c r="F1582" s="318" t="s">
        <v>395</v>
      </c>
      <c r="G1582" s="318" t="s">
        <v>395</v>
      </c>
      <c r="H1582" s="318" t="s">
        <v>395</v>
      </c>
      <c r="I1582" s="318" t="s">
        <v>2759</v>
      </c>
      <c r="J1582" s="320">
        <v>18</v>
      </c>
      <c r="K1582" s="317" t="s">
        <v>410</v>
      </c>
      <c r="L1582" s="317">
        <v>47.492220000000003</v>
      </c>
      <c r="M1582" s="317">
        <v>42.31</v>
      </c>
    </row>
    <row r="1583" spans="1:13" ht="45" hidden="1" x14ac:dyDescent="0.25">
      <c r="A1583" s="313">
        <f t="shared" si="24"/>
        <v>1582</v>
      </c>
      <c r="B1583" s="319" t="s">
        <v>3064</v>
      </c>
      <c r="C1583" s="315" t="s">
        <v>412</v>
      </c>
      <c r="D1583" s="315" t="s">
        <v>3065</v>
      </c>
      <c r="E1583" s="318">
        <v>1.46</v>
      </c>
      <c r="F1583" s="318" t="s">
        <v>395</v>
      </c>
      <c r="G1583" s="318" t="s">
        <v>395</v>
      </c>
      <c r="H1583" s="318" t="s">
        <v>395</v>
      </c>
      <c r="I1583" s="318" t="s">
        <v>2759</v>
      </c>
      <c r="J1583" s="320">
        <v>23</v>
      </c>
      <c r="K1583" s="317" t="s">
        <v>410</v>
      </c>
      <c r="L1583" s="317">
        <v>47.470829999999999</v>
      </c>
      <c r="M1583" s="317">
        <v>41.945979999999999</v>
      </c>
    </row>
    <row r="1584" spans="1:13" ht="45" hidden="1" x14ac:dyDescent="0.25">
      <c r="A1584" s="313">
        <f t="shared" si="24"/>
        <v>1583</v>
      </c>
      <c r="B1584" s="319" t="s">
        <v>3067</v>
      </c>
      <c r="C1584" s="315" t="s">
        <v>412</v>
      </c>
      <c r="D1584" s="315" t="s">
        <v>3069</v>
      </c>
      <c r="E1584" s="318">
        <v>4</v>
      </c>
      <c r="F1584" s="318" t="s">
        <v>395</v>
      </c>
      <c r="G1584" s="318" t="s">
        <v>395</v>
      </c>
      <c r="H1584" s="318" t="s">
        <v>395</v>
      </c>
      <c r="I1584" s="318" t="s">
        <v>2759</v>
      </c>
      <c r="J1584" s="320">
        <v>150</v>
      </c>
      <c r="K1584" s="317" t="s">
        <v>410</v>
      </c>
      <c r="L1584" s="317">
        <v>46.78678</v>
      </c>
      <c r="M1584" s="317">
        <v>43.48075</v>
      </c>
    </row>
    <row r="1585" spans="1:13" ht="45" hidden="1" x14ac:dyDescent="0.25">
      <c r="A1585" s="313">
        <f t="shared" si="24"/>
        <v>1584</v>
      </c>
      <c r="B1585" s="319" t="s">
        <v>3071</v>
      </c>
      <c r="C1585" s="315" t="s">
        <v>412</v>
      </c>
      <c r="D1585" s="315" t="s">
        <v>3073</v>
      </c>
      <c r="E1585" s="318">
        <v>4.8</v>
      </c>
      <c r="F1585" s="318" t="s">
        <v>395</v>
      </c>
      <c r="G1585" s="318" t="s">
        <v>395</v>
      </c>
      <c r="H1585" s="318" t="s">
        <v>395</v>
      </c>
      <c r="I1585" s="318" t="s">
        <v>2759</v>
      </c>
      <c r="J1585" s="320">
        <v>190</v>
      </c>
      <c r="K1585" s="317" t="s">
        <v>410</v>
      </c>
      <c r="L1585" s="317">
        <v>47.302779999999998</v>
      </c>
      <c r="M1585" s="317">
        <v>44.148609999999998</v>
      </c>
    </row>
    <row r="1586" spans="1:13" ht="45" hidden="1" x14ac:dyDescent="0.25">
      <c r="A1586" s="313">
        <f t="shared" si="24"/>
        <v>1585</v>
      </c>
      <c r="B1586" s="319" t="s">
        <v>3075</v>
      </c>
      <c r="C1586" s="315" t="s">
        <v>412</v>
      </c>
      <c r="D1586" s="315" t="s">
        <v>3077</v>
      </c>
      <c r="E1586" s="318">
        <v>2.3199999999999998</v>
      </c>
      <c r="F1586" s="318" t="s">
        <v>395</v>
      </c>
      <c r="G1586" s="318" t="s">
        <v>395</v>
      </c>
      <c r="H1586" s="318" t="s">
        <v>395</v>
      </c>
      <c r="I1586" s="318" t="s">
        <v>2759</v>
      </c>
      <c r="J1586" s="320">
        <v>66</v>
      </c>
      <c r="K1586" s="317" t="s">
        <v>410</v>
      </c>
      <c r="L1586" s="317">
        <v>47.086779999999997</v>
      </c>
      <c r="M1586" s="317">
        <v>42.317439999999998</v>
      </c>
    </row>
    <row r="1587" spans="1:13" ht="45" hidden="1" x14ac:dyDescent="0.25">
      <c r="A1587" s="313">
        <f t="shared" si="24"/>
        <v>1586</v>
      </c>
      <c r="B1587" s="319" t="s">
        <v>3079</v>
      </c>
      <c r="C1587" s="315" t="s">
        <v>412</v>
      </c>
      <c r="D1587" s="315" t="s">
        <v>3081</v>
      </c>
      <c r="E1587" s="318">
        <v>3.64</v>
      </c>
      <c r="F1587" s="318" t="s">
        <v>395</v>
      </c>
      <c r="G1587" s="318" t="s">
        <v>395</v>
      </c>
      <c r="H1587" s="318" t="s">
        <v>395</v>
      </c>
      <c r="I1587" s="318" t="s">
        <v>2759</v>
      </c>
      <c r="J1587" s="320">
        <v>132</v>
      </c>
      <c r="K1587" s="317" t="s">
        <v>410</v>
      </c>
      <c r="L1587" s="317">
        <v>46.745829999999998</v>
      </c>
      <c r="M1587" s="317">
        <v>43.204999999999998</v>
      </c>
    </row>
    <row r="1588" spans="1:13" ht="45" hidden="1" x14ac:dyDescent="0.25">
      <c r="A1588" s="313">
        <f t="shared" si="24"/>
        <v>1587</v>
      </c>
      <c r="B1588" s="319" t="s">
        <v>3083</v>
      </c>
      <c r="C1588" s="315" t="s">
        <v>412</v>
      </c>
      <c r="D1588" s="315" t="s">
        <v>3085</v>
      </c>
      <c r="E1588" s="318">
        <v>3.3</v>
      </c>
      <c r="F1588" s="318" t="s">
        <v>395</v>
      </c>
      <c r="G1588" s="318" t="s">
        <v>395</v>
      </c>
      <c r="H1588" s="318" t="s">
        <v>395</v>
      </c>
      <c r="I1588" s="318" t="s">
        <v>2759</v>
      </c>
      <c r="J1588" s="320">
        <v>115</v>
      </c>
      <c r="K1588" s="317" t="s">
        <v>410</v>
      </c>
      <c r="L1588" s="317">
        <v>47.205500000000001</v>
      </c>
      <c r="M1588" s="317">
        <v>41.302799999999998</v>
      </c>
    </row>
    <row r="1589" spans="1:13" ht="45" hidden="1" x14ac:dyDescent="0.25">
      <c r="A1589" s="313">
        <f t="shared" si="24"/>
        <v>1588</v>
      </c>
      <c r="B1589" s="319" t="s">
        <v>3088</v>
      </c>
      <c r="C1589" s="315" t="s">
        <v>412</v>
      </c>
      <c r="D1589" s="315" t="s">
        <v>3089</v>
      </c>
      <c r="E1589" s="318">
        <v>5.4</v>
      </c>
      <c r="F1589" s="318" t="s">
        <v>395</v>
      </c>
      <c r="G1589" s="318" t="s">
        <v>395</v>
      </c>
      <c r="H1589" s="318" t="s">
        <v>395</v>
      </c>
      <c r="I1589" s="318" t="s">
        <v>2759</v>
      </c>
      <c r="J1589" s="320">
        <v>220</v>
      </c>
      <c r="K1589" s="317" t="s">
        <v>410</v>
      </c>
      <c r="L1589" s="317">
        <v>46.957389999999997</v>
      </c>
      <c r="M1589" s="317">
        <v>43.642829999999996</v>
      </c>
    </row>
    <row r="1590" spans="1:13" ht="60" hidden="1" x14ac:dyDescent="0.25">
      <c r="A1590" s="313">
        <f t="shared" si="24"/>
        <v>1589</v>
      </c>
      <c r="B1590" s="319" t="s">
        <v>3092</v>
      </c>
      <c r="C1590" s="315" t="s">
        <v>447</v>
      </c>
      <c r="D1590" s="315" t="s">
        <v>3093</v>
      </c>
      <c r="E1590" s="318">
        <v>1.02</v>
      </c>
      <c r="F1590" s="318" t="s">
        <v>395</v>
      </c>
      <c r="G1590" s="318" t="s">
        <v>395</v>
      </c>
      <c r="H1590" s="318" t="s">
        <v>395</v>
      </c>
      <c r="I1590" s="318" t="s">
        <v>2759</v>
      </c>
      <c r="J1590" s="320">
        <v>1</v>
      </c>
      <c r="K1590" s="317" t="s">
        <v>410</v>
      </c>
      <c r="L1590" s="317">
        <v>47.505429999999997</v>
      </c>
      <c r="M1590" s="317">
        <v>42.171399999999998</v>
      </c>
    </row>
    <row r="1591" spans="1:13" ht="75" hidden="1" x14ac:dyDescent="0.25">
      <c r="A1591" s="313">
        <f t="shared" si="24"/>
        <v>1590</v>
      </c>
      <c r="B1591" s="319" t="s">
        <v>3096</v>
      </c>
      <c r="C1591" s="315" t="s">
        <v>428</v>
      </c>
      <c r="D1591" s="315" t="s">
        <v>3097</v>
      </c>
      <c r="E1591" s="318">
        <v>3.5</v>
      </c>
      <c r="F1591" s="318" t="s">
        <v>395</v>
      </c>
      <c r="G1591" s="318" t="s">
        <v>395</v>
      </c>
      <c r="H1591" s="318" t="s">
        <v>395</v>
      </c>
      <c r="I1591" s="318" t="s">
        <v>2759</v>
      </c>
      <c r="J1591" s="320">
        <v>125</v>
      </c>
      <c r="K1591" s="317" t="s">
        <v>410</v>
      </c>
      <c r="L1591" s="317">
        <v>47.561360000000001</v>
      </c>
      <c r="M1591" s="317">
        <v>40.916420000000002</v>
      </c>
    </row>
    <row r="1592" spans="1:13" ht="45" hidden="1" x14ac:dyDescent="0.25">
      <c r="A1592" s="313">
        <f t="shared" si="24"/>
        <v>1591</v>
      </c>
      <c r="B1592" s="319" t="s">
        <v>3100</v>
      </c>
      <c r="C1592" s="315" t="s">
        <v>582</v>
      </c>
      <c r="D1592" s="315" t="s">
        <v>3101</v>
      </c>
      <c r="E1592" s="318">
        <v>4.84</v>
      </c>
      <c r="F1592" s="318" t="s">
        <v>395</v>
      </c>
      <c r="G1592" s="318" t="s">
        <v>395</v>
      </c>
      <c r="H1592" s="318" t="s">
        <v>395</v>
      </c>
      <c r="I1592" s="318" t="s">
        <v>2759</v>
      </c>
      <c r="J1592" s="320">
        <v>192</v>
      </c>
      <c r="K1592" s="317" t="s">
        <v>410</v>
      </c>
      <c r="L1592" s="317">
        <v>46.701590000000003</v>
      </c>
      <c r="M1592" s="317">
        <v>43.605890000000002</v>
      </c>
    </row>
    <row r="1593" spans="1:13" ht="45" hidden="1" x14ac:dyDescent="0.25">
      <c r="A1593" s="313">
        <f t="shared" si="24"/>
        <v>1592</v>
      </c>
      <c r="B1593" s="319" t="s">
        <v>3104</v>
      </c>
      <c r="C1593" s="315" t="s">
        <v>582</v>
      </c>
      <c r="D1593" s="315" t="s">
        <v>3105</v>
      </c>
      <c r="E1593" s="318">
        <v>2.56</v>
      </c>
      <c r="F1593" s="318" t="s">
        <v>395</v>
      </c>
      <c r="G1593" s="318" t="s">
        <v>395</v>
      </c>
      <c r="H1593" s="318" t="s">
        <v>395</v>
      </c>
      <c r="I1593" s="318" t="s">
        <v>2759</v>
      </c>
      <c r="J1593" s="320">
        <v>78</v>
      </c>
      <c r="K1593" s="317" t="s">
        <v>410</v>
      </c>
      <c r="L1593" s="317">
        <v>47.171469999999999</v>
      </c>
      <c r="M1593" s="317">
        <v>41.594110000000001</v>
      </c>
    </row>
    <row r="1594" spans="1:13" ht="75" hidden="1" x14ac:dyDescent="0.25">
      <c r="A1594" s="313">
        <f t="shared" si="24"/>
        <v>1593</v>
      </c>
      <c r="B1594" s="319" t="s">
        <v>3108</v>
      </c>
      <c r="C1594" s="315" t="s">
        <v>428</v>
      </c>
      <c r="D1594" s="315" t="s">
        <v>3109</v>
      </c>
      <c r="E1594" s="318">
        <v>2.74</v>
      </c>
      <c r="F1594" s="318" t="s">
        <v>395</v>
      </c>
      <c r="G1594" s="318" t="s">
        <v>395</v>
      </c>
      <c r="H1594" s="318" t="s">
        <v>395</v>
      </c>
      <c r="I1594" s="318" t="s">
        <v>2759</v>
      </c>
      <c r="J1594" s="320">
        <v>87</v>
      </c>
      <c r="K1594" s="317" t="s">
        <v>410</v>
      </c>
      <c r="L1594" s="317">
        <v>47.325560000000003</v>
      </c>
      <c r="M1594" s="317">
        <v>41.264240000000001</v>
      </c>
    </row>
    <row r="1595" spans="1:13" ht="45" hidden="1" x14ac:dyDescent="0.25">
      <c r="A1595" s="313">
        <f t="shared" si="24"/>
        <v>1594</v>
      </c>
      <c r="B1595" s="319" t="s">
        <v>3111</v>
      </c>
      <c r="C1595" s="315" t="s">
        <v>412</v>
      </c>
      <c r="D1595" s="315" t="s">
        <v>3113</v>
      </c>
      <c r="E1595" s="318">
        <v>1.26</v>
      </c>
      <c r="F1595" s="318" t="s">
        <v>395</v>
      </c>
      <c r="G1595" s="318" t="s">
        <v>395</v>
      </c>
      <c r="H1595" s="318" t="s">
        <v>395</v>
      </c>
      <c r="I1595" s="318" t="s">
        <v>2759</v>
      </c>
      <c r="J1595" s="320">
        <v>13</v>
      </c>
      <c r="K1595" s="317" t="s">
        <v>410</v>
      </c>
      <c r="L1595" s="317">
        <v>47.568689999999997</v>
      </c>
      <c r="M1595" s="317">
        <v>42.047710000000002</v>
      </c>
    </row>
    <row r="1596" spans="1:13" ht="75" hidden="1" x14ac:dyDescent="0.25">
      <c r="A1596" s="313">
        <f t="shared" si="24"/>
        <v>1595</v>
      </c>
      <c r="B1596" s="319" t="s">
        <v>3115</v>
      </c>
      <c r="C1596" s="315" t="s">
        <v>428</v>
      </c>
      <c r="D1596" s="315" t="s">
        <v>3117</v>
      </c>
      <c r="E1596" s="318">
        <v>3.62</v>
      </c>
      <c r="F1596" s="318" t="s">
        <v>395</v>
      </c>
      <c r="G1596" s="318" t="s">
        <v>395</v>
      </c>
      <c r="H1596" s="318" t="s">
        <v>395</v>
      </c>
      <c r="I1596" s="318" t="s">
        <v>2759</v>
      </c>
      <c r="J1596" s="320">
        <v>131</v>
      </c>
      <c r="K1596" s="317" t="s">
        <v>410</v>
      </c>
      <c r="L1596" s="317">
        <v>47.558599999999998</v>
      </c>
      <c r="M1596" s="317">
        <v>40.964289999999998</v>
      </c>
    </row>
    <row r="1597" spans="1:13" ht="45" hidden="1" x14ac:dyDescent="0.25">
      <c r="A1597" s="313">
        <f t="shared" si="24"/>
        <v>1596</v>
      </c>
      <c r="B1597" s="319" t="s">
        <v>3119</v>
      </c>
      <c r="C1597" s="315" t="s">
        <v>412</v>
      </c>
      <c r="D1597" s="315" t="s">
        <v>3121</v>
      </c>
      <c r="E1597" s="318">
        <v>4.82</v>
      </c>
      <c r="F1597" s="318" t="s">
        <v>395</v>
      </c>
      <c r="G1597" s="318" t="s">
        <v>395</v>
      </c>
      <c r="H1597" s="318" t="s">
        <v>395</v>
      </c>
      <c r="I1597" s="318" t="s">
        <v>2759</v>
      </c>
      <c r="J1597" s="320">
        <v>191</v>
      </c>
      <c r="K1597" s="317" t="s">
        <v>410</v>
      </c>
      <c r="L1597" s="317">
        <v>46.933210000000003</v>
      </c>
      <c r="M1597" s="317">
        <v>43.859020000000001</v>
      </c>
    </row>
    <row r="1598" spans="1:13" ht="60" hidden="1" x14ac:dyDescent="0.25">
      <c r="A1598" s="313">
        <f t="shared" si="24"/>
        <v>1597</v>
      </c>
      <c r="B1598" s="319" t="s">
        <v>3122</v>
      </c>
      <c r="C1598" s="315" t="s">
        <v>412</v>
      </c>
      <c r="D1598" s="315" t="s">
        <v>3124</v>
      </c>
      <c r="E1598" s="318">
        <v>3.6</v>
      </c>
      <c r="F1598" s="318" t="s">
        <v>395</v>
      </c>
      <c r="G1598" s="318" t="s">
        <v>395</v>
      </c>
      <c r="H1598" s="318" t="s">
        <v>395</v>
      </c>
      <c r="I1598" s="318" t="s">
        <v>2759</v>
      </c>
      <c r="J1598" s="320">
        <v>130</v>
      </c>
      <c r="K1598" s="317" t="s">
        <v>410</v>
      </c>
      <c r="L1598" s="317">
        <v>47.20205</v>
      </c>
      <c r="M1598" s="317">
        <v>41.104550000000003</v>
      </c>
    </row>
    <row r="1599" spans="1:13" ht="75" hidden="1" x14ac:dyDescent="0.25">
      <c r="A1599" s="313">
        <f t="shared" si="24"/>
        <v>1598</v>
      </c>
      <c r="B1599" s="319" t="s">
        <v>3126</v>
      </c>
      <c r="C1599" s="315" t="s">
        <v>428</v>
      </c>
      <c r="D1599" s="315" t="s">
        <v>3128</v>
      </c>
      <c r="E1599" s="318">
        <v>3.12</v>
      </c>
      <c r="F1599" s="318" t="s">
        <v>395</v>
      </c>
      <c r="G1599" s="318" t="s">
        <v>395</v>
      </c>
      <c r="H1599" s="318" t="s">
        <v>395</v>
      </c>
      <c r="I1599" s="318" t="s">
        <v>2759</v>
      </c>
      <c r="J1599" s="320">
        <v>106</v>
      </c>
      <c r="K1599" s="317" t="s">
        <v>410</v>
      </c>
      <c r="L1599" s="317">
        <v>48.342959999999998</v>
      </c>
      <c r="M1599" s="317">
        <v>41.833150000000003</v>
      </c>
    </row>
    <row r="1600" spans="1:13" ht="75" hidden="1" x14ac:dyDescent="0.25">
      <c r="A1600" s="313">
        <f t="shared" si="24"/>
        <v>1599</v>
      </c>
      <c r="B1600" s="319" t="s">
        <v>3130</v>
      </c>
      <c r="C1600" s="315" t="s">
        <v>428</v>
      </c>
      <c r="D1600" s="315" t="s">
        <v>3132</v>
      </c>
      <c r="E1600" s="318">
        <v>3.56</v>
      </c>
      <c r="F1600" s="318" t="s">
        <v>395</v>
      </c>
      <c r="G1600" s="318" t="s">
        <v>395</v>
      </c>
      <c r="H1600" s="318" t="s">
        <v>395</v>
      </c>
      <c r="I1600" s="318" t="s">
        <v>2759</v>
      </c>
      <c r="J1600" s="320">
        <v>128</v>
      </c>
      <c r="K1600" s="317" t="s">
        <v>410</v>
      </c>
      <c r="L1600" s="317">
        <v>47.559710000000003</v>
      </c>
      <c r="M1600" s="317">
        <v>40.90005</v>
      </c>
    </row>
    <row r="1601" spans="1:13" ht="75" hidden="1" x14ac:dyDescent="0.25">
      <c r="A1601" s="313">
        <f t="shared" si="24"/>
        <v>1600</v>
      </c>
      <c r="B1601" s="319" t="s">
        <v>3134</v>
      </c>
      <c r="C1601" s="315" t="s">
        <v>428</v>
      </c>
      <c r="D1601" s="315" t="s">
        <v>3136</v>
      </c>
      <c r="E1601" s="318">
        <v>2.36</v>
      </c>
      <c r="F1601" s="318" t="s">
        <v>395</v>
      </c>
      <c r="G1601" s="318" t="s">
        <v>395</v>
      </c>
      <c r="H1601" s="318" t="s">
        <v>395</v>
      </c>
      <c r="I1601" s="318" t="s">
        <v>2759</v>
      </c>
      <c r="J1601" s="320">
        <v>68</v>
      </c>
      <c r="K1601" s="317" t="s">
        <v>410</v>
      </c>
      <c r="L1601" s="317">
        <v>47.521120000000003</v>
      </c>
      <c r="M1601" s="317">
        <v>41.371850000000002</v>
      </c>
    </row>
    <row r="1602" spans="1:13" ht="45" hidden="1" x14ac:dyDescent="0.25">
      <c r="A1602" s="313">
        <f t="shared" si="24"/>
        <v>1601</v>
      </c>
      <c r="B1602" s="319" t="s">
        <v>3138</v>
      </c>
      <c r="C1602" s="315" t="s">
        <v>412</v>
      </c>
      <c r="D1602" s="315" t="s">
        <v>3140</v>
      </c>
      <c r="E1602" s="318">
        <v>3.9</v>
      </c>
      <c r="F1602" s="318" t="s">
        <v>395</v>
      </c>
      <c r="G1602" s="318" t="s">
        <v>395</v>
      </c>
      <c r="H1602" s="318" t="s">
        <v>395</v>
      </c>
      <c r="I1602" s="318" t="s">
        <v>2759</v>
      </c>
      <c r="J1602" s="320">
        <v>145</v>
      </c>
      <c r="K1602" s="317" t="s">
        <v>410</v>
      </c>
      <c r="L1602" s="317">
        <v>48.539439999999999</v>
      </c>
      <c r="M1602" s="317">
        <v>42.244430000000001</v>
      </c>
    </row>
    <row r="1603" spans="1:13" ht="75" hidden="1" x14ac:dyDescent="0.25">
      <c r="A1603" s="313">
        <f t="shared" si="24"/>
        <v>1602</v>
      </c>
      <c r="B1603" s="319" t="s">
        <v>3143</v>
      </c>
      <c r="C1603" s="315" t="s">
        <v>428</v>
      </c>
      <c r="D1603" s="315" t="s">
        <v>3145</v>
      </c>
      <c r="E1603" s="318">
        <v>1.6</v>
      </c>
      <c r="F1603" s="318" t="s">
        <v>395</v>
      </c>
      <c r="G1603" s="318" t="s">
        <v>395</v>
      </c>
      <c r="H1603" s="318" t="s">
        <v>395</v>
      </c>
      <c r="I1603" s="318" t="s">
        <v>2759</v>
      </c>
      <c r="J1603" s="320">
        <v>30</v>
      </c>
      <c r="K1603" s="317" t="s">
        <v>410</v>
      </c>
      <c r="L1603" s="317">
        <v>47.626130000000003</v>
      </c>
      <c r="M1603" s="317">
        <v>41.983260000000001</v>
      </c>
    </row>
    <row r="1604" spans="1:13" ht="60" hidden="1" x14ac:dyDescent="0.25">
      <c r="A1604" s="313">
        <f t="shared" ref="A1604:A1667" si="25">A1603+1</f>
        <v>1603</v>
      </c>
      <c r="B1604" s="319" t="s">
        <v>3147</v>
      </c>
      <c r="C1604" s="315" t="s">
        <v>447</v>
      </c>
      <c r="D1604" s="315" t="s">
        <v>3149</v>
      </c>
      <c r="E1604" s="318">
        <v>3.34</v>
      </c>
      <c r="F1604" s="318" t="s">
        <v>395</v>
      </c>
      <c r="G1604" s="318" t="s">
        <v>395</v>
      </c>
      <c r="H1604" s="318" t="s">
        <v>395</v>
      </c>
      <c r="I1604" s="318" t="s">
        <v>2759</v>
      </c>
      <c r="J1604" s="320">
        <v>117</v>
      </c>
      <c r="K1604" s="317" t="s">
        <v>410</v>
      </c>
      <c r="L1604" s="317">
        <v>47.524439999999998</v>
      </c>
      <c r="M1604" s="317">
        <v>40.824950000000001</v>
      </c>
    </row>
    <row r="1605" spans="1:13" ht="60" hidden="1" x14ac:dyDescent="0.25">
      <c r="A1605" s="313">
        <f t="shared" si="25"/>
        <v>1604</v>
      </c>
      <c r="B1605" s="319" t="s">
        <v>3151</v>
      </c>
      <c r="C1605" s="315" t="s">
        <v>582</v>
      </c>
      <c r="D1605" s="315" t="s">
        <v>3153</v>
      </c>
      <c r="E1605" s="318">
        <v>1.5</v>
      </c>
      <c r="F1605" s="318" t="s">
        <v>395</v>
      </c>
      <c r="G1605" s="318" t="s">
        <v>395</v>
      </c>
      <c r="H1605" s="318" t="s">
        <v>395</v>
      </c>
      <c r="I1605" s="318" t="s">
        <v>2759</v>
      </c>
      <c r="J1605" s="320">
        <v>25</v>
      </c>
      <c r="K1605" s="317" t="s">
        <v>410</v>
      </c>
      <c r="L1605" s="317">
        <v>47.415599999999998</v>
      </c>
      <c r="M1605" s="317">
        <v>42.018030000000003</v>
      </c>
    </row>
    <row r="1606" spans="1:13" ht="45" hidden="1" x14ac:dyDescent="0.25">
      <c r="A1606" s="313">
        <f t="shared" si="25"/>
        <v>1605</v>
      </c>
      <c r="B1606" s="319" t="s">
        <v>3156</v>
      </c>
      <c r="C1606" s="315" t="s">
        <v>412</v>
      </c>
      <c r="D1606" s="315" t="s">
        <v>3157</v>
      </c>
      <c r="E1606" s="318">
        <v>2.64</v>
      </c>
      <c r="F1606" s="318" t="s">
        <v>395</v>
      </c>
      <c r="G1606" s="318" t="s">
        <v>395</v>
      </c>
      <c r="H1606" s="318" t="s">
        <v>395</v>
      </c>
      <c r="I1606" s="318" t="s">
        <v>2759</v>
      </c>
      <c r="J1606" s="320">
        <v>82</v>
      </c>
      <c r="K1606" s="317" t="s">
        <v>410</v>
      </c>
      <c r="L1606" s="317">
        <v>46.890830000000001</v>
      </c>
      <c r="M1606" s="317">
        <v>42.522500000000001</v>
      </c>
    </row>
    <row r="1607" spans="1:13" ht="45" hidden="1" x14ac:dyDescent="0.25">
      <c r="A1607" s="313">
        <f t="shared" si="25"/>
        <v>1606</v>
      </c>
      <c r="B1607" s="319" t="s">
        <v>3160</v>
      </c>
      <c r="C1607" s="315" t="s">
        <v>412</v>
      </c>
      <c r="D1607" s="315" t="s">
        <v>3161</v>
      </c>
      <c r="E1607" s="318">
        <v>3.04</v>
      </c>
      <c r="F1607" s="318" t="s">
        <v>395</v>
      </c>
      <c r="G1607" s="318" t="s">
        <v>395</v>
      </c>
      <c r="H1607" s="318" t="s">
        <v>395</v>
      </c>
      <c r="I1607" s="318" t="s">
        <v>2759</v>
      </c>
      <c r="J1607" s="320">
        <v>102</v>
      </c>
      <c r="K1607" s="317" t="s">
        <v>410</v>
      </c>
      <c r="L1607" s="317">
        <v>47.591940000000001</v>
      </c>
      <c r="M1607" s="317">
        <v>41.123060000000002</v>
      </c>
    </row>
    <row r="1608" spans="1:13" ht="45" hidden="1" x14ac:dyDescent="0.25">
      <c r="A1608" s="313">
        <f t="shared" si="25"/>
        <v>1607</v>
      </c>
      <c r="B1608" s="319" t="s">
        <v>3164</v>
      </c>
      <c r="C1608" s="315" t="s">
        <v>412</v>
      </c>
      <c r="D1608" s="315" t="s">
        <v>3165</v>
      </c>
      <c r="E1608" s="318">
        <v>2.2999999999999998</v>
      </c>
      <c r="F1608" s="318" t="s">
        <v>395</v>
      </c>
      <c r="G1608" s="318" t="s">
        <v>395</v>
      </c>
      <c r="H1608" s="318" t="s">
        <v>395</v>
      </c>
      <c r="I1608" s="318" t="s">
        <v>2759</v>
      </c>
      <c r="J1608" s="320">
        <v>65</v>
      </c>
      <c r="K1608" s="317" t="s">
        <v>410</v>
      </c>
      <c r="L1608" s="317">
        <v>47.257779999999997</v>
      </c>
      <c r="M1608" s="317">
        <v>41.665280000000003</v>
      </c>
    </row>
    <row r="1609" spans="1:13" ht="45" hidden="1" x14ac:dyDescent="0.25">
      <c r="A1609" s="313">
        <f t="shared" si="25"/>
        <v>1608</v>
      </c>
      <c r="B1609" s="319" t="s">
        <v>3168</v>
      </c>
      <c r="C1609" s="315" t="s">
        <v>637</v>
      </c>
      <c r="D1609" s="315" t="s">
        <v>3169</v>
      </c>
      <c r="E1609" s="318">
        <v>3.58</v>
      </c>
      <c r="F1609" s="318" t="s">
        <v>395</v>
      </c>
      <c r="G1609" s="318" t="s">
        <v>395</v>
      </c>
      <c r="H1609" s="318" t="s">
        <v>395</v>
      </c>
      <c r="I1609" s="318" t="s">
        <v>2759</v>
      </c>
      <c r="J1609" s="320">
        <v>129</v>
      </c>
      <c r="K1609" s="317" t="s">
        <v>410</v>
      </c>
      <c r="L1609" s="317">
        <v>47.884740000000001</v>
      </c>
      <c r="M1609" s="317">
        <v>41.051639999999999</v>
      </c>
    </row>
    <row r="1610" spans="1:13" ht="45" hidden="1" x14ac:dyDescent="0.25">
      <c r="A1610" s="313">
        <f t="shared" si="25"/>
        <v>1609</v>
      </c>
      <c r="B1610" s="319" t="s">
        <v>3172</v>
      </c>
      <c r="C1610" s="315" t="s">
        <v>412</v>
      </c>
      <c r="D1610" s="315" t="s">
        <v>3173</v>
      </c>
      <c r="E1610" s="318">
        <v>1.02</v>
      </c>
      <c r="F1610" s="318" t="s">
        <v>395</v>
      </c>
      <c r="G1610" s="318" t="s">
        <v>395</v>
      </c>
      <c r="H1610" s="318" t="s">
        <v>395</v>
      </c>
      <c r="I1610" s="318" t="s">
        <v>2759</v>
      </c>
      <c r="J1610" s="320">
        <v>1</v>
      </c>
      <c r="K1610" s="317" t="s">
        <v>410</v>
      </c>
      <c r="L1610" s="317">
        <v>47.514240000000001</v>
      </c>
      <c r="M1610" s="317">
        <v>42.157290000000003</v>
      </c>
    </row>
    <row r="1611" spans="1:13" ht="30" hidden="1" x14ac:dyDescent="0.25">
      <c r="A1611" s="313">
        <f t="shared" si="25"/>
        <v>1610</v>
      </c>
      <c r="B1611" s="319" t="s">
        <v>3176</v>
      </c>
      <c r="C1611" s="315" t="s">
        <v>637</v>
      </c>
      <c r="D1611" s="315" t="s">
        <v>3177</v>
      </c>
      <c r="E1611" s="318">
        <v>5.22</v>
      </c>
      <c r="F1611" s="318" t="s">
        <v>395</v>
      </c>
      <c r="G1611" s="318" t="s">
        <v>395</v>
      </c>
      <c r="H1611" s="318" t="s">
        <v>395</v>
      </c>
      <c r="I1611" s="318" t="s">
        <v>2759</v>
      </c>
      <c r="J1611" s="320">
        <v>211</v>
      </c>
      <c r="K1611" s="317" t="s">
        <v>410</v>
      </c>
      <c r="L1611" s="317">
        <v>48.65889</v>
      </c>
      <c r="M1611" s="317">
        <v>42.18806</v>
      </c>
    </row>
    <row r="1612" spans="1:13" ht="30" hidden="1" x14ac:dyDescent="0.25">
      <c r="A1612" s="313">
        <f t="shared" si="25"/>
        <v>1611</v>
      </c>
      <c r="B1612" s="319" t="s">
        <v>3180</v>
      </c>
      <c r="C1612" s="315" t="s">
        <v>637</v>
      </c>
      <c r="D1612" s="315" t="s">
        <v>3181</v>
      </c>
      <c r="E1612" s="318">
        <v>2.62</v>
      </c>
      <c r="F1612" s="318" t="s">
        <v>395</v>
      </c>
      <c r="G1612" s="318" t="s">
        <v>395</v>
      </c>
      <c r="H1612" s="318" t="s">
        <v>395</v>
      </c>
      <c r="I1612" s="318" t="s">
        <v>2759</v>
      </c>
      <c r="J1612" s="320">
        <v>81</v>
      </c>
      <c r="K1612" s="317" t="s">
        <v>410</v>
      </c>
      <c r="L1612" s="317">
        <v>47.15204</v>
      </c>
      <c r="M1612" s="317">
        <v>41.891590000000001</v>
      </c>
    </row>
    <row r="1613" spans="1:13" ht="30" hidden="1" x14ac:dyDescent="0.25">
      <c r="A1613" s="313">
        <f t="shared" si="25"/>
        <v>1612</v>
      </c>
      <c r="B1613" s="319" t="s">
        <v>3184</v>
      </c>
      <c r="C1613" s="315" t="s">
        <v>637</v>
      </c>
      <c r="D1613" s="315" t="s">
        <v>3185</v>
      </c>
      <c r="E1613" s="318">
        <v>1.98</v>
      </c>
      <c r="F1613" s="318" t="s">
        <v>395</v>
      </c>
      <c r="G1613" s="318" t="s">
        <v>395</v>
      </c>
      <c r="H1613" s="318" t="s">
        <v>395</v>
      </c>
      <c r="I1613" s="318" t="s">
        <v>2759</v>
      </c>
      <c r="J1613" s="320">
        <v>49</v>
      </c>
      <c r="K1613" s="317" t="s">
        <v>410</v>
      </c>
      <c r="L1613" s="317">
        <v>47.28783</v>
      </c>
      <c r="M1613" s="317">
        <v>42.061540000000001</v>
      </c>
    </row>
    <row r="1614" spans="1:13" ht="75" hidden="1" x14ac:dyDescent="0.25">
      <c r="A1614" s="313">
        <f t="shared" si="25"/>
        <v>1613</v>
      </c>
      <c r="B1614" s="319" t="s">
        <v>3188</v>
      </c>
      <c r="C1614" s="315" t="s">
        <v>428</v>
      </c>
      <c r="D1614" s="315" t="s">
        <v>3189</v>
      </c>
      <c r="E1614" s="318">
        <v>2.96</v>
      </c>
      <c r="F1614" s="318" t="s">
        <v>395</v>
      </c>
      <c r="G1614" s="318" t="s">
        <v>395</v>
      </c>
      <c r="H1614" s="318" t="s">
        <v>395</v>
      </c>
      <c r="I1614" s="318" t="s">
        <v>2759</v>
      </c>
      <c r="J1614" s="320">
        <v>98</v>
      </c>
      <c r="K1614" s="317" t="s">
        <v>410</v>
      </c>
      <c r="L1614" s="317">
        <v>47.276110000000003</v>
      </c>
      <c r="M1614" s="317">
        <v>41.2575</v>
      </c>
    </row>
    <row r="1615" spans="1:13" ht="75" hidden="1" x14ac:dyDescent="0.25">
      <c r="A1615" s="313">
        <f t="shared" si="25"/>
        <v>1614</v>
      </c>
      <c r="B1615" s="319" t="s">
        <v>3192</v>
      </c>
      <c r="C1615" s="315" t="s">
        <v>428</v>
      </c>
      <c r="D1615" s="315" t="s">
        <v>3193</v>
      </c>
      <c r="E1615" s="318">
        <v>2.06</v>
      </c>
      <c r="F1615" s="318" t="s">
        <v>395</v>
      </c>
      <c r="G1615" s="318" t="s">
        <v>395</v>
      </c>
      <c r="H1615" s="318" t="s">
        <v>395</v>
      </c>
      <c r="I1615" s="318" t="s">
        <v>2759</v>
      </c>
      <c r="J1615" s="320">
        <v>53</v>
      </c>
      <c r="K1615" s="317" t="s">
        <v>410</v>
      </c>
      <c r="L1615" s="317">
        <v>47.31156</v>
      </c>
      <c r="M1615" s="317">
        <v>41.932360000000003</v>
      </c>
    </row>
    <row r="1616" spans="1:13" ht="45" hidden="1" x14ac:dyDescent="0.25">
      <c r="A1616" s="313">
        <f t="shared" si="25"/>
        <v>1615</v>
      </c>
      <c r="B1616" s="319" t="s">
        <v>3195</v>
      </c>
      <c r="C1616" s="315" t="s">
        <v>637</v>
      </c>
      <c r="D1616" s="315" t="s">
        <v>3197</v>
      </c>
      <c r="E1616" s="318">
        <v>2.72</v>
      </c>
      <c r="F1616" s="318" t="s">
        <v>395</v>
      </c>
      <c r="G1616" s="318" t="s">
        <v>395</v>
      </c>
      <c r="H1616" s="318" t="s">
        <v>395</v>
      </c>
      <c r="I1616" s="318" t="s">
        <v>2759</v>
      </c>
      <c r="J1616" s="320">
        <v>86</v>
      </c>
      <c r="K1616" s="317" t="s">
        <v>410</v>
      </c>
      <c r="L1616" s="317">
        <v>48.161250000000003</v>
      </c>
      <c r="M1616" s="317">
        <v>41.807650000000002</v>
      </c>
    </row>
    <row r="1617" spans="1:13" ht="45" hidden="1" x14ac:dyDescent="0.25">
      <c r="A1617" s="313">
        <f t="shared" si="25"/>
        <v>1616</v>
      </c>
      <c r="B1617" s="319" t="s">
        <v>3200</v>
      </c>
      <c r="C1617" s="315" t="s">
        <v>637</v>
      </c>
      <c r="D1617" s="315" t="s">
        <v>3201</v>
      </c>
      <c r="E1617" s="318">
        <v>2.98</v>
      </c>
      <c r="F1617" s="318" t="s">
        <v>395</v>
      </c>
      <c r="G1617" s="318" t="s">
        <v>395</v>
      </c>
      <c r="H1617" s="318" t="s">
        <v>395</v>
      </c>
      <c r="I1617" s="318" t="s">
        <v>2759</v>
      </c>
      <c r="J1617" s="320">
        <v>99</v>
      </c>
      <c r="K1617" s="317" t="s">
        <v>410</v>
      </c>
      <c r="L1617" s="317">
        <v>48.255989999999997</v>
      </c>
      <c r="M1617" s="317">
        <v>41.87556</v>
      </c>
    </row>
    <row r="1618" spans="1:13" ht="60" hidden="1" x14ac:dyDescent="0.25">
      <c r="A1618" s="313">
        <f t="shared" si="25"/>
        <v>1617</v>
      </c>
      <c r="B1618" s="319" t="s">
        <v>3204</v>
      </c>
      <c r="C1618" s="315" t="s">
        <v>447</v>
      </c>
      <c r="D1618" s="315" t="s">
        <v>3205</v>
      </c>
      <c r="E1618" s="318">
        <v>2.56</v>
      </c>
      <c r="F1618" s="318" t="s">
        <v>395</v>
      </c>
      <c r="G1618" s="318" t="s">
        <v>395</v>
      </c>
      <c r="H1618" s="318" t="s">
        <v>395</v>
      </c>
      <c r="I1618" s="318" t="s">
        <v>2759</v>
      </c>
      <c r="J1618" s="320">
        <v>78</v>
      </c>
      <c r="K1618" s="317" t="s">
        <v>410</v>
      </c>
      <c r="L1618" s="317">
        <v>47.64499</v>
      </c>
      <c r="M1618" s="317">
        <v>41.340440000000001</v>
      </c>
    </row>
    <row r="1619" spans="1:13" ht="45" hidden="1" x14ac:dyDescent="0.25">
      <c r="A1619" s="313">
        <f t="shared" si="25"/>
        <v>1618</v>
      </c>
      <c r="B1619" s="319" t="s">
        <v>3208</v>
      </c>
      <c r="C1619" s="315" t="s">
        <v>582</v>
      </c>
      <c r="D1619" s="315" t="s">
        <v>3209</v>
      </c>
      <c r="E1619" s="318">
        <v>3.48</v>
      </c>
      <c r="F1619" s="318" t="s">
        <v>395</v>
      </c>
      <c r="G1619" s="318" t="s">
        <v>395</v>
      </c>
      <c r="H1619" s="318" t="s">
        <v>395</v>
      </c>
      <c r="I1619" s="318" t="s">
        <v>2759</v>
      </c>
      <c r="J1619" s="320">
        <v>124</v>
      </c>
      <c r="K1619" s="317" t="s">
        <v>410</v>
      </c>
      <c r="L1619" s="317">
        <v>48.446620000000003</v>
      </c>
      <c r="M1619" s="317">
        <v>41.828339999999997</v>
      </c>
    </row>
    <row r="1620" spans="1:13" ht="45" hidden="1" x14ac:dyDescent="0.25">
      <c r="A1620" s="313">
        <f t="shared" si="25"/>
        <v>1619</v>
      </c>
      <c r="B1620" s="319" t="s">
        <v>3212</v>
      </c>
      <c r="C1620" s="315" t="s">
        <v>637</v>
      </c>
      <c r="D1620" s="315" t="s">
        <v>3213</v>
      </c>
      <c r="E1620" s="318">
        <v>3.24</v>
      </c>
      <c r="F1620" s="318" t="s">
        <v>395</v>
      </c>
      <c r="G1620" s="318" t="s">
        <v>395</v>
      </c>
      <c r="H1620" s="318" t="s">
        <v>395</v>
      </c>
      <c r="I1620" s="318" t="s">
        <v>2759</v>
      </c>
      <c r="J1620" s="320">
        <v>112</v>
      </c>
      <c r="K1620" s="317" t="s">
        <v>410</v>
      </c>
      <c r="L1620" s="317">
        <v>48.209319999999998</v>
      </c>
      <c r="M1620" s="317">
        <v>41.735819999999997</v>
      </c>
    </row>
    <row r="1621" spans="1:13" ht="45" hidden="1" x14ac:dyDescent="0.25">
      <c r="A1621" s="313">
        <f t="shared" si="25"/>
        <v>1620</v>
      </c>
      <c r="B1621" s="319" t="s">
        <v>3216</v>
      </c>
      <c r="C1621" s="315" t="s">
        <v>582</v>
      </c>
      <c r="D1621" s="315" t="s">
        <v>3217</v>
      </c>
      <c r="E1621" s="318">
        <v>3.52</v>
      </c>
      <c r="F1621" s="318" t="s">
        <v>395</v>
      </c>
      <c r="G1621" s="318" t="s">
        <v>395</v>
      </c>
      <c r="H1621" s="318" t="s">
        <v>395</v>
      </c>
      <c r="I1621" s="318" t="s">
        <v>2759</v>
      </c>
      <c r="J1621" s="320">
        <v>126</v>
      </c>
      <c r="K1621" s="317" t="s">
        <v>410</v>
      </c>
      <c r="L1621" s="317">
        <v>47.226239999999997</v>
      </c>
      <c r="M1621" s="317">
        <v>41.052979999999998</v>
      </c>
    </row>
    <row r="1622" spans="1:13" ht="45" hidden="1" x14ac:dyDescent="0.25">
      <c r="A1622" s="313">
        <f t="shared" si="25"/>
        <v>1621</v>
      </c>
      <c r="B1622" s="319" t="s">
        <v>3220</v>
      </c>
      <c r="C1622" s="315" t="s">
        <v>412</v>
      </c>
      <c r="D1622" s="315" t="s">
        <v>3221</v>
      </c>
      <c r="E1622" s="318">
        <v>3.56</v>
      </c>
      <c r="F1622" s="318" t="s">
        <v>395</v>
      </c>
      <c r="G1622" s="318" t="s">
        <v>395</v>
      </c>
      <c r="H1622" s="318" t="s">
        <v>395</v>
      </c>
      <c r="I1622" s="318" t="s">
        <v>2759</v>
      </c>
      <c r="J1622" s="320">
        <v>128</v>
      </c>
      <c r="K1622" s="317" t="s">
        <v>410</v>
      </c>
      <c r="L1622" s="317">
        <v>47.905529999999999</v>
      </c>
      <c r="M1622" s="317">
        <v>41.03416</v>
      </c>
    </row>
    <row r="1623" spans="1:13" ht="45" hidden="1" x14ac:dyDescent="0.25">
      <c r="A1623" s="313">
        <f t="shared" si="25"/>
        <v>1622</v>
      </c>
      <c r="B1623" s="319" t="s">
        <v>3224</v>
      </c>
      <c r="C1623" s="315" t="s">
        <v>582</v>
      </c>
      <c r="D1623" s="315" t="s">
        <v>3225</v>
      </c>
      <c r="E1623" s="318">
        <v>3.48</v>
      </c>
      <c r="F1623" s="318" t="s">
        <v>395</v>
      </c>
      <c r="G1623" s="318" t="s">
        <v>395</v>
      </c>
      <c r="H1623" s="318" t="s">
        <v>395</v>
      </c>
      <c r="I1623" s="318" t="s">
        <v>2759</v>
      </c>
      <c r="J1623" s="320">
        <v>124</v>
      </c>
      <c r="K1623" s="317" t="s">
        <v>410</v>
      </c>
      <c r="L1623" s="317">
        <v>47.422759999999997</v>
      </c>
      <c r="M1623" s="317">
        <v>43.320889999999999</v>
      </c>
    </row>
    <row r="1624" spans="1:13" ht="60" hidden="1" x14ac:dyDescent="0.25">
      <c r="A1624" s="313">
        <f t="shared" si="25"/>
        <v>1623</v>
      </c>
      <c r="B1624" s="319" t="s">
        <v>3228</v>
      </c>
      <c r="C1624" s="315" t="s">
        <v>637</v>
      </c>
      <c r="D1624" s="315" t="s">
        <v>3229</v>
      </c>
      <c r="E1624" s="318">
        <v>3.4</v>
      </c>
      <c r="F1624" s="318" t="s">
        <v>395</v>
      </c>
      <c r="G1624" s="318" t="s">
        <v>395</v>
      </c>
      <c r="H1624" s="318" t="s">
        <v>395</v>
      </c>
      <c r="I1624" s="318" t="s">
        <v>2759</v>
      </c>
      <c r="J1624" s="320">
        <v>120</v>
      </c>
      <c r="K1624" s="317" t="s">
        <v>410</v>
      </c>
      <c r="L1624" s="317">
        <v>48.137880000000003</v>
      </c>
      <c r="M1624" s="317">
        <v>42.02514</v>
      </c>
    </row>
    <row r="1625" spans="1:13" ht="45" hidden="1" x14ac:dyDescent="0.25">
      <c r="A1625" s="313">
        <f t="shared" si="25"/>
        <v>1624</v>
      </c>
      <c r="B1625" s="319" t="s">
        <v>3232</v>
      </c>
      <c r="C1625" s="315" t="s">
        <v>672</v>
      </c>
      <c r="D1625" s="315" t="s">
        <v>3233</v>
      </c>
      <c r="E1625" s="318">
        <v>1.94</v>
      </c>
      <c r="F1625" s="318" t="s">
        <v>395</v>
      </c>
      <c r="G1625" s="318" t="s">
        <v>395</v>
      </c>
      <c r="H1625" s="318" t="s">
        <v>395</v>
      </c>
      <c r="I1625" s="318" t="s">
        <v>2759</v>
      </c>
      <c r="J1625" s="320">
        <v>47</v>
      </c>
      <c r="K1625" s="317" t="s">
        <v>410</v>
      </c>
      <c r="L1625" s="317">
        <v>47.774079999999998</v>
      </c>
      <c r="M1625" s="317">
        <v>42.168309999999998</v>
      </c>
    </row>
    <row r="1626" spans="1:13" ht="75" hidden="1" x14ac:dyDescent="0.25">
      <c r="A1626" s="313">
        <f t="shared" si="25"/>
        <v>1625</v>
      </c>
      <c r="B1626" s="319" t="s">
        <v>3236</v>
      </c>
      <c r="C1626" s="315" t="s">
        <v>582</v>
      </c>
      <c r="D1626" s="315" t="s">
        <v>3237</v>
      </c>
      <c r="E1626" s="318">
        <v>4.82</v>
      </c>
      <c r="F1626" s="318" t="s">
        <v>395</v>
      </c>
      <c r="G1626" s="318" t="s">
        <v>395</v>
      </c>
      <c r="H1626" s="318" t="s">
        <v>395</v>
      </c>
      <c r="I1626" s="318" t="s">
        <v>2759</v>
      </c>
      <c r="J1626" s="320">
        <v>191</v>
      </c>
      <c r="K1626" s="317" t="s">
        <v>410</v>
      </c>
      <c r="L1626" s="317">
        <v>46.631549999999997</v>
      </c>
      <c r="M1626" s="317">
        <v>42.958779999999997</v>
      </c>
    </row>
    <row r="1627" spans="1:13" ht="45" hidden="1" x14ac:dyDescent="0.25">
      <c r="A1627" s="313">
        <f t="shared" si="25"/>
        <v>1626</v>
      </c>
      <c r="B1627" s="319" t="s">
        <v>3240</v>
      </c>
      <c r="C1627" s="315" t="s">
        <v>637</v>
      </c>
      <c r="D1627" s="315" t="s">
        <v>3241</v>
      </c>
      <c r="E1627" s="318">
        <v>2.54</v>
      </c>
      <c r="F1627" s="318" t="s">
        <v>395</v>
      </c>
      <c r="G1627" s="318" t="s">
        <v>395</v>
      </c>
      <c r="H1627" s="318" t="s">
        <v>395</v>
      </c>
      <c r="I1627" s="318" t="s">
        <v>2759</v>
      </c>
      <c r="J1627" s="320">
        <v>77</v>
      </c>
      <c r="K1627" s="317" t="s">
        <v>410</v>
      </c>
      <c r="L1627" s="317">
        <v>47.750900000000001</v>
      </c>
      <c r="M1627" s="317">
        <v>41.551839999999999</v>
      </c>
    </row>
    <row r="1628" spans="1:13" ht="60" hidden="1" x14ac:dyDescent="0.25">
      <c r="A1628" s="313">
        <f t="shared" si="25"/>
        <v>1627</v>
      </c>
      <c r="B1628" s="319" t="s">
        <v>3244</v>
      </c>
      <c r="C1628" s="315" t="s">
        <v>447</v>
      </c>
      <c r="D1628" s="315" t="s">
        <v>3245</v>
      </c>
      <c r="E1628" s="318">
        <v>1.18</v>
      </c>
      <c r="F1628" s="318" t="s">
        <v>395</v>
      </c>
      <c r="G1628" s="318" t="s">
        <v>395</v>
      </c>
      <c r="H1628" s="318" t="s">
        <v>395</v>
      </c>
      <c r="I1628" s="318" t="s">
        <v>2759</v>
      </c>
      <c r="J1628" s="320">
        <v>9</v>
      </c>
      <c r="K1628" s="317" t="s">
        <v>410</v>
      </c>
      <c r="L1628" s="317">
        <v>47.543399999999998</v>
      </c>
      <c r="M1628" s="317">
        <v>42.201140000000002</v>
      </c>
    </row>
    <row r="1629" spans="1:13" ht="45" hidden="1" x14ac:dyDescent="0.25">
      <c r="A1629" s="313">
        <f t="shared" si="25"/>
        <v>1628</v>
      </c>
      <c r="B1629" s="319" t="s">
        <v>3248</v>
      </c>
      <c r="C1629" s="315" t="s">
        <v>412</v>
      </c>
      <c r="D1629" s="315" t="s">
        <v>3249</v>
      </c>
      <c r="E1629" s="318">
        <v>2.14</v>
      </c>
      <c r="F1629" s="318" t="s">
        <v>395</v>
      </c>
      <c r="G1629" s="318" t="s">
        <v>395</v>
      </c>
      <c r="H1629" s="318" t="s">
        <v>395</v>
      </c>
      <c r="I1629" s="318" t="s">
        <v>2759</v>
      </c>
      <c r="J1629" s="320">
        <v>57</v>
      </c>
      <c r="K1629" s="317" t="s">
        <v>410</v>
      </c>
      <c r="L1629" s="317">
        <v>47.142110000000002</v>
      </c>
      <c r="M1629" s="317">
        <v>42.469560000000001</v>
      </c>
    </row>
    <row r="1630" spans="1:13" ht="75" hidden="1" x14ac:dyDescent="0.25">
      <c r="A1630" s="313">
        <f t="shared" si="25"/>
        <v>1629</v>
      </c>
      <c r="B1630" s="319" t="s">
        <v>3252</v>
      </c>
      <c r="C1630" s="315" t="s">
        <v>428</v>
      </c>
      <c r="D1630" s="315" t="s">
        <v>3253</v>
      </c>
      <c r="E1630" s="318">
        <v>3.42</v>
      </c>
      <c r="F1630" s="318" t="s">
        <v>395</v>
      </c>
      <c r="G1630" s="318" t="s">
        <v>395</v>
      </c>
      <c r="H1630" s="318" t="s">
        <v>395</v>
      </c>
      <c r="I1630" s="318" t="s">
        <v>2759</v>
      </c>
      <c r="J1630" s="320">
        <v>121</v>
      </c>
      <c r="K1630" s="317" t="s">
        <v>410</v>
      </c>
      <c r="L1630" s="317">
        <v>47.54392</v>
      </c>
      <c r="M1630" s="317">
        <v>40.867989999999999</v>
      </c>
    </row>
    <row r="1631" spans="1:13" ht="45" hidden="1" x14ac:dyDescent="0.25">
      <c r="A1631" s="313">
        <f t="shared" si="25"/>
        <v>1630</v>
      </c>
      <c r="B1631" s="319" t="s">
        <v>3256</v>
      </c>
      <c r="C1631" s="315" t="s">
        <v>412</v>
      </c>
      <c r="D1631" s="315" t="s">
        <v>3257</v>
      </c>
      <c r="E1631" s="318">
        <v>4.16</v>
      </c>
      <c r="F1631" s="318" t="s">
        <v>395</v>
      </c>
      <c r="G1631" s="318" t="s">
        <v>395</v>
      </c>
      <c r="H1631" s="318" t="s">
        <v>395</v>
      </c>
      <c r="I1631" s="318" t="s">
        <v>2759</v>
      </c>
      <c r="J1631" s="320">
        <v>158</v>
      </c>
      <c r="K1631" s="317" t="s">
        <v>410</v>
      </c>
      <c r="L1631" s="317">
        <v>48.545279999999998</v>
      </c>
      <c r="M1631" s="317">
        <v>42.526940000000003</v>
      </c>
    </row>
    <row r="1632" spans="1:13" ht="45" hidden="1" x14ac:dyDescent="0.25">
      <c r="A1632" s="313">
        <f t="shared" si="25"/>
        <v>1631</v>
      </c>
      <c r="B1632" s="319" t="s">
        <v>3260</v>
      </c>
      <c r="C1632" s="315" t="s">
        <v>412</v>
      </c>
      <c r="D1632" s="315" t="s">
        <v>3261</v>
      </c>
      <c r="E1632" s="318">
        <v>4.38</v>
      </c>
      <c r="F1632" s="318" t="s">
        <v>395</v>
      </c>
      <c r="G1632" s="318" t="s">
        <v>395</v>
      </c>
      <c r="H1632" s="318" t="s">
        <v>395</v>
      </c>
      <c r="I1632" s="318" t="s">
        <v>2759</v>
      </c>
      <c r="J1632" s="320">
        <v>169</v>
      </c>
      <c r="K1632" s="317" t="s">
        <v>410</v>
      </c>
      <c r="L1632" s="317">
        <v>46.561109999999999</v>
      </c>
      <c r="M1632" s="317">
        <v>43.655000000000001</v>
      </c>
    </row>
    <row r="1633" spans="1:13" ht="45" hidden="1" x14ac:dyDescent="0.25">
      <c r="A1633" s="313">
        <f t="shared" si="25"/>
        <v>1632</v>
      </c>
      <c r="B1633" s="319" t="s">
        <v>3264</v>
      </c>
      <c r="C1633" s="315" t="s">
        <v>412</v>
      </c>
      <c r="D1633" s="315" t="s">
        <v>3265</v>
      </c>
      <c r="E1633" s="318">
        <v>4.2</v>
      </c>
      <c r="F1633" s="318" t="s">
        <v>395</v>
      </c>
      <c r="G1633" s="318" t="s">
        <v>395</v>
      </c>
      <c r="H1633" s="318" t="s">
        <v>395</v>
      </c>
      <c r="I1633" s="318" t="s">
        <v>2759</v>
      </c>
      <c r="J1633" s="320">
        <v>160</v>
      </c>
      <c r="K1633" s="317" t="s">
        <v>410</v>
      </c>
      <c r="L1633" s="317">
        <v>47.12547</v>
      </c>
      <c r="M1633" s="317">
        <v>43.87865</v>
      </c>
    </row>
    <row r="1634" spans="1:13" ht="45" hidden="1" x14ac:dyDescent="0.25">
      <c r="A1634" s="313">
        <f t="shared" si="25"/>
        <v>1633</v>
      </c>
      <c r="B1634" s="319" t="s">
        <v>3268</v>
      </c>
      <c r="C1634" s="315" t="s">
        <v>412</v>
      </c>
      <c r="D1634" s="315" t="s">
        <v>3269</v>
      </c>
      <c r="E1634" s="318">
        <v>2.2799999999999998</v>
      </c>
      <c r="F1634" s="318" t="s">
        <v>395</v>
      </c>
      <c r="G1634" s="318" t="s">
        <v>395</v>
      </c>
      <c r="H1634" s="318" t="s">
        <v>395</v>
      </c>
      <c r="I1634" s="318" t="s">
        <v>2759</v>
      </c>
      <c r="J1634" s="320">
        <v>64</v>
      </c>
      <c r="K1634" s="317" t="s">
        <v>410</v>
      </c>
      <c r="L1634" s="317">
        <v>47.435690000000001</v>
      </c>
      <c r="M1634" s="317">
        <v>41.4163</v>
      </c>
    </row>
    <row r="1635" spans="1:13" ht="60" hidden="1" x14ac:dyDescent="0.25">
      <c r="A1635" s="313">
        <f t="shared" si="25"/>
        <v>1634</v>
      </c>
      <c r="B1635" s="319" t="s">
        <v>3272</v>
      </c>
      <c r="C1635" s="315" t="s">
        <v>447</v>
      </c>
      <c r="D1635" s="315" t="s">
        <v>3273</v>
      </c>
      <c r="E1635" s="318">
        <v>3.44</v>
      </c>
      <c r="F1635" s="318" t="s">
        <v>395</v>
      </c>
      <c r="G1635" s="318" t="s">
        <v>395</v>
      </c>
      <c r="H1635" s="318" t="s">
        <v>395</v>
      </c>
      <c r="I1635" s="318" t="s">
        <v>2759</v>
      </c>
      <c r="J1635" s="320">
        <v>122</v>
      </c>
      <c r="K1635" s="317" t="s">
        <v>410</v>
      </c>
      <c r="L1635" s="317">
        <v>47.518880000000003</v>
      </c>
      <c r="M1635" s="317">
        <v>40.77948</v>
      </c>
    </row>
    <row r="1636" spans="1:13" ht="60" hidden="1" x14ac:dyDescent="0.25">
      <c r="A1636" s="313">
        <f t="shared" si="25"/>
        <v>1635</v>
      </c>
      <c r="B1636" s="319" t="s">
        <v>3276</v>
      </c>
      <c r="C1636" s="315" t="s">
        <v>447</v>
      </c>
      <c r="D1636" s="315" t="s">
        <v>3277</v>
      </c>
      <c r="E1636" s="318">
        <v>1.1399999999999999</v>
      </c>
      <c r="F1636" s="318" t="s">
        <v>395</v>
      </c>
      <c r="G1636" s="318" t="s">
        <v>395</v>
      </c>
      <c r="H1636" s="318" t="s">
        <v>395</v>
      </c>
      <c r="I1636" s="318" t="s">
        <v>2759</v>
      </c>
      <c r="J1636" s="320">
        <v>7</v>
      </c>
      <c r="K1636" s="317" t="s">
        <v>410</v>
      </c>
      <c r="L1636" s="317">
        <v>47.509630000000001</v>
      </c>
      <c r="M1636" s="317">
        <v>42.195509999999999</v>
      </c>
    </row>
    <row r="1637" spans="1:13" ht="45" hidden="1" x14ac:dyDescent="0.25">
      <c r="A1637" s="313">
        <f t="shared" si="25"/>
        <v>1636</v>
      </c>
      <c r="B1637" s="319" t="s">
        <v>3280</v>
      </c>
      <c r="C1637" s="315" t="s">
        <v>412</v>
      </c>
      <c r="D1637" s="315" t="s">
        <v>3281</v>
      </c>
      <c r="E1637" s="318">
        <v>3.42</v>
      </c>
      <c r="F1637" s="318" t="s">
        <v>395</v>
      </c>
      <c r="G1637" s="318" t="s">
        <v>395</v>
      </c>
      <c r="H1637" s="318" t="s">
        <v>395</v>
      </c>
      <c r="I1637" s="318" t="s">
        <v>2759</v>
      </c>
      <c r="J1637" s="320">
        <v>121</v>
      </c>
      <c r="K1637" s="317" t="s">
        <v>410</v>
      </c>
      <c r="L1637" s="317">
        <v>47.656230000000001</v>
      </c>
      <c r="M1637" s="317">
        <v>40.91339</v>
      </c>
    </row>
    <row r="1638" spans="1:13" ht="45" hidden="1" x14ac:dyDescent="0.25">
      <c r="A1638" s="313">
        <f t="shared" si="25"/>
        <v>1637</v>
      </c>
      <c r="B1638" s="319" t="s">
        <v>3284</v>
      </c>
      <c r="C1638" s="315" t="s">
        <v>582</v>
      </c>
      <c r="D1638" s="315" t="s">
        <v>3285</v>
      </c>
      <c r="E1638" s="318">
        <v>3.66</v>
      </c>
      <c r="F1638" s="318" t="s">
        <v>395</v>
      </c>
      <c r="G1638" s="318" t="s">
        <v>395</v>
      </c>
      <c r="H1638" s="318" t="s">
        <v>395</v>
      </c>
      <c r="I1638" s="318" t="s">
        <v>2759</v>
      </c>
      <c r="J1638" s="320">
        <v>133</v>
      </c>
      <c r="K1638" s="317" t="s">
        <v>410</v>
      </c>
      <c r="L1638" s="317">
        <v>47.871699999999997</v>
      </c>
      <c r="M1638" s="317">
        <v>41.284179999999999</v>
      </c>
    </row>
    <row r="1639" spans="1:13" ht="60" hidden="1" x14ac:dyDescent="0.25">
      <c r="A1639" s="313">
        <f t="shared" si="25"/>
        <v>1638</v>
      </c>
      <c r="B1639" s="319" t="s">
        <v>3288</v>
      </c>
      <c r="C1639" s="315" t="s">
        <v>447</v>
      </c>
      <c r="D1639" s="315" t="s">
        <v>3289</v>
      </c>
      <c r="E1639" s="318">
        <v>4.4000000000000004</v>
      </c>
      <c r="F1639" s="318" t="s">
        <v>395</v>
      </c>
      <c r="G1639" s="318" t="s">
        <v>395</v>
      </c>
      <c r="H1639" s="318" t="s">
        <v>395</v>
      </c>
      <c r="I1639" s="318" t="s">
        <v>2759</v>
      </c>
      <c r="J1639" s="320">
        <v>170</v>
      </c>
      <c r="K1639" s="317" t="s">
        <v>410</v>
      </c>
      <c r="L1639" s="317">
        <v>46.549469999999999</v>
      </c>
      <c r="M1639" s="317">
        <v>43.657359999999997</v>
      </c>
    </row>
    <row r="1640" spans="1:13" ht="60" hidden="1" x14ac:dyDescent="0.25">
      <c r="A1640" s="313">
        <f t="shared" si="25"/>
        <v>1639</v>
      </c>
      <c r="B1640" s="319" t="s">
        <v>3292</v>
      </c>
      <c r="C1640" s="315" t="s">
        <v>447</v>
      </c>
      <c r="D1640" s="315" t="s">
        <v>3293</v>
      </c>
      <c r="E1640" s="318">
        <v>3.28</v>
      </c>
      <c r="F1640" s="318" t="s">
        <v>395</v>
      </c>
      <c r="G1640" s="318" t="s">
        <v>395</v>
      </c>
      <c r="H1640" s="318" t="s">
        <v>395</v>
      </c>
      <c r="I1640" s="318" t="s">
        <v>2759</v>
      </c>
      <c r="J1640" s="320">
        <v>114</v>
      </c>
      <c r="K1640" s="317" t="s">
        <v>410</v>
      </c>
      <c r="L1640" s="317">
        <v>47.279159999999997</v>
      </c>
      <c r="M1640" s="317">
        <v>43.364510000000003</v>
      </c>
    </row>
    <row r="1641" spans="1:13" ht="60" hidden="1" x14ac:dyDescent="0.25">
      <c r="A1641" s="313">
        <f t="shared" si="25"/>
        <v>1640</v>
      </c>
      <c r="B1641" s="319" t="s">
        <v>3296</v>
      </c>
      <c r="C1641" s="315" t="s">
        <v>447</v>
      </c>
      <c r="D1641" s="315" t="s">
        <v>3297</v>
      </c>
      <c r="E1641" s="318">
        <v>2.84</v>
      </c>
      <c r="F1641" s="318" t="s">
        <v>395</v>
      </c>
      <c r="G1641" s="318" t="s">
        <v>395</v>
      </c>
      <c r="H1641" s="318" t="s">
        <v>395</v>
      </c>
      <c r="I1641" s="318" t="s">
        <v>2759</v>
      </c>
      <c r="J1641" s="320">
        <v>92</v>
      </c>
      <c r="K1641" s="317" t="s">
        <v>410</v>
      </c>
      <c r="L1641" s="317">
        <v>47.361229999999999</v>
      </c>
      <c r="M1641" s="317">
        <v>43.028280000000002</v>
      </c>
    </row>
    <row r="1642" spans="1:13" ht="75" hidden="1" x14ac:dyDescent="0.25">
      <c r="A1642" s="313">
        <f t="shared" si="25"/>
        <v>1641</v>
      </c>
      <c r="B1642" s="319" t="s">
        <v>3300</v>
      </c>
      <c r="C1642" s="315" t="s">
        <v>428</v>
      </c>
      <c r="D1642" s="315" t="s">
        <v>3301</v>
      </c>
      <c r="E1642" s="318">
        <v>3.2</v>
      </c>
      <c r="F1642" s="318" t="s">
        <v>395</v>
      </c>
      <c r="G1642" s="318" t="s">
        <v>395</v>
      </c>
      <c r="H1642" s="318" t="s">
        <v>395</v>
      </c>
      <c r="I1642" s="318" t="s">
        <v>2759</v>
      </c>
      <c r="J1642" s="320">
        <v>110</v>
      </c>
      <c r="K1642" s="317" t="s">
        <v>410</v>
      </c>
      <c r="L1642" s="317">
        <v>47.578060000000001</v>
      </c>
      <c r="M1642" s="317">
        <v>41.10333</v>
      </c>
    </row>
    <row r="1643" spans="1:13" ht="75" hidden="1" x14ac:dyDescent="0.25">
      <c r="A1643" s="313">
        <f t="shared" si="25"/>
        <v>1642</v>
      </c>
      <c r="B1643" s="319" t="s">
        <v>3304</v>
      </c>
      <c r="C1643" s="315" t="s">
        <v>428</v>
      </c>
      <c r="D1643" s="315" t="s">
        <v>3305</v>
      </c>
      <c r="E1643" s="318">
        <v>1.52</v>
      </c>
      <c r="F1643" s="318" t="s">
        <v>395</v>
      </c>
      <c r="G1643" s="318" t="s">
        <v>395</v>
      </c>
      <c r="H1643" s="318" t="s">
        <v>395</v>
      </c>
      <c r="I1643" s="318" t="s">
        <v>2759</v>
      </c>
      <c r="J1643" s="320">
        <v>26</v>
      </c>
      <c r="K1643" s="317" t="s">
        <v>410</v>
      </c>
      <c r="L1643" s="317">
        <v>47.64528</v>
      </c>
      <c r="M1643" s="317">
        <v>42.104999999999997</v>
      </c>
    </row>
    <row r="1644" spans="1:13" ht="45" hidden="1" x14ac:dyDescent="0.25">
      <c r="A1644" s="313">
        <f t="shared" si="25"/>
        <v>1643</v>
      </c>
      <c r="B1644" s="319" t="s">
        <v>3308</v>
      </c>
      <c r="C1644" s="315" t="s">
        <v>412</v>
      </c>
      <c r="D1644" s="315" t="s">
        <v>3309</v>
      </c>
      <c r="E1644" s="318">
        <v>5.0199999999999996</v>
      </c>
      <c r="F1644" s="318" t="s">
        <v>395</v>
      </c>
      <c r="G1644" s="318" t="s">
        <v>395</v>
      </c>
      <c r="H1644" s="318" t="s">
        <v>395</v>
      </c>
      <c r="I1644" s="318" t="s">
        <v>2759</v>
      </c>
      <c r="J1644" s="320">
        <v>201</v>
      </c>
      <c r="K1644" s="317" t="s">
        <v>410</v>
      </c>
      <c r="L1644" s="317">
        <v>46.456940000000003</v>
      </c>
      <c r="M1644" s="317">
        <v>43.36889</v>
      </c>
    </row>
    <row r="1645" spans="1:13" ht="60" hidden="1" x14ac:dyDescent="0.25">
      <c r="A1645" s="313">
        <f t="shared" si="25"/>
        <v>1644</v>
      </c>
      <c r="B1645" s="319" t="s">
        <v>3312</v>
      </c>
      <c r="C1645" s="315" t="s">
        <v>677</v>
      </c>
      <c r="D1645" s="315" t="s">
        <v>3313</v>
      </c>
      <c r="E1645" s="318">
        <v>4.8</v>
      </c>
      <c r="F1645" s="318" t="s">
        <v>395</v>
      </c>
      <c r="G1645" s="318" t="s">
        <v>395</v>
      </c>
      <c r="H1645" s="318" t="s">
        <v>395</v>
      </c>
      <c r="I1645" s="318" t="s">
        <v>2759</v>
      </c>
      <c r="J1645" s="320">
        <v>190</v>
      </c>
      <c r="K1645" s="317" t="s">
        <v>410</v>
      </c>
      <c r="L1645" s="317">
        <v>46.461150000000004</v>
      </c>
      <c r="M1645" s="317">
        <v>43.81908</v>
      </c>
    </row>
    <row r="1646" spans="1:13" ht="60" hidden="1" x14ac:dyDescent="0.25">
      <c r="A1646" s="313">
        <f t="shared" si="25"/>
        <v>1645</v>
      </c>
      <c r="B1646" s="319" t="s">
        <v>3316</v>
      </c>
      <c r="C1646" s="315" t="s">
        <v>503</v>
      </c>
      <c r="D1646" s="315" t="s">
        <v>3317</v>
      </c>
      <c r="E1646" s="318">
        <v>4.32</v>
      </c>
      <c r="F1646" s="318" t="s">
        <v>395</v>
      </c>
      <c r="G1646" s="318" t="s">
        <v>395</v>
      </c>
      <c r="H1646" s="318" t="s">
        <v>395</v>
      </c>
      <c r="I1646" s="318" t="s">
        <v>2759</v>
      </c>
      <c r="J1646" s="320">
        <v>166</v>
      </c>
      <c r="K1646" s="317" t="s">
        <v>410</v>
      </c>
      <c r="L1646" s="317">
        <v>46.8245</v>
      </c>
      <c r="M1646" s="317">
        <v>43.668280000000003</v>
      </c>
    </row>
    <row r="1647" spans="1:13" ht="45" hidden="1" x14ac:dyDescent="0.25">
      <c r="A1647" s="313">
        <f t="shared" si="25"/>
        <v>1646</v>
      </c>
      <c r="B1647" s="319" t="s">
        <v>3320</v>
      </c>
      <c r="C1647" s="315" t="s">
        <v>412</v>
      </c>
      <c r="D1647" s="315" t="s">
        <v>3321</v>
      </c>
      <c r="E1647" s="318">
        <v>3.78</v>
      </c>
      <c r="F1647" s="318" t="s">
        <v>395</v>
      </c>
      <c r="G1647" s="318" t="s">
        <v>395</v>
      </c>
      <c r="H1647" s="318" t="s">
        <v>395</v>
      </c>
      <c r="I1647" s="318" t="s">
        <v>2759</v>
      </c>
      <c r="J1647" s="320">
        <v>139</v>
      </c>
      <c r="K1647" s="317" t="s">
        <v>410</v>
      </c>
      <c r="L1647" s="317">
        <v>47.063870000000001</v>
      </c>
      <c r="M1647" s="317">
        <v>43.261920000000003</v>
      </c>
    </row>
    <row r="1648" spans="1:13" ht="45" hidden="1" x14ac:dyDescent="0.25">
      <c r="A1648" s="313">
        <f t="shared" si="25"/>
        <v>1647</v>
      </c>
      <c r="B1648" s="319" t="s">
        <v>3324</v>
      </c>
      <c r="C1648" s="315" t="s">
        <v>412</v>
      </c>
      <c r="D1648" s="315" t="s">
        <v>3325</v>
      </c>
      <c r="E1648" s="318">
        <v>4.8600000000000003</v>
      </c>
      <c r="F1648" s="318" t="s">
        <v>395</v>
      </c>
      <c r="G1648" s="318" t="s">
        <v>395</v>
      </c>
      <c r="H1648" s="318" t="s">
        <v>395</v>
      </c>
      <c r="I1648" s="318" t="s">
        <v>2759</v>
      </c>
      <c r="J1648" s="320">
        <v>193</v>
      </c>
      <c r="K1648" s="317" t="s">
        <v>410</v>
      </c>
      <c r="L1648" s="317">
        <v>48.750349999999997</v>
      </c>
      <c r="M1648" s="317">
        <v>42.517870000000002</v>
      </c>
    </row>
    <row r="1649" spans="1:13" ht="45" hidden="1" x14ac:dyDescent="0.25">
      <c r="A1649" s="313">
        <f t="shared" si="25"/>
        <v>1648</v>
      </c>
      <c r="B1649" s="319" t="s">
        <v>3328</v>
      </c>
      <c r="C1649" s="315" t="s">
        <v>412</v>
      </c>
      <c r="D1649" s="315" t="s">
        <v>3329</v>
      </c>
      <c r="E1649" s="318">
        <v>1.1000000000000001</v>
      </c>
      <c r="F1649" s="318" t="s">
        <v>395</v>
      </c>
      <c r="G1649" s="318" t="s">
        <v>395</v>
      </c>
      <c r="H1649" s="318" t="s">
        <v>395</v>
      </c>
      <c r="I1649" s="318" t="s">
        <v>2759</v>
      </c>
      <c r="J1649" s="320">
        <v>5</v>
      </c>
      <c r="K1649" s="317" t="s">
        <v>410</v>
      </c>
      <c r="L1649" s="317">
        <v>47.49494</v>
      </c>
      <c r="M1649" s="317">
        <v>42.177720000000001</v>
      </c>
    </row>
    <row r="1650" spans="1:13" ht="45" hidden="1" x14ac:dyDescent="0.25">
      <c r="A1650" s="313">
        <f t="shared" si="25"/>
        <v>1649</v>
      </c>
      <c r="B1650" s="319" t="s">
        <v>3332</v>
      </c>
      <c r="C1650" s="315" t="s">
        <v>412</v>
      </c>
      <c r="D1650" s="315" t="s">
        <v>3333</v>
      </c>
      <c r="E1650" s="318">
        <v>1.04</v>
      </c>
      <c r="F1650" s="318" t="s">
        <v>395</v>
      </c>
      <c r="G1650" s="318" t="s">
        <v>395</v>
      </c>
      <c r="H1650" s="318" t="s">
        <v>395</v>
      </c>
      <c r="I1650" s="318" t="s">
        <v>2759</v>
      </c>
      <c r="J1650" s="320">
        <v>2</v>
      </c>
      <c r="K1650" s="317" t="s">
        <v>410</v>
      </c>
      <c r="L1650" s="317">
        <v>47.511580000000002</v>
      </c>
      <c r="M1650" s="317">
        <v>42.144750000000002</v>
      </c>
    </row>
    <row r="1651" spans="1:13" ht="45" hidden="1" x14ac:dyDescent="0.25">
      <c r="A1651" s="313">
        <f t="shared" si="25"/>
        <v>1650</v>
      </c>
      <c r="B1651" s="319" t="s">
        <v>3336</v>
      </c>
      <c r="C1651" s="315" t="s">
        <v>412</v>
      </c>
      <c r="D1651" s="315" t="s">
        <v>3337</v>
      </c>
      <c r="E1651" s="318">
        <v>1.04</v>
      </c>
      <c r="F1651" s="318" t="s">
        <v>395</v>
      </c>
      <c r="G1651" s="318" t="s">
        <v>395</v>
      </c>
      <c r="H1651" s="318" t="s">
        <v>395</v>
      </c>
      <c r="I1651" s="318" t="s">
        <v>2759</v>
      </c>
      <c r="J1651" s="320">
        <v>2</v>
      </c>
      <c r="K1651" s="317" t="s">
        <v>410</v>
      </c>
      <c r="L1651" s="317">
        <v>47.523110000000003</v>
      </c>
      <c r="M1651" s="317">
        <v>42.140889999999999</v>
      </c>
    </row>
    <row r="1652" spans="1:13" ht="30" hidden="1" x14ac:dyDescent="0.25">
      <c r="A1652" s="313">
        <f t="shared" si="25"/>
        <v>1651</v>
      </c>
      <c r="B1652" s="319" t="s">
        <v>3340</v>
      </c>
      <c r="C1652" s="315" t="s">
        <v>399</v>
      </c>
      <c r="D1652" s="315" t="s">
        <v>3341</v>
      </c>
      <c r="E1652" s="318">
        <v>1.1399999999999999</v>
      </c>
      <c r="F1652" s="318" t="s">
        <v>395</v>
      </c>
      <c r="G1652" s="318" t="s">
        <v>395</v>
      </c>
      <c r="H1652" s="318" t="s">
        <v>395</v>
      </c>
      <c r="I1652" s="318" t="s">
        <v>2759</v>
      </c>
      <c r="J1652" s="320">
        <v>7</v>
      </c>
      <c r="K1652" s="317" t="s">
        <v>410</v>
      </c>
      <c r="L1652" s="317">
        <v>47.510759999999998</v>
      </c>
      <c r="M1652" s="317">
        <v>42.204250000000002</v>
      </c>
    </row>
    <row r="1653" spans="1:13" ht="30" hidden="1" x14ac:dyDescent="0.25">
      <c r="A1653" s="313">
        <f t="shared" si="25"/>
        <v>1652</v>
      </c>
      <c r="B1653" s="319" t="s">
        <v>3344</v>
      </c>
      <c r="C1653" s="315" t="s">
        <v>399</v>
      </c>
      <c r="D1653" s="315" t="s">
        <v>3345</v>
      </c>
      <c r="E1653" s="318">
        <v>1.1399999999999999</v>
      </c>
      <c r="F1653" s="318" t="s">
        <v>395</v>
      </c>
      <c r="G1653" s="318" t="s">
        <v>395</v>
      </c>
      <c r="H1653" s="318" t="s">
        <v>395</v>
      </c>
      <c r="I1653" s="318" t="s">
        <v>2759</v>
      </c>
      <c r="J1653" s="320">
        <v>7</v>
      </c>
      <c r="K1653" s="317" t="s">
        <v>410</v>
      </c>
      <c r="L1653" s="317">
        <v>47.524859999999997</v>
      </c>
      <c r="M1653" s="317">
        <v>42.192790000000002</v>
      </c>
    </row>
    <row r="1654" spans="1:13" ht="45" hidden="1" x14ac:dyDescent="0.25">
      <c r="A1654" s="313">
        <f t="shared" si="25"/>
        <v>1653</v>
      </c>
      <c r="B1654" s="319" t="s">
        <v>3348</v>
      </c>
      <c r="C1654" s="315" t="s">
        <v>412</v>
      </c>
      <c r="D1654" s="315" t="s">
        <v>3349</v>
      </c>
      <c r="E1654" s="318">
        <v>3</v>
      </c>
      <c r="F1654" s="318" t="s">
        <v>395</v>
      </c>
      <c r="G1654" s="318" t="s">
        <v>395</v>
      </c>
      <c r="H1654" s="318" t="s">
        <v>395</v>
      </c>
      <c r="I1654" s="318" t="s">
        <v>2759</v>
      </c>
      <c r="J1654" s="320">
        <v>100</v>
      </c>
      <c r="K1654" s="317" t="s">
        <v>410</v>
      </c>
      <c r="L1654" s="317">
        <v>48.352330000000002</v>
      </c>
      <c r="M1654" s="317">
        <v>41.804029999999997</v>
      </c>
    </row>
    <row r="1655" spans="1:13" ht="75" hidden="1" x14ac:dyDescent="0.25">
      <c r="A1655" s="313">
        <f t="shared" si="25"/>
        <v>1654</v>
      </c>
      <c r="B1655" s="319" t="s">
        <v>3352</v>
      </c>
      <c r="C1655" s="315" t="s">
        <v>428</v>
      </c>
      <c r="D1655" s="315" t="s">
        <v>3353</v>
      </c>
      <c r="E1655" s="318">
        <v>3</v>
      </c>
      <c r="F1655" s="318" t="s">
        <v>395</v>
      </c>
      <c r="G1655" s="318" t="s">
        <v>395</v>
      </c>
      <c r="H1655" s="318" t="s">
        <v>395</v>
      </c>
      <c r="I1655" s="318" t="s">
        <v>2759</v>
      </c>
      <c r="J1655" s="320">
        <v>100</v>
      </c>
      <c r="K1655" s="317" t="s">
        <v>410</v>
      </c>
      <c r="L1655" s="317">
        <v>48.34648</v>
      </c>
      <c r="M1655" s="317">
        <v>41.819380000000002</v>
      </c>
    </row>
    <row r="1656" spans="1:13" ht="45" hidden="1" x14ac:dyDescent="0.25">
      <c r="A1656" s="313">
        <f t="shared" si="25"/>
        <v>1655</v>
      </c>
      <c r="B1656" s="319" t="s">
        <v>3356</v>
      </c>
      <c r="C1656" s="315" t="s">
        <v>412</v>
      </c>
      <c r="D1656" s="315" t="s">
        <v>3357</v>
      </c>
      <c r="E1656" s="318">
        <v>3</v>
      </c>
      <c r="F1656" s="318" t="s">
        <v>395</v>
      </c>
      <c r="G1656" s="318" t="s">
        <v>395</v>
      </c>
      <c r="H1656" s="318" t="s">
        <v>395</v>
      </c>
      <c r="I1656" s="318" t="s">
        <v>2759</v>
      </c>
      <c r="J1656" s="320">
        <v>100</v>
      </c>
      <c r="K1656" s="317" t="s">
        <v>410</v>
      </c>
      <c r="L1656" s="317">
        <v>47.584820000000001</v>
      </c>
      <c r="M1656" s="317">
        <v>41.082099999999997</v>
      </c>
    </row>
    <row r="1657" spans="1:13" ht="75" hidden="1" x14ac:dyDescent="0.25">
      <c r="A1657" s="313">
        <f t="shared" si="25"/>
        <v>1656</v>
      </c>
      <c r="B1657" s="319" t="s">
        <v>3360</v>
      </c>
      <c r="C1657" s="315" t="s">
        <v>428</v>
      </c>
      <c r="D1657" s="315" t="s">
        <v>3361</v>
      </c>
      <c r="E1657" s="318">
        <v>3.1</v>
      </c>
      <c r="F1657" s="318" t="s">
        <v>395</v>
      </c>
      <c r="G1657" s="318" t="s">
        <v>395</v>
      </c>
      <c r="H1657" s="318" t="s">
        <v>395</v>
      </c>
      <c r="I1657" s="318" t="s">
        <v>2759</v>
      </c>
      <c r="J1657" s="320">
        <v>105</v>
      </c>
      <c r="K1657" s="317" t="s">
        <v>410</v>
      </c>
      <c r="L1657" s="317">
        <v>47.586750000000002</v>
      </c>
      <c r="M1657" s="317">
        <v>41.098179999999999</v>
      </c>
    </row>
    <row r="1658" spans="1:13" ht="45" hidden="1" x14ac:dyDescent="0.25">
      <c r="A1658" s="313">
        <f t="shared" si="25"/>
        <v>1657</v>
      </c>
      <c r="B1658" s="319" t="s">
        <v>3364</v>
      </c>
      <c r="C1658" s="315" t="s">
        <v>412</v>
      </c>
      <c r="D1658" s="315" t="s">
        <v>3365</v>
      </c>
      <c r="E1658" s="318">
        <v>1.38</v>
      </c>
      <c r="F1658" s="318" t="s">
        <v>395</v>
      </c>
      <c r="G1658" s="318" t="s">
        <v>395</v>
      </c>
      <c r="H1658" s="318" t="s">
        <v>395</v>
      </c>
      <c r="I1658" s="318" t="s">
        <v>2759</v>
      </c>
      <c r="J1658" s="320">
        <v>19</v>
      </c>
      <c r="K1658" s="317" t="s">
        <v>410</v>
      </c>
      <c r="L1658" s="317">
        <v>47.646470000000001</v>
      </c>
      <c r="M1658" s="317">
        <v>42.073189999999997</v>
      </c>
    </row>
    <row r="1659" spans="1:13" ht="45" hidden="1" x14ac:dyDescent="0.25">
      <c r="A1659" s="313">
        <f t="shared" si="25"/>
        <v>1658</v>
      </c>
      <c r="B1659" s="319" t="s">
        <v>3368</v>
      </c>
      <c r="C1659" s="315" t="s">
        <v>412</v>
      </c>
      <c r="D1659" s="315" t="s">
        <v>3369</v>
      </c>
      <c r="E1659" s="318">
        <v>1.1399999999999999</v>
      </c>
      <c r="F1659" s="318" t="s">
        <v>395</v>
      </c>
      <c r="G1659" s="318" t="s">
        <v>395</v>
      </c>
      <c r="H1659" s="318" t="s">
        <v>395</v>
      </c>
      <c r="I1659" s="318" t="s">
        <v>2759</v>
      </c>
      <c r="J1659" s="320">
        <v>7</v>
      </c>
      <c r="K1659" s="317" t="s">
        <v>410</v>
      </c>
      <c r="L1659" s="317">
        <v>47.538739999999997</v>
      </c>
      <c r="M1659" s="317">
        <v>42.222099999999998</v>
      </c>
    </row>
    <row r="1660" spans="1:13" ht="30" hidden="1" x14ac:dyDescent="0.25">
      <c r="A1660" s="313">
        <f t="shared" si="25"/>
        <v>1659</v>
      </c>
      <c r="B1660" s="319" t="s">
        <v>3372</v>
      </c>
      <c r="C1660" s="315" t="s">
        <v>399</v>
      </c>
      <c r="D1660" s="315" t="s">
        <v>3373</v>
      </c>
      <c r="E1660" s="318">
        <v>1.1599999999999999</v>
      </c>
      <c r="F1660" s="318" t="s">
        <v>395</v>
      </c>
      <c r="G1660" s="318" t="s">
        <v>395</v>
      </c>
      <c r="H1660" s="318" t="s">
        <v>395</v>
      </c>
      <c r="I1660" s="318" t="s">
        <v>2759</v>
      </c>
      <c r="J1660" s="320">
        <v>8</v>
      </c>
      <c r="K1660" s="317" t="s">
        <v>410</v>
      </c>
      <c r="L1660" s="317">
        <v>47.527589999999996</v>
      </c>
      <c r="M1660" s="317">
        <v>42.196350000000002</v>
      </c>
    </row>
    <row r="1661" spans="1:13" ht="30" hidden="1" x14ac:dyDescent="0.25">
      <c r="A1661" s="313">
        <f t="shared" si="25"/>
        <v>1660</v>
      </c>
      <c r="B1661" s="319" t="s">
        <v>3376</v>
      </c>
      <c r="C1661" s="315" t="s">
        <v>637</v>
      </c>
      <c r="D1661" s="315" t="s">
        <v>3377</v>
      </c>
      <c r="E1661" s="318">
        <v>2.74</v>
      </c>
      <c r="F1661" s="318" t="s">
        <v>395</v>
      </c>
      <c r="G1661" s="318" t="s">
        <v>395</v>
      </c>
      <c r="H1661" s="318" t="s">
        <v>395</v>
      </c>
      <c r="I1661" s="318" t="s">
        <v>2759</v>
      </c>
      <c r="J1661" s="320">
        <v>87</v>
      </c>
      <c r="K1661" s="317" t="s">
        <v>410</v>
      </c>
      <c r="L1661" s="317">
        <v>47.36694</v>
      </c>
      <c r="M1661" s="317">
        <v>42.40607</v>
      </c>
    </row>
    <row r="1662" spans="1:13" ht="30" hidden="1" x14ac:dyDescent="0.25">
      <c r="A1662" s="313">
        <f t="shared" si="25"/>
        <v>1661</v>
      </c>
      <c r="B1662" s="319" t="s">
        <v>3380</v>
      </c>
      <c r="C1662" s="315" t="s">
        <v>637</v>
      </c>
      <c r="D1662" s="315" t="s">
        <v>3381</v>
      </c>
      <c r="E1662" s="318">
        <v>2.2200000000000002</v>
      </c>
      <c r="F1662" s="318" t="s">
        <v>395</v>
      </c>
      <c r="G1662" s="318" t="s">
        <v>395</v>
      </c>
      <c r="H1662" s="318" t="s">
        <v>395</v>
      </c>
      <c r="I1662" s="318" t="s">
        <v>2759</v>
      </c>
      <c r="J1662" s="320">
        <v>61</v>
      </c>
      <c r="K1662" s="317" t="s">
        <v>410</v>
      </c>
      <c r="L1662" s="317">
        <v>47.128169999999997</v>
      </c>
      <c r="M1662" s="317">
        <v>42.093730000000001</v>
      </c>
    </row>
    <row r="1663" spans="1:13" ht="45" hidden="1" x14ac:dyDescent="0.25">
      <c r="A1663" s="313">
        <f t="shared" si="25"/>
        <v>1662</v>
      </c>
      <c r="B1663" s="319" t="s">
        <v>3383</v>
      </c>
      <c r="C1663" s="315" t="s">
        <v>637</v>
      </c>
      <c r="D1663" s="315" t="s">
        <v>3384</v>
      </c>
      <c r="E1663" s="318">
        <v>2.3199999999999998</v>
      </c>
      <c r="F1663" s="318" t="s">
        <v>395</v>
      </c>
      <c r="G1663" s="318" t="s">
        <v>395</v>
      </c>
      <c r="H1663" s="318" t="s">
        <v>395</v>
      </c>
      <c r="I1663" s="318" t="s">
        <v>2759</v>
      </c>
      <c r="J1663" s="320">
        <v>66</v>
      </c>
      <c r="K1663" s="317" t="s">
        <v>410</v>
      </c>
      <c r="L1663" s="317">
        <v>47.232399999999998</v>
      </c>
      <c r="M1663" s="317">
        <v>42.492460000000001</v>
      </c>
    </row>
    <row r="1664" spans="1:13" ht="30" hidden="1" x14ac:dyDescent="0.25">
      <c r="A1664" s="313">
        <f t="shared" si="25"/>
        <v>1663</v>
      </c>
      <c r="B1664" s="319" t="s">
        <v>3387</v>
      </c>
      <c r="C1664" s="315" t="s">
        <v>637</v>
      </c>
      <c r="D1664" s="315" t="s">
        <v>3388</v>
      </c>
      <c r="E1664" s="318">
        <v>2.86</v>
      </c>
      <c r="F1664" s="318" t="s">
        <v>395</v>
      </c>
      <c r="G1664" s="318" t="s">
        <v>395</v>
      </c>
      <c r="H1664" s="318" t="s">
        <v>395</v>
      </c>
      <c r="I1664" s="318" t="s">
        <v>2759</v>
      </c>
      <c r="J1664" s="320">
        <v>93</v>
      </c>
      <c r="K1664" s="317" t="s">
        <v>410</v>
      </c>
      <c r="L1664" s="317">
        <v>47.776820000000001</v>
      </c>
      <c r="M1664" s="317">
        <v>41.47278</v>
      </c>
    </row>
    <row r="1665" spans="1:13" ht="45" hidden="1" x14ac:dyDescent="0.25">
      <c r="A1665" s="313">
        <f t="shared" si="25"/>
        <v>1664</v>
      </c>
      <c r="B1665" s="319" t="s">
        <v>3391</v>
      </c>
      <c r="C1665" s="315" t="s">
        <v>637</v>
      </c>
      <c r="D1665" s="315" t="s">
        <v>3392</v>
      </c>
      <c r="E1665" s="318">
        <v>3.66</v>
      </c>
      <c r="F1665" s="318" t="s">
        <v>395</v>
      </c>
      <c r="G1665" s="318" t="s">
        <v>395</v>
      </c>
      <c r="H1665" s="318" t="s">
        <v>395</v>
      </c>
      <c r="I1665" s="318" t="s">
        <v>2759</v>
      </c>
      <c r="J1665" s="320">
        <v>133</v>
      </c>
      <c r="K1665" s="317" t="s">
        <v>410</v>
      </c>
      <c r="L1665" s="317">
        <v>47.836190000000002</v>
      </c>
      <c r="M1665" s="317">
        <v>41.277239999999999</v>
      </c>
    </row>
    <row r="1666" spans="1:13" ht="30" hidden="1" x14ac:dyDescent="0.25">
      <c r="A1666" s="313">
        <f t="shared" si="25"/>
        <v>1665</v>
      </c>
      <c r="B1666" s="319" t="s">
        <v>3395</v>
      </c>
      <c r="C1666" s="315" t="s">
        <v>637</v>
      </c>
      <c r="D1666" s="315" t="s">
        <v>3396</v>
      </c>
      <c r="E1666" s="318">
        <v>3.3</v>
      </c>
      <c r="F1666" s="318" t="s">
        <v>395</v>
      </c>
      <c r="G1666" s="318" t="s">
        <v>395</v>
      </c>
      <c r="H1666" s="318" t="s">
        <v>395</v>
      </c>
      <c r="I1666" s="318" t="s">
        <v>2759</v>
      </c>
      <c r="J1666" s="320">
        <v>115</v>
      </c>
      <c r="K1666" s="317" t="s">
        <v>410</v>
      </c>
      <c r="L1666" s="317">
        <v>48.371369999999999</v>
      </c>
      <c r="M1666" s="317">
        <v>41.718290000000003</v>
      </c>
    </row>
    <row r="1667" spans="1:13" ht="75" hidden="1" x14ac:dyDescent="0.25">
      <c r="A1667" s="313">
        <f t="shared" si="25"/>
        <v>1666</v>
      </c>
      <c r="B1667" s="319" t="s">
        <v>3399</v>
      </c>
      <c r="C1667" s="315" t="s">
        <v>428</v>
      </c>
      <c r="D1667" s="315" t="s">
        <v>3400</v>
      </c>
      <c r="E1667" s="318">
        <v>2.2200000000000002</v>
      </c>
      <c r="F1667" s="318" t="s">
        <v>395</v>
      </c>
      <c r="G1667" s="318" t="s">
        <v>395</v>
      </c>
      <c r="H1667" s="318" t="s">
        <v>395</v>
      </c>
      <c r="I1667" s="318" t="s">
        <v>2759</v>
      </c>
      <c r="J1667" s="320">
        <v>61</v>
      </c>
      <c r="K1667" s="317" t="s">
        <v>410</v>
      </c>
      <c r="L1667" s="317">
        <v>47.097290000000001</v>
      </c>
      <c r="M1667" s="317">
        <v>42.444229999999997</v>
      </c>
    </row>
    <row r="1668" spans="1:13" ht="45" hidden="1" x14ac:dyDescent="0.25">
      <c r="A1668" s="313">
        <f t="shared" ref="A1668:A1700" si="26">A1667+1</f>
        <v>1667</v>
      </c>
      <c r="B1668" s="319" t="s">
        <v>3403</v>
      </c>
      <c r="C1668" s="315" t="s">
        <v>582</v>
      </c>
      <c r="D1668" s="315" t="s">
        <v>3404</v>
      </c>
      <c r="E1668" s="318">
        <v>2.04</v>
      </c>
      <c r="F1668" s="318" t="s">
        <v>395</v>
      </c>
      <c r="G1668" s="318" t="s">
        <v>395</v>
      </c>
      <c r="H1668" s="318" t="s">
        <v>395</v>
      </c>
      <c r="I1668" s="318" t="s">
        <v>2759</v>
      </c>
      <c r="J1668" s="320">
        <v>52</v>
      </c>
      <c r="K1668" s="317" t="s">
        <v>410</v>
      </c>
      <c r="L1668" s="317">
        <v>47.876109999999997</v>
      </c>
      <c r="M1668" s="317">
        <v>41.990960000000001</v>
      </c>
    </row>
    <row r="1669" spans="1:13" ht="30" hidden="1" x14ac:dyDescent="0.25">
      <c r="A1669" s="313">
        <f t="shared" si="26"/>
        <v>1668</v>
      </c>
      <c r="B1669" s="319" t="s">
        <v>3407</v>
      </c>
      <c r="C1669" s="315" t="s">
        <v>637</v>
      </c>
      <c r="D1669" s="315" t="s">
        <v>3408</v>
      </c>
      <c r="E1669" s="318">
        <v>2.68</v>
      </c>
      <c r="F1669" s="318" t="s">
        <v>395</v>
      </c>
      <c r="G1669" s="318" t="s">
        <v>395</v>
      </c>
      <c r="H1669" s="318" t="s">
        <v>395</v>
      </c>
      <c r="I1669" s="318" t="s">
        <v>2759</v>
      </c>
      <c r="J1669" s="320">
        <v>84</v>
      </c>
      <c r="K1669" s="317" t="s">
        <v>410</v>
      </c>
      <c r="L1669" s="317">
        <v>48.140419999999999</v>
      </c>
      <c r="M1669" s="317">
        <v>41.81324</v>
      </c>
    </row>
    <row r="1670" spans="1:13" ht="45" hidden="1" x14ac:dyDescent="0.25">
      <c r="A1670" s="313">
        <f t="shared" si="26"/>
        <v>1669</v>
      </c>
      <c r="B1670" s="319" t="s">
        <v>3411</v>
      </c>
      <c r="C1670" s="315" t="s">
        <v>637</v>
      </c>
      <c r="D1670" s="315" t="s">
        <v>3412</v>
      </c>
      <c r="E1670" s="318">
        <v>3.5</v>
      </c>
      <c r="F1670" s="318" t="s">
        <v>395</v>
      </c>
      <c r="G1670" s="318" t="s">
        <v>395</v>
      </c>
      <c r="H1670" s="318" t="s">
        <v>395</v>
      </c>
      <c r="I1670" s="318" t="s">
        <v>2759</v>
      </c>
      <c r="J1670" s="320">
        <v>125</v>
      </c>
      <c r="K1670" s="317" t="s">
        <v>410</v>
      </c>
      <c r="L1670" s="317">
        <v>48.270180000000003</v>
      </c>
      <c r="M1670" s="317">
        <v>42.020249999999997</v>
      </c>
    </row>
    <row r="1671" spans="1:13" ht="30" hidden="1" x14ac:dyDescent="0.25">
      <c r="A1671" s="313">
        <f t="shared" si="26"/>
        <v>1670</v>
      </c>
      <c r="B1671" s="319" t="s">
        <v>3415</v>
      </c>
      <c r="C1671" s="315" t="s">
        <v>637</v>
      </c>
      <c r="D1671" s="315" t="s">
        <v>3416</v>
      </c>
      <c r="E1671" s="318">
        <v>5.36</v>
      </c>
      <c r="F1671" s="318" t="s">
        <v>395</v>
      </c>
      <c r="G1671" s="318" t="s">
        <v>395</v>
      </c>
      <c r="H1671" s="318" t="s">
        <v>395</v>
      </c>
      <c r="I1671" s="318" t="s">
        <v>2759</v>
      </c>
      <c r="J1671" s="320">
        <v>218</v>
      </c>
      <c r="K1671" s="317" t="s">
        <v>410</v>
      </c>
      <c r="L1671" s="317">
        <v>48.75197</v>
      </c>
      <c r="M1671" s="317">
        <v>42.632730000000002</v>
      </c>
    </row>
    <row r="1672" spans="1:13" ht="45" hidden="1" x14ac:dyDescent="0.25">
      <c r="A1672" s="313">
        <f t="shared" si="26"/>
        <v>1671</v>
      </c>
      <c r="B1672" s="319" t="s">
        <v>3419</v>
      </c>
      <c r="C1672" s="315" t="s">
        <v>637</v>
      </c>
      <c r="D1672" s="315" t="s">
        <v>3420</v>
      </c>
      <c r="E1672" s="318">
        <v>5.26</v>
      </c>
      <c r="F1672" s="318" t="s">
        <v>395</v>
      </c>
      <c r="G1672" s="318" t="s">
        <v>395</v>
      </c>
      <c r="H1672" s="318" t="s">
        <v>395</v>
      </c>
      <c r="I1672" s="318" t="s">
        <v>2759</v>
      </c>
      <c r="J1672" s="320">
        <v>213</v>
      </c>
      <c r="K1672" s="317" t="s">
        <v>410</v>
      </c>
      <c r="L1672" s="317">
        <v>48.620519999999999</v>
      </c>
      <c r="M1672" s="317">
        <v>42.213850000000001</v>
      </c>
    </row>
    <row r="1673" spans="1:13" ht="60" hidden="1" x14ac:dyDescent="0.25">
      <c r="A1673" s="313">
        <f t="shared" si="26"/>
        <v>1672</v>
      </c>
      <c r="B1673" s="319" t="s">
        <v>3423</v>
      </c>
      <c r="C1673" s="315" t="s">
        <v>582</v>
      </c>
      <c r="D1673" s="315" t="s">
        <v>3424</v>
      </c>
      <c r="E1673" s="318">
        <v>5.76</v>
      </c>
      <c r="F1673" s="318" t="s">
        <v>395</v>
      </c>
      <c r="G1673" s="318" t="s">
        <v>395</v>
      </c>
      <c r="H1673" s="318" t="s">
        <v>395</v>
      </c>
      <c r="I1673" s="318" t="s">
        <v>2759</v>
      </c>
      <c r="J1673" s="320">
        <v>238</v>
      </c>
      <c r="K1673" s="317" t="s">
        <v>410</v>
      </c>
      <c r="L1673" s="317">
        <v>48.703809999999997</v>
      </c>
      <c r="M1673" s="317">
        <v>42.050910000000002</v>
      </c>
    </row>
    <row r="1674" spans="1:13" ht="45" hidden="1" x14ac:dyDescent="0.25">
      <c r="A1674" s="313">
        <f t="shared" si="26"/>
        <v>1673</v>
      </c>
      <c r="B1674" s="319" t="s">
        <v>3427</v>
      </c>
      <c r="C1674" s="315" t="s">
        <v>637</v>
      </c>
      <c r="D1674" s="315" t="s">
        <v>3428</v>
      </c>
      <c r="E1674" s="318">
        <v>4.96</v>
      </c>
      <c r="F1674" s="318" t="s">
        <v>395</v>
      </c>
      <c r="G1674" s="318" t="s">
        <v>395</v>
      </c>
      <c r="H1674" s="318" t="s">
        <v>395</v>
      </c>
      <c r="I1674" s="318" t="s">
        <v>2759</v>
      </c>
      <c r="J1674" s="320">
        <v>198</v>
      </c>
      <c r="K1674" s="317" t="s">
        <v>410</v>
      </c>
      <c r="L1674" s="317">
        <v>48.671570000000003</v>
      </c>
      <c r="M1674" s="317">
        <v>42.5075</v>
      </c>
    </row>
    <row r="1675" spans="1:13" ht="30" hidden="1" x14ac:dyDescent="0.25">
      <c r="A1675" s="313">
        <f t="shared" si="26"/>
        <v>1674</v>
      </c>
      <c r="B1675" s="319" t="s">
        <v>3431</v>
      </c>
      <c r="C1675" s="315" t="s">
        <v>637</v>
      </c>
      <c r="D1675" s="315" t="s">
        <v>3432</v>
      </c>
      <c r="E1675" s="318">
        <v>5.72</v>
      </c>
      <c r="F1675" s="318" t="s">
        <v>395</v>
      </c>
      <c r="G1675" s="318" t="s">
        <v>395</v>
      </c>
      <c r="H1675" s="318" t="s">
        <v>395</v>
      </c>
      <c r="I1675" s="318" t="s">
        <v>2759</v>
      </c>
      <c r="J1675" s="320">
        <v>236</v>
      </c>
      <c r="K1675" s="317" t="s">
        <v>410</v>
      </c>
      <c r="L1675" s="317">
        <v>48.77704</v>
      </c>
      <c r="M1675" s="317">
        <v>42.111420000000003</v>
      </c>
    </row>
    <row r="1676" spans="1:13" ht="30" hidden="1" x14ac:dyDescent="0.25">
      <c r="A1676" s="313">
        <f t="shared" si="26"/>
        <v>1675</v>
      </c>
      <c r="B1676" s="319" t="s">
        <v>3435</v>
      </c>
      <c r="C1676" s="315" t="s">
        <v>637</v>
      </c>
      <c r="D1676" s="315" t="s">
        <v>3436</v>
      </c>
      <c r="E1676" s="318">
        <v>3.38</v>
      </c>
      <c r="F1676" s="318" t="s">
        <v>395</v>
      </c>
      <c r="G1676" s="318" t="s">
        <v>395</v>
      </c>
      <c r="H1676" s="318" t="s">
        <v>395</v>
      </c>
      <c r="I1676" s="318" t="s">
        <v>2759</v>
      </c>
      <c r="J1676" s="320">
        <v>119</v>
      </c>
      <c r="K1676" s="317" t="s">
        <v>410</v>
      </c>
      <c r="L1676" s="317">
        <v>48.038960000000003</v>
      </c>
      <c r="M1676" s="317">
        <v>41.559429999999999</v>
      </c>
    </row>
    <row r="1677" spans="1:13" ht="45" hidden="1" x14ac:dyDescent="0.25">
      <c r="A1677" s="313">
        <f t="shared" si="26"/>
        <v>1676</v>
      </c>
      <c r="B1677" s="319" t="s">
        <v>3439</v>
      </c>
      <c r="C1677" s="315" t="s">
        <v>399</v>
      </c>
      <c r="D1677" s="315" t="s">
        <v>3440</v>
      </c>
      <c r="E1677" s="318">
        <v>1.1599999999999999</v>
      </c>
      <c r="F1677" s="318" t="s">
        <v>395</v>
      </c>
      <c r="G1677" s="318" t="s">
        <v>395</v>
      </c>
      <c r="H1677" s="318" t="s">
        <v>395</v>
      </c>
      <c r="I1677" s="318" t="s">
        <v>2759</v>
      </c>
      <c r="J1677" s="320">
        <v>8</v>
      </c>
      <c r="K1677" s="317" t="s">
        <v>410</v>
      </c>
      <c r="L1677" s="317">
        <v>47.531149999999997</v>
      </c>
      <c r="M1677" s="317">
        <v>42.207410000000003</v>
      </c>
    </row>
    <row r="1678" spans="1:13" ht="30" hidden="1" x14ac:dyDescent="0.25">
      <c r="A1678" s="313">
        <f t="shared" si="26"/>
        <v>1677</v>
      </c>
      <c r="B1678" s="319" t="s">
        <v>3443</v>
      </c>
      <c r="C1678" s="315" t="s">
        <v>399</v>
      </c>
      <c r="D1678" s="315" t="s">
        <v>3444</v>
      </c>
      <c r="E1678" s="318">
        <v>1.2</v>
      </c>
      <c r="F1678" s="318" t="s">
        <v>395</v>
      </c>
      <c r="G1678" s="318" t="s">
        <v>395</v>
      </c>
      <c r="H1678" s="318" t="s">
        <v>395</v>
      </c>
      <c r="I1678" s="318" t="s">
        <v>2759</v>
      </c>
      <c r="J1678" s="320">
        <v>10</v>
      </c>
      <c r="K1678" s="317" t="s">
        <v>410</v>
      </c>
      <c r="L1678" s="317">
        <v>47.528599999999997</v>
      </c>
      <c r="M1678" s="317">
        <v>42.215409999999999</v>
      </c>
    </row>
    <row r="1679" spans="1:13" ht="30" hidden="1" x14ac:dyDescent="0.25">
      <c r="A1679" s="313">
        <f t="shared" si="26"/>
        <v>1678</v>
      </c>
      <c r="B1679" s="319" t="s">
        <v>3447</v>
      </c>
      <c r="C1679" s="315" t="s">
        <v>637</v>
      </c>
      <c r="D1679" s="315" t="s">
        <v>3448</v>
      </c>
      <c r="E1679" s="318">
        <v>1.4</v>
      </c>
      <c r="F1679" s="318" t="s">
        <v>395</v>
      </c>
      <c r="G1679" s="318" t="s">
        <v>395</v>
      </c>
      <c r="H1679" s="318" t="s">
        <v>395</v>
      </c>
      <c r="I1679" s="318" t="s">
        <v>2759</v>
      </c>
      <c r="J1679" s="320">
        <v>20</v>
      </c>
      <c r="K1679" s="317" t="s">
        <v>410</v>
      </c>
      <c r="L1679" s="317">
        <v>47.56568</v>
      </c>
      <c r="M1679" s="317">
        <v>42.378459999999997</v>
      </c>
    </row>
    <row r="1680" spans="1:13" ht="45" hidden="1" x14ac:dyDescent="0.25">
      <c r="A1680" s="313">
        <f t="shared" si="26"/>
        <v>1679</v>
      </c>
      <c r="B1680" s="319" t="s">
        <v>3451</v>
      </c>
      <c r="C1680" s="315" t="s">
        <v>637</v>
      </c>
      <c r="D1680" s="315" t="s">
        <v>3452</v>
      </c>
      <c r="E1680" s="318">
        <v>1.56</v>
      </c>
      <c r="F1680" s="318" t="s">
        <v>395</v>
      </c>
      <c r="G1680" s="318" t="s">
        <v>395</v>
      </c>
      <c r="H1680" s="318" t="s">
        <v>395</v>
      </c>
      <c r="I1680" s="318" t="s">
        <v>2759</v>
      </c>
      <c r="J1680" s="320">
        <v>28</v>
      </c>
      <c r="K1680" s="317" t="s">
        <v>410</v>
      </c>
      <c r="L1680" s="317">
        <v>47.633119999999998</v>
      </c>
      <c r="M1680" s="317">
        <v>42.462919999999997</v>
      </c>
    </row>
    <row r="1681" spans="1:13" ht="60" hidden="1" x14ac:dyDescent="0.25">
      <c r="A1681" s="313">
        <f t="shared" si="26"/>
        <v>1680</v>
      </c>
      <c r="B1681" s="319" t="s">
        <v>3455</v>
      </c>
      <c r="C1681" s="315" t="s">
        <v>447</v>
      </c>
      <c r="D1681" s="315" t="s">
        <v>3456</v>
      </c>
      <c r="E1681" s="318">
        <v>1.1200000000000001</v>
      </c>
      <c r="F1681" s="318" t="s">
        <v>395</v>
      </c>
      <c r="G1681" s="318" t="s">
        <v>395</v>
      </c>
      <c r="H1681" s="318" t="s">
        <v>395</v>
      </c>
      <c r="I1681" s="318" t="s">
        <v>2759</v>
      </c>
      <c r="J1681" s="320">
        <v>6</v>
      </c>
      <c r="K1681" s="317" t="s">
        <v>410</v>
      </c>
      <c r="L1681" s="317">
        <v>47.51343</v>
      </c>
      <c r="M1681" s="317">
        <v>42.149479999999997</v>
      </c>
    </row>
    <row r="1682" spans="1:13" ht="30" hidden="1" x14ac:dyDescent="0.25">
      <c r="A1682" s="313">
        <f t="shared" si="26"/>
        <v>1681</v>
      </c>
      <c r="B1682" s="319" t="s">
        <v>3459</v>
      </c>
      <c r="C1682" s="315" t="s">
        <v>399</v>
      </c>
      <c r="D1682" s="315" t="s">
        <v>3460</v>
      </c>
      <c r="E1682" s="318">
        <v>1.04</v>
      </c>
      <c r="F1682" s="318" t="s">
        <v>395</v>
      </c>
      <c r="G1682" s="318" t="s">
        <v>395</v>
      </c>
      <c r="H1682" s="318" t="s">
        <v>395</v>
      </c>
      <c r="I1682" s="318" t="s">
        <v>2759</v>
      </c>
      <c r="J1682" s="320">
        <v>2</v>
      </c>
      <c r="K1682" s="317" t="s">
        <v>410</v>
      </c>
      <c r="L1682" s="317">
        <v>47.505830000000003</v>
      </c>
      <c r="M1682" s="317">
        <v>42.161819999999999</v>
      </c>
    </row>
    <row r="1683" spans="1:13" ht="30" hidden="1" x14ac:dyDescent="0.25">
      <c r="A1683" s="313">
        <f t="shared" si="26"/>
        <v>1682</v>
      </c>
      <c r="B1683" s="319" t="s">
        <v>3463</v>
      </c>
      <c r="C1683" s="315" t="s">
        <v>399</v>
      </c>
      <c r="D1683" s="315" t="s">
        <v>3464</v>
      </c>
      <c r="E1683" s="318">
        <v>1.1000000000000001</v>
      </c>
      <c r="F1683" s="318" t="s">
        <v>395</v>
      </c>
      <c r="G1683" s="318" t="s">
        <v>395</v>
      </c>
      <c r="H1683" s="318" t="s">
        <v>395</v>
      </c>
      <c r="I1683" s="318" t="s">
        <v>2759</v>
      </c>
      <c r="J1683" s="320">
        <v>5</v>
      </c>
      <c r="K1683" s="317" t="s">
        <v>410</v>
      </c>
      <c r="L1683" s="317">
        <v>47.514449999999997</v>
      </c>
      <c r="M1683" s="317">
        <v>42.187510000000003</v>
      </c>
    </row>
    <row r="1684" spans="1:13" ht="45" hidden="1" x14ac:dyDescent="0.25">
      <c r="A1684" s="313">
        <f t="shared" si="26"/>
        <v>1683</v>
      </c>
      <c r="B1684" s="319" t="s">
        <v>3467</v>
      </c>
      <c r="C1684" s="315" t="s">
        <v>582</v>
      </c>
      <c r="D1684" s="315" t="s">
        <v>3468</v>
      </c>
      <c r="E1684" s="318">
        <v>2.78</v>
      </c>
      <c r="F1684" s="318" t="s">
        <v>395</v>
      </c>
      <c r="G1684" s="318" t="s">
        <v>395</v>
      </c>
      <c r="H1684" s="318" t="s">
        <v>395</v>
      </c>
      <c r="I1684" s="318" t="s">
        <v>2759</v>
      </c>
      <c r="J1684" s="320">
        <v>89</v>
      </c>
      <c r="K1684" s="317" t="s">
        <v>410</v>
      </c>
      <c r="L1684" s="317">
        <v>47.816380000000002</v>
      </c>
      <c r="M1684" s="317">
        <v>41.696399999999997</v>
      </c>
    </row>
    <row r="1685" spans="1:13" ht="45" hidden="1" x14ac:dyDescent="0.25">
      <c r="A1685" s="313">
        <f t="shared" si="26"/>
        <v>1684</v>
      </c>
      <c r="B1685" s="319" t="s">
        <v>3471</v>
      </c>
      <c r="C1685" s="315" t="s">
        <v>412</v>
      </c>
      <c r="D1685" s="315" t="s">
        <v>3472</v>
      </c>
      <c r="E1685" s="318">
        <v>2.42</v>
      </c>
      <c r="F1685" s="318" t="s">
        <v>395</v>
      </c>
      <c r="G1685" s="318" t="s">
        <v>395</v>
      </c>
      <c r="H1685" s="318" t="s">
        <v>395</v>
      </c>
      <c r="I1685" s="318" t="s">
        <v>2759</v>
      </c>
      <c r="J1685" s="320">
        <v>71</v>
      </c>
      <c r="K1685" s="317" t="s">
        <v>410</v>
      </c>
      <c r="L1685" s="317">
        <v>47.411999999999999</v>
      </c>
      <c r="M1685" s="317">
        <v>42.781419999999997</v>
      </c>
    </row>
    <row r="1686" spans="1:13" ht="75" hidden="1" x14ac:dyDescent="0.25">
      <c r="A1686" s="313">
        <f t="shared" si="26"/>
        <v>1685</v>
      </c>
      <c r="B1686" s="319" t="s">
        <v>3475</v>
      </c>
      <c r="C1686" s="315" t="s">
        <v>428</v>
      </c>
      <c r="D1686" s="315" t="s">
        <v>3476</v>
      </c>
      <c r="E1686" s="318">
        <v>2.78</v>
      </c>
      <c r="F1686" s="318" t="s">
        <v>395</v>
      </c>
      <c r="G1686" s="318" t="s">
        <v>395</v>
      </c>
      <c r="H1686" s="318" t="s">
        <v>395</v>
      </c>
      <c r="I1686" s="318" t="s">
        <v>2759</v>
      </c>
      <c r="J1686" s="320">
        <v>89</v>
      </c>
      <c r="K1686" s="317" t="s">
        <v>410</v>
      </c>
      <c r="L1686" s="317">
        <v>47.497459999999997</v>
      </c>
      <c r="M1686" s="317">
        <v>41.146520000000002</v>
      </c>
    </row>
    <row r="1687" spans="1:13" ht="45" hidden="1" x14ac:dyDescent="0.25">
      <c r="A1687" s="313">
        <f t="shared" si="26"/>
        <v>1686</v>
      </c>
      <c r="B1687" s="319" t="s">
        <v>3479</v>
      </c>
      <c r="C1687" s="315" t="s">
        <v>412</v>
      </c>
      <c r="D1687" s="315" t="s">
        <v>3480</v>
      </c>
      <c r="E1687" s="318">
        <v>2.9</v>
      </c>
      <c r="F1687" s="318" t="s">
        <v>395</v>
      </c>
      <c r="G1687" s="318" t="s">
        <v>395</v>
      </c>
      <c r="H1687" s="318" t="s">
        <v>395</v>
      </c>
      <c r="I1687" s="318" t="s">
        <v>2759</v>
      </c>
      <c r="J1687" s="320">
        <v>95</v>
      </c>
      <c r="K1687" s="317" t="s">
        <v>410</v>
      </c>
      <c r="L1687" s="317">
        <v>47.41</v>
      </c>
      <c r="M1687" s="317">
        <v>41.211109999999998</v>
      </c>
    </row>
    <row r="1688" spans="1:13" ht="75" hidden="1" x14ac:dyDescent="0.25">
      <c r="A1688" s="313">
        <f t="shared" si="26"/>
        <v>1687</v>
      </c>
      <c r="B1688" s="319" t="s">
        <v>3483</v>
      </c>
      <c r="C1688" s="315" t="s">
        <v>428</v>
      </c>
      <c r="D1688" s="315" t="s">
        <v>3484</v>
      </c>
      <c r="E1688" s="318">
        <v>2.1800000000000002</v>
      </c>
      <c r="F1688" s="318" t="s">
        <v>395</v>
      </c>
      <c r="G1688" s="318" t="s">
        <v>395</v>
      </c>
      <c r="H1688" s="318" t="s">
        <v>395</v>
      </c>
      <c r="I1688" s="318" t="s">
        <v>2759</v>
      </c>
      <c r="J1688" s="320">
        <v>59</v>
      </c>
      <c r="K1688" s="317" t="s">
        <v>410</v>
      </c>
      <c r="L1688" s="317">
        <v>47.412170000000003</v>
      </c>
      <c r="M1688" s="317">
        <v>41.510959999999997</v>
      </c>
    </row>
    <row r="1689" spans="1:13" ht="75" hidden="1" x14ac:dyDescent="0.25">
      <c r="A1689" s="313">
        <f t="shared" si="26"/>
        <v>1688</v>
      </c>
      <c r="B1689" s="319" t="s">
        <v>3487</v>
      </c>
      <c r="C1689" s="315" t="s">
        <v>428</v>
      </c>
      <c r="D1689" s="315" t="s">
        <v>3488</v>
      </c>
      <c r="E1689" s="318">
        <v>2.88</v>
      </c>
      <c r="F1689" s="318" t="s">
        <v>395</v>
      </c>
      <c r="G1689" s="318" t="s">
        <v>395</v>
      </c>
      <c r="H1689" s="318" t="s">
        <v>395</v>
      </c>
      <c r="I1689" s="318" t="s">
        <v>2759</v>
      </c>
      <c r="J1689" s="320">
        <v>94</v>
      </c>
      <c r="K1689" s="317" t="s">
        <v>410</v>
      </c>
      <c r="L1689" s="317">
        <v>47.344050000000003</v>
      </c>
      <c r="M1689" s="317">
        <v>41.209650000000003</v>
      </c>
    </row>
    <row r="1690" spans="1:13" ht="45" hidden="1" x14ac:dyDescent="0.25">
      <c r="A1690" s="313">
        <f t="shared" si="26"/>
        <v>1689</v>
      </c>
      <c r="B1690" s="319" t="s">
        <v>3491</v>
      </c>
      <c r="C1690" s="315" t="s">
        <v>412</v>
      </c>
      <c r="D1690" s="315" t="s">
        <v>3492</v>
      </c>
      <c r="E1690" s="318">
        <v>3.52</v>
      </c>
      <c r="F1690" s="318" t="s">
        <v>395</v>
      </c>
      <c r="G1690" s="318" t="s">
        <v>395</v>
      </c>
      <c r="H1690" s="318" t="s">
        <v>395</v>
      </c>
      <c r="I1690" s="318" t="s">
        <v>2759</v>
      </c>
      <c r="J1690" s="320">
        <v>126</v>
      </c>
      <c r="K1690" s="317" t="s">
        <v>410</v>
      </c>
      <c r="L1690" s="317">
        <v>47.484789999999997</v>
      </c>
      <c r="M1690" s="317">
        <v>41.009529999999998</v>
      </c>
    </row>
    <row r="1691" spans="1:13" ht="45" hidden="1" x14ac:dyDescent="0.25">
      <c r="A1691" s="313">
        <f t="shared" si="26"/>
        <v>1690</v>
      </c>
      <c r="B1691" s="319" t="s">
        <v>3495</v>
      </c>
      <c r="C1691" s="315" t="s">
        <v>412</v>
      </c>
      <c r="D1691" s="315" t="s">
        <v>3496</v>
      </c>
      <c r="E1691" s="318">
        <v>5.04</v>
      </c>
      <c r="F1691" s="318" t="s">
        <v>395</v>
      </c>
      <c r="G1691" s="318" t="s">
        <v>395</v>
      </c>
      <c r="H1691" s="318" t="s">
        <v>395</v>
      </c>
      <c r="I1691" s="318" t="s">
        <v>2759</v>
      </c>
      <c r="J1691" s="320">
        <v>202</v>
      </c>
      <c r="K1691" s="317" t="s">
        <v>410</v>
      </c>
      <c r="L1691" s="317">
        <v>46.877780000000001</v>
      </c>
      <c r="M1691" s="317">
        <v>44.022219999999997</v>
      </c>
    </row>
    <row r="1692" spans="1:13" ht="45" hidden="1" x14ac:dyDescent="0.25">
      <c r="A1692" s="313">
        <f t="shared" si="26"/>
        <v>1691</v>
      </c>
      <c r="B1692" s="319" t="s">
        <v>3499</v>
      </c>
      <c r="C1692" s="315" t="s">
        <v>412</v>
      </c>
      <c r="D1692" s="315" t="s">
        <v>3500</v>
      </c>
      <c r="E1692" s="318">
        <v>2.9</v>
      </c>
      <c r="F1692" s="318" t="s">
        <v>395</v>
      </c>
      <c r="G1692" s="318" t="s">
        <v>395</v>
      </c>
      <c r="H1692" s="318" t="s">
        <v>395</v>
      </c>
      <c r="I1692" s="318" t="s">
        <v>2759</v>
      </c>
      <c r="J1692" s="320">
        <v>95</v>
      </c>
      <c r="K1692" s="317" t="s">
        <v>410</v>
      </c>
      <c r="L1692" s="317">
        <v>46.883009999999999</v>
      </c>
      <c r="M1692" s="317">
        <v>42.756700000000002</v>
      </c>
    </row>
    <row r="1693" spans="1:13" ht="45" hidden="1" x14ac:dyDescent="0.25">
      <c r="A1693" s="313">
        <f t="shared" si="26"/>
        <v>1692</v>
      </c>
      <c r="B1693" s="319" t="s">
        <v>3503</v>
      </c>
      <c r="C1693" s="315" t="s">
        <v>412</v>
      </c>
      <c r="D1693" s="315" t="s">
        <v>3504</v>
      </c>
      <c r="E1693" s="318">
        <v>2.92</v>
      </c>
      <c r="F1693" s="318" t="s">
        <v>395</v>
      </c>
      <c r="G1693" s="318" t="s">
        <v>395</v>
      </c>
      <c r="H1693" s="318" t="s">
        <v>395</v>
      </c>
      <c r="I1693" s="318" t="s">
        <v>2759</v>
      </c>
      <c r="J1693" s="320">
        <v>96</v>
      </c>
      <c r="K1693" s="317" t="s">
        <v>410</v>
      </c>
      <c r="L1693" s="317">
        <v>47.038269999999997</v>
      </c>
      <c r="M1693" s="317">
        <v>42.848700000000001</v>
      </c>
    </row>
    <row r="1694" spans="1:13" ht="75" hidden="1" x14ac:dyDescent="0.25">
      <c r="A1694" s="313">
        <f t="shared" si="26"/>
        <v>1693</v>
      </c>
      <c r="B1694" s="319" t="s">
        <v>3507</v>
      </c>
      <c r="C1694" s="315" t="s">
        <v>428</v>
      </c>
      <c r="D1694" s="315" t="s">
        <v>3508</v>
      </c>
      <c r="E1694" s="318">
        <v>1.54</v>
      </c>
      <c r="F1694" s="318" t="s">
        <v>395</v>
      </c>
      <c r="G1694" s="318" t="s">
        <v>395</v>
      </c>
      <c r="H1694" s="318" t="s">
        <v>395</v>
      </c>
      <c r="I1694" s="318" t="s">
        <v>2759</v>
      </c>
      <c r="J1694" s="320">
        <v>27</v>
      </c>
      <c r="K1694" s="317" t="s">
        <v>410</v>
      </c>
      <c r="L1694" s="317">
        <v>47.674460000000003</v>
      </c>
      <c r="M1694" s="317">
        <v>41.991039999999998</v>
      </c>
    </row>
    <row r="1695" spans="1:13" ht="45" hidden="1" x14ac:dyDescent="0.25">
      <c r="A1695" s="313">
        <f t="shared" si="26"/>
        <v>1694</v>
      </c>
      <c r="B1695" s="319" t="s">
        <v>3511</v>
      </c>
      <c r="C1695" s="315" t="s">
        <v>1378</v>
      </c>
      <c r="D1695" s="315" t="s">
        <v>3512</v>
      </c>
      <c r="E1695" s="318">
        <v>5.16</v>
      </c>
      <c r="F1695" s="318" t="s">
        <v>395</v>
      </c>
      <c r="G1695" s="318" t="s">
        <v>395</v>
      </c>
      <c r="H1695" s="318" t="s">
        <v>395</v>
      </c>
      <c r="I1695" s="318" t="s">
        <v>2759</v>
      </c>
      <c r="J1695" s="320">
        <v>208</v>
      </c>
      <c r="K1695" s="317" t="s">
        <v>410</v>
      </c>
      <c r="L1695" s="317">
        <v>46.341819999999998</v>
      </c>
      <c r="M1695" s="317">
        <v>43.8857</v>
      </c>
    </row>
    <row r="1696" spans="1:13" ht="45" hidden="1" x14ac:dyDescent="0.25">
      <c r="A1696" s="313">
        <f t="shared" si="26"/>
        <v>1695</v>
      </c>
      <c r="B1696" s="319" t="s">
        <v>3515</v>
      </c>
      <c r="C1696" s="315" t="s">
        <v>412</v>
      </c>
      <c r="D1696" s="315" t="s">
        <v>3516</v>
      </c>
      <c r="E1696" s="318">
        <v>3.54</v>
      </c>
      <c r="F1696" s="318" t="s">
        <v>395</v>
      </c>
      <c r="G1696" s="318" t="s">
        <v>395</v>
      </c>
      <c r="H1696" s="318" t="s">
        <v>395</v>
      </c>
      <c r="I1696" s="318" t="s">
        <v>2759</v>
      </c>
      <c r="J1696" s="320">
        <v>127</v>
      </c>
      <c r="K1696" s="317" t="s">
        <v>410</v>
      </c>
      <c r="L1696" s="317">
        <v>46.748809999999999</v>
      </c>
      <c r="M1696" s="317">
        <v>43.103230000000003</v>
      </c>
    </row>
    <row r="1697" spans="1:13" ht="45" hidden="1" x14ac:dyDescent="0.25">
      <c r="A1697" s="313">
        <f t="shared" si="26"/>
        <v>1696</v>
      </c>
      <c r="B1697" s="319" t="s">
        <v>3519</v>
      </c>
      <c r="C1697" s="315" t="s">
        <v>503</v>
      </c>
      <c r="D1697" s="315" t="s">
        <v>3520</v>
      </c>
      <c r="E1697" s="318">
        <v>2.54</v>
      </c>
      <c r="F1697" s="318" t="s">
        <v>395</v>
      </c>
      <c r="G1697" s="318" t="s">
        <v>395</v>
      </c>
      <c r="H1697" s="318" t="s">
        <v>395</v>
      </c>
      <c r="I1697" s="318" t="s">
        <v>2759</v>
      </c>
      <c r="J1697" s="320">
        <v>77</v>
      </c>
      <c r="K1697" s="317" t="s">
        <v>410</v>
      </c>
      <c r="L1697" s="317">
        <v>47.486130000000003</v>
      </c>
      <c r="M1697" s="317">
        <v>41.281880000000001</v>
      </c>
    </row>
    <row r="1698" spans="1:13" ht="45" hidden="1" x14ac:dyDescent="0.25">
      <c r="A1698" s="313">
        <f t="shared" si="26"/>
        <v>1697</v>
      </c>
      <c r="B1698" s="319" t="s">
        <v>3523</v>
      </c>
      <c r="C1698" s="315" t="s">
        <v>503</v>
      </c>
      <c r="D1698" s="315" t="s">
        <v>3524</v>
      </c>
      <c r="E1698" s="318">
        <v>4.24</v>
      </c>
      <c r="F1698" s="318" t="s">
        <v>395</v>
      </c>
      <c r="G1698" s="318" t="s">
        <v>395</v>
      </c>
      <c r="H1698" s="318" t="s">
        <v>395</v>
      </c>
      <c r="I1698" s="318" t="s">
        <v>2759</v>
      </c>
      <c r="J1698" s="320">
        <v>162</v>
      </c>
      <c r="K1698" s="317" t="s">
        <v>410</v>
      </c>
      <c r="L1698" s="317">
        <v>46.60031</v>
      </c>
      <c r="M1698" s="317">
        <v>43.522390000000001</v>
      </c>
    </row>
    <row r="1699" spans="1:13" ht="75" hidden="1" x14ac:dyDescent="0.25">
      <c r="A1699" s="313">
        <f t="shared" si="26"/>
        <v>1698</v>
      </c>
      <c r="B1699" s="319" t="s">
        <v>3527</v>
      </c>
      <c r="C1699" s="315" t="s">
        <v>428</v>
      </c>
      <c r="D1699" s="315" t="s">
        <v>3528</v>
      </c>
      <c r="E1699" s="318">
        <v>1.6</v>
      </c>
      <c r="F1699" s="318" t="s">
        <v>395</v>
      </c>
      <c r="G1699" s="318" t="s">
        <v>395</v>
      </c>
      <c r="H1699" s="318" t="s">
        <v>395</v>
      </c>
      <c r="I1699" s="318" t="s">
        <v>2759</v>
      </c>
      <c r="J1699" s="320">
        <v>30</v>
      </c>
      <c r="K1699" s="317" t="s">
        <v>410</v>
      </c>
      <c r="L1699" s="317">
        <v>47.62491</v>
      </c>
      <c r="M1699" s="317">
        <v>41.915579999999999</v>
      </c>
    </row>
    <row r="1700" spans="1:13" ht="60" hidden="1" x14ac:dyDescent="0.25">
      <c r="A1700" s="313">
        <f t="shared" si="26"/>
        <v>1699</v>
      </c>
      <c r="B1700" s="319" t="s">
        <v>3531</v>
      </c>
      <c r="C1700" s="315" t="s">
        <v>503</v>
      </c>
      <c r="D1700" s="315" t="s">
        <v>3532</v>
      </c>
      <c r="E1700" s="318">
        <v>3.96</v>
      </c>
      <c r="F1700" s="318" t="s">
        <v>395</v>
      </c>
      <c r="G1700" s="318" t="s">
        <v>395</v>
      </c>
      <c r="H1700" s="318" t="s">
        <v>395</v>
      </c>
      <c r="I1700" s="318" t="s">
        <v>2759</v>
      </c>
      <c r="J1700" s="320">
        <v>148</v>
      </c>
      <c r="K1700" s="317" t="s">
        <v>410</v>
      </c>
      <c r="L1700" s="317">
        <v>47.36459</v>
      </c>
      <c r="M1700" s="317">
        <v>43.617359999999998</v>
      </c>
    </row>
    <row r="1701" spans="1:13" hidden="1" x14ac:dyDescent="0.25">
      <c r="B1701" s="319" t="s">
        <v>3534</v>
      </c>
      <c r="F1701" s="318" t="s">
        <v>395</v>
      </c>
      <c r="G1701" s="318" t="s">
        <v>395</v>
      </c>
      <c r="H1701" s="318" t="s">
        <v>395</v>
      </c>
      <c r="J1701" s="324">
        <v>70</v>
      </c>
      <c r="K1701" s="325" t="s">
        <v>397</v>
      </c>
    </row>
    <row r="1702" spans="1:13" hidden="1" x14ac:dyDescent="0.25">
      <c r="B1702" s="319" t="s">
        <v>3536</v>
      </c>
      <c r="F1702" s="318" t="s">
        <v>395</v>
      </c>
      <c r="G1702" s="318" t="s">
        <v>395</v>
      </c>
      <c r="H1702" s="318" t="s">
        <v>395</v>
      </c>
      <c r="J1702" s="324">
        <v>25</v>
      </c>
      <c r="K1702" s="325" t="s">
        <v>397</v>
      </c>
    </row>
    <row r="1703" spans="1:13" hidden="1" x14ac:dyDescent="0.25">
      <c r="B1703" s="319" t="s">
        <v>3537</v>
      </c>
      <c r="F1703" s="318" t="s">
        <v>395</v>
      </c>
      <c r="G1703" s="318" t="s">
        <v>395</v>
      </c>
      <c r="H1703" s="318" t="s">
        <v>395</v>
      </c>
      <c r="J1703" s="324">
        <v>15</v>
      </c>
      <c r="K1703" s="325" t="s">
        <v>397</v>
      </c>
    </row>
    <row r="1704" spans="1:13" hidden="1" x14ac:dyDescent="0.25">
      <c r="B1704" s="319" t="s">
        <v>3540</v>
      </c>
      <c r="F1704" s="318" t="s">
        <v>395</v>
      </c>
      <c r="G1704" s="318" t="s">
        <v>395</v>
      </c>
      <c r="H1704" s="318" t="s">
        <v>395</v>
      </c>
      <c r="J1704" s="324">
        <v>50</v>
      </c>
      <c r="K1704" s="325" t="s">
        <v>397</v>
      </c>
    </row>
    <row r="1705" spans="1:13" hidden="1" x14ac:dyDescent="0.25">
      <c r="B1705" s="319" t="s">
        <v>3541</v>
      </c>
      <c r="F1705" s="318" t="s">
        <v>395</v>
      </c>
      <c r="G1705" s="318" t="s">
        <v>395</v>
      </c>
      <c r="H1705" s="318" t="s">
        <v>395</v>
      </c>
      <c r="J1705" s="324">
        <v>40</v>
      </c>
      <c r="K1705" s="325" t="s">
        <v>397</v>
      </c>
    </row>
    <row r="1706" spans="1:13" hidden="1" x14ac:dyDescent="0.25">
      <c r="B1706" s="319" t="s">
        <v>3544</v>
      </c>
      <c r="F1706" s="318" t="s">
        <v>395</v>
      </c>
      <c r="G1706" s="318" t="s">
        <v>395</v>
      </c>
      <c r="H1706" s="318" t="s">
        <v>395</v>
      </c>
      <c r="J1706" s="324">
        <v>5</v>
      </c>
      <c r="K1706" s="325" t="s">
        <v>397</v>
      </c>
    </row>
    <row r="1707" spans="1:13" hidden="1" x14ac:dyDescent="0.25">
      <c r="B1707" s="319" t="s">
        <v>3545</v>
      </c>
      <c r="F1707" s="318" t="s">
        <v>395</v>
      </c>
      <c r="G1707" s="318" t="s">
        <v>395</v>
      </c>
      <c r="H1707" s="318" t="s">
        <v>395</v>
      </c>
      <c r="J1707" s="324">
        <v>15</v>
      </c>
      <c r="K1707" s="325" t="s">
        <v>397</v>
      </c>
    </row>
    <row r="1708" spans="1:13" hidden="1" x14ac:dyDescent="0.25">
      <c r="B1708" s="319" t="s">
        <v>3554</v>
      </c>
      <c r="F1708" s="318" t="s">
        <v>395</v>
      </c>
      <c r="G1708" s="318" t="s">
        <v>395</v>
      </c>
      <c r="H1708" s="318" t="s">
        <v>395</v>
      </c>
      <c r="J1708" s="324">
        <v>58</v>
      </c>
      <c r="K1708" s="325" t="s">
        <v>397</v>
      </c>
    </row>
    <row r="1709" spans="1:13" hidden="1" x14ac:dyDescent="0.25">
      <c r="B1709" s="319" t="s">
        <v>4026</v>
      </c>
      <c r="F1709" s="318" t="s">
        <v>395</v>
      </c>
      <c r="G1709" s="318" t="s">
        <v>395</v>
      </c>
      <c r="H1709" s="318" t="s">
        <v>395</v>
      </c>
      <c r="I1709" s="289" t="s">
        <v>4027</v>
      </c>
      <c r="J1709" s="324">
        <v>88</v>
      </c>
      <c r="K1709" s="325" t="s">
        <v>397</v>
      </c>
    </row>
    <row r="1710" spans="1:13" hidden="1" x14ac:dyDescent="0.25">
      <c r="B1710" s="319" t="s">
        <v>4028</v>
      </c>
      <c r="F1710" s="318" t="s">
        <v>395</v>
      </c>
      <c r="G1710" s="318" t="s">
        <v>395</v>
      </c>
      <c r="H1710" s="318" t="s">
        <v>395</v>
      </c>
      <c r="I1710" s="289" t="s">
        <v>4029</v>
      </c>
      <c r="J1710" s="324">
        <v>33</v>
      </c>
      <c r="K1710" s="325" t="s">
        <v>397</v>
      </c>
    </row>
    <row r="1711" spans="1:13" hidden="1" x14ac:dyDescent="0.25">
      <c r="B1711" s="319" t="s">
        <v>4030</v>
      </c>
      <c r="F1711" s="318" t="s">
        <v>395</v>
      </c>
      <c r="G1711" s="318" t="s">
        <v>395</v>
      </c>
      <c r="H1711" s="318" t="s">
        <v>395</v>
      </c>
      <c r="I1711" s="289" t="s">
        <v>4029</v>
      </c>
      <c r="J1711" s="324">
        <v>54</v>
      </c>
      <c r="K1711" s="325" t="s">
        <v>397</v>
      </c>
    </row>
    <row r="1712" spans="1:13" hidden="1" x14ac:dyDescent="0.25">
      <c r="B1712" s="319" t="s">
        <v>3551</v>
      </c>
      <c r="F1712" s="318" t="s">
        <v>395</v>
      </c>
      <c r="G1712" s="318" t="s">
        <v>395</v>
      </c>
      <c r="H1712" s="318" t="s">
        <v>395</v>
      </c>
      <c r="I1712" s="289" t="s">
        <v>4027</v>
      </c>
      <c r="J1712" s="324">
        <v>30</v>
      </c>
      <c r="K1712" s="325" t="s">
        <v>397</v>
      </c>
    </row>
    <row r="1713" spans="1:13" hidden="1" x14ac:dyDescent="0.25">
      <c r="A1713" s="256"/>
      <c r="B1713" s="319" t="s">
        <v>4031</v>
      </c>
      <c r="F1713" s="318" t="s">
        <v>395</v>
      </c>
      <c r="G1713" s="318" t="s">
        <v>395</v>
      </c>
      <c r="H1713" s="318" t="s">
        <v>395</v>
      </c>
      <c r="I1713" s="289" t="s">
        <v>4029</v>
      </c>
      <c r="J1713" s="324">
        <v>10</v>
      </c>
      <c r="K1713" s="325" t="s">
        <v>397</v>
      </c>
      <c r="L1713" s="256"/>
      <c r="M1713" s="256"/>
    </row>
    <row r="1714" spans="1:13" hidden="1" x14ac:dyDescent="0.25">
      <c r="A1714" s="256"/>
      <c r="B1714" s="319" t="s">
        <v>4032</v>
      </c>
      <c r="F1714" s="318" t="s">
        <v>395</v>
      </c>
      <c r="G1714" s="318" t="s">
        <v>395</v>
      </c>
      <c r="H1714" s="318" t="s">
        <v>395</v>
      </c>
      <c r="I1714" s="289" t="s">
        <v>4029</v>
      </c>
      <c r="J1714" s="324">
        <v>62</v>
      </c>
      <c r="K1714" s="325" t="s">
        <v>397</v>
      </c>
      <c r="L1714" s="256"/>
      <c r="M1714" s="256"/>
    </row>
    <row r="1715" spans="1:13" hidden="1" x14ac:dyDescent="0.25">
      <c r="A1715" s="256"/>
      <c r="B1715" s="319" t="s">
        <v>4033</v>
      </c>
      <c r="F1715" s="318" t="s">
        <v>395</v>
      </c>
      <c r="G1715" s="318" t="s">
        <v>395</v>
      </c>
      <c r="H1715" s="318" t="s">
        <v>395</v>
      </c>
      <c r="I1715" s="289" t="s">
        <v>4029</v>
      </c>
      <c r="J1715" s="324">
        <v>48</v>
      </c>
      <c r="K1715" s="325" t="s">
        <v>397</v>
      </c>
      <c r="L1715" s="256"/>
      <c r="M1715" s="256"/>
    </row>
    <row r="1716" spans="1:13" hidden="1" x14ac:dyDescent="0.25">
      <c r="A1716" s="256"/>
      <c r="B1716" s="319" t="s">
        <v>3550</v>
      </c>
      <c r="F1716" s="318" t="s">
        <v>395</v>
      </c>
      <c r="G1716" s="318" t="s">
        <v>395</v>
      </c>
      <c r="H1716" s="318" t="s">
        <v>395</v>
      </c>
      <c r="I1716" s="289" t="s">
        <v>1859</v>
      </c>
      <c r="J1716" s="324">
        <v>72</v>
      </c>
      <c r="K1716" s="325" t="s">
        <v>397</v>
      </c>
      <c r="L1716" s="256"/>
      <c r="M1716" s="256"/>
    </row>
    <row r="1717" spans="1:13" hidden="1" x14ac:dyDescent="0.25">
      <c r="A1717" s="256"/>
      <c r="B1717" s="319" t="s">
        <v>4034</v>
      </c>
      <c r="F1717" s="318" t="s">
        <v>395</v>
      </c>
      <c r="G1717" s="318" t="s">
        <v>395</v>
      </c>
      <c r="H1717" s="318" t="s">
        <v>395</v>
      </c>
      <c r="I1717" s="289" t="s">
        <v>4029</v>
      </c>
      <c r="J1717" s="324">
        <v>55</v>
      </c>
      <c r="K1717" s="325" t="s">
        <v>397</v>
      </c>
      <c r="L1717" s="256"/>
      <c r="M1717" s="256"/>
    </row>
    <row r="1718" spans="1:13" hidden="1" x14ac:dyDescent="0.25">
      <c r="A1718" s="256"/>
      <c r="B1718" s="319" t="s">
        <v>4035</v>
      </c>
      <c r="F1718" s="318" t="s">
        <v>395</v>
      </c>
      <c r="G1718" s="318" t="s">
        <v>395</v>
      </c>
      <c r="H1718" s="318" t="s">
        <v>395</v>
      </c>
      <c r="I1718" s="289" t="s">
        <v>4027</v>
      </c>
      <c r="J1718" s="324">
        <v>14</v>
      </c>
      <c r="K1718" s="325" t="s">
        <v>397</v>
      </c>
      <c r="L1718" s="256"/>
      <c r="M1718" s="256"/>
    </row>
    <row r="1719" spans="1:13" hidden="1" x14ac:dyDescent="0.25">
      <c r="A1719" s="256"/>
      <c r="B1719" s="319" t="s">
        <v>4036</v>
      </c>
      <c r="F1719" s="318" t="s">
        <v>395</v>
      </c>
      <c r="G1719" s="318" t="s">
        <v>395</v>
      </c>
      <c r="H1719" s="318" t="s">
        <v>395</v>
      </c>
      <c r="I1719" s="289" t="s">
        <v>4029</v>
      </c>
      <c r="J1719" s="324">
        <v>14</v>
      </c>
      <c r="K1719" s="325" t="s">
        <v>397</v>
      </c>
      <c r="L1719" s="256"/>
      <c r="M1719" s="256"/>
    </row>
    <row r="1720" spans="1:13" hidden="1" x14ac:dyDescent="0.25">
      <c r="A1720" s="256"/>
      <c r="B1720" s="319" t="s">
        <v>4037</v>
      </c>
      <c r="F1720" s="318" t="s">
        <v>395</v>
      </c>
      <c r="G1720" s="318" t="s">
        <v>395</v>
      </c>
      <c r="H1720" s="318" t="s">
        <v>395</v>
      </c>
      <c r="I1720" s="289" t="s">
        <v>4029</v>
      </c>
      <c r="J1720" s="324">
        <v>38</v>
      </c>
      <c r="K1720" s="325" t="s">
        <v>397</v>
      </c>
      <c r="L1720" s="256"/>
      <c r="M1720" s="256"/>
    </row>
    <row r="1721" spans="1:13" hidden="1" x14ac:dyDescent="0.25">
      <c r="A1721" s="256"/>
      <c r="B1721" s="319" t="s">
        <v>4018</v>
      </c>
      <c r="F1721" s="318" t="s">
        <v>395</v>
      </c>
      <c r="G1721" s="318" t="s">
        <v>395</v>
      </c>
      <c r="H1721" s="318" t="s">
        <v>395</v>
      </c>
      <c r="I1721" s="289" t="s">
        <v>4027</v>
      </c>
      <c r="J1721" s="324">
        <v>15</v>
      </c>
      <c r="K1721" s="325" t="s">
        <v>397</v>
      </c>
      <c r="L1721" s="256"/>
      <c r="M1721" s="256"/>
    </row>
    <row r="1722" spans="1:13" hidden="1" x14ac:dyDescent="0.25">
      <c r="A1722" s="256"/>
      <c r="B1722" s="319" t="s">
        <v>4038</v>
      </c>
      <c r="F1722" s="318" t="s">
        <v>395</v>
      </c>
      <c r="G1722" s="318" t="s">
        <v>395</v>
      </c>
      <c r="H1722" s="318" t="s">
        <v>395</v>
      </c>
      <c r="I1722" s="289" t="s">
        <v>1859</v>
      </c>
      <c r="J1722" s="324">
        <v>85</v>
      </c>
      <c r="K1722" s="325" t="s">
        <v>397</v>
      </c>
      <c r="L1722" s="256"/>
      <c r="M1722" s="256"/>
    </row>
    <row r="1723" spans="1:13" hidden="1" x14ac:dyDescent="0.25">
      <c r="A1723" s="256"/>
      <c r="B1723" s="319" t="s">
        <v>4039</v>
      </c>
      <c r="F1723" s="318" t="s">
        <v>395</v>
      </c>
      <c r="G1723" s="318" t="s">
        <v>395</v>
      </c>
      <c r="H1723" s="318" t="s">
        <v>395</v>
      </c>
      <c r="I1723" s="289" t="s">
        <v>4029</v>
      </c>
      <c r="J1723" s="324">
        <v>47</v>
      </c>
      <c r="K1723" s="325" t="s">
        <v>397</v>
      </c>
      <c r="L1723" s="256"/>
      <c r="M1723" s="256"/>
    </row>
    <row r="1724" spans="1:13" hidden="1" x14ac:dyDescent="0.25">
      <c r="A1724" s="256"/>
      <c r="B1724" s="319" t="s">
        <v>4040</v>
      </c>
      <c r="F1724" s="318" t="s">
        <v>395</v>
      </c>
      <c r="G1724" s="318" t="s">
        <v>395</v>
      </c>
      <c r="H1724" s="318" t="s">
        <v>395</v>
      </c>
      <c r="I1724" s="289" t="s">
        <v>4029</v>
      </c>
      <c r="J1724" s="324">
        <v>6</v>
      </c>
      <c r="K1724" s="325" t="s">
        <v>397</v>
      </c>
      <c r="L1724" s="256"/>
      <c r="M1724" s="256"/>
    </row>
    <row r="1725" spans="1:13" hidden="1" x14ac:dyDescent="0.25">
      <c r="A1725" s="256"/>
      <c r="B1725" s="319" t="s">
        <v>4041</v>
      </c>
      <c r="F1725" s="318" t="s">
        <v>395</v>
      </c>
      <c r="G1725" s="318" t="s">
        <v>395</v>
      </c>
      <c r="H1725" s="318" t="s">
        <v>395</v>
      </c>
      <c r="J1725" s="324">
        <v>16</v>
      </c>
      <c r="K1725" s="325" t="s">
        <v>397</v>
      </c>
      <c r="L1725" s="256"/>
      <c r="M1725" s="256"/>
    </row>
    <row r="1726" spans="1:13" hidden="1" x14ac:dyDescent="0.25">
      <c r="A1726" s="256"/>
      <c r="B1726" s="319" t="s">
        <v>4042</v>
      </c>
      <c r="F1726" s="318" t="s">
        <v>395</v>
      </c>
      <c r="G1726" s="318" t="s">
        <v>395</v>
      </c>
      <c r="H1726" s="318" t="s">
        <v>395</v>
      </c>
      <c r="J1726" s="324">
        <v>64</v>
      </c>
      <c r="K1726" s="325" t="s">
        <v>397</v>
      </c>
      <c r="L1726" s="256"/>
      <c r="M1726" s="256"/>
    </row>
    <row r="1727" spans="1:13" hidden="1" x14ac:dyDescent="0.25">
      <c r="A1727" s="256"/>
      <c r="B1727" s="319" t="s">
        <v>4016</v>
      </c>
      <c r="F1727" s="318" t="s">
        <v>395</v>
      </c>
      <c r="G1727" s="318" t="s">
        <v>395</v>
      </c>
      <c r="H1727" s="318" t="s">
        <v>395</v>
      </c>
      <c r="J1727" s="324">
        <v>66</v>
      </c>
      <c r="K1727" s="325" t="s">
        <v>397</v>
      </c>
      <c r="L1727" s="256"/>
      <c r="M1727" s="256"/>
    </row>
    <row r="1728" spans="1:13" hidden="1" x14ac:dyDescent="0.25">
      <c r="A1728" s="256"/>
      <c r="B1728" s="319" t="s">
        <v>4025</v>
      </c>
      <c r="F1728" s="318" t="s">
        <v>395</v>
      </c>
      <c r="G1728" s="318" t="s">
        <v>395</v>
      </c>
      <c r="H1728" s="318" t="s">
        <v>395</v>
      </c>
      <c r="J1728" s="324">
        <v>69</v>
      </c>
      <c r="K1728" s="325" t="s">
        <v>397</v>
      </c>
      <c r="L1728" s="256"/>
      <c r="M1728" s="256"/>
    </row>
    <row r="1729" spans="1:13" hidden="1" x14ac:dyDescent="0.25">
      <c r="A1729" s="256"/>
      <c r="B1729" s="319" t="s">
        <v>4014</v>
      </c>
      <c r="F1729" s="318" t="s">
        <v>395</v>
      </c>
      <c r="G1729" s="318" t="s">
        <v>395</v>
      </c>
      <c r="H1729" s="318" t="s">
        <v>395</v>
      </c>
      <c r="J1729" s="324">
        <v>107</v>
      </c>
      <c r="K1729" s="325" t="s">
        <v>397</v>
      </c>
      <c r="L1729" s="256"/>
      <c r="M1729" s="256"/>
    </row>
    <row r="1730" spans="1:13" hidden="1" x14ac:dyDescent="0.25">
      <c r="A1730" s="256"/>
      <c r="B1730" s="319" t="s">
        <v>4020</v>
      </c>
      <c r="F1730" s="318" t="s">
        <v>395</v>
      </c>
      <c r="G1730" s="318" t="s">
        <v>395</v>
      </c>
      <c r="H1730" s="318" t="s">
        <v>395</v>
      </c>
      <c r="J1730" s="324">
        <v>45</v>
      </c>
      <c r="K1730" s="325" t="s">
        <v>397</v>
      </c>
      <c r="L1730" s="256"/>
      <c r="M1730" s="256"/>
    </row>
    <row r="1731" spans="1:13" hidden="1" x14ac:dyDescent="0.25">
      <c r="A1731" s="256"/>
      <c r="B1731" s="319" t="s">
        <v>4015</v>
      </c>
      <c r="F1731" s="318" t="s">
        <v>395</v>
      </c>
      <c r="G1731" s="318" t="s">
        <v>395</v>
      </c>
      <c r="H1731" s="318" t="s">
        <v>395</v>
      </c>
      <c r="J1731" s="324">
        <v>93</v>
      </c>
      <c r="K1731" s="325" t="s">
        <v>397</v>
      </c>
      <c r="L1731" s="256"/>
      <c r="M1731" s="256"/>
    </row>
    <row r="1732" spans="1:13" hidden="1" x14ac:dyDescent="0.25">
      <c r="A1732" s="256"/>
      <c r="B1732" s="319" t="s">
        <v>4021</v>
      </c>
      <c r="F1732" s="318" t="s">
        <v>395</v>
      </c>
      <c r="G1732" s="318" t="s">
        <v>395</v>
      </c>
      <c r="H1732" s="318" t="s">
        <v>395</v>
      </c>
      <c r="J1732" s="324">
        <v>40</v>
      </c>
      <c r="K1732" s="325" t="s">
        <v>397</v>
      </c>
      <c r="L1732" s="256"/>
      <c r="M1732" s="256"/>
    </row>
    <row r="1733" spans="1:13" hidden="1" x14ac:dyDescent="0.25">
      <c r="A1733" s="256"/>
      <c r="B1733" s="319" t="s">
        <v>4017</v>
      </c>
      <c r="F1733" s="318" t="s">
        <v>395</v>
      </c>
      <c r="G1733" s="318" t="s">
        <v>395</v>
      </c>
      <c r="H1733" s="318" t="s">
        <v>395</v>
      </c>
      <c r="J1733" s="324">
        <v>73</v>
      </c>
      <c r="K1733" s="325" t="s">
        <v>397</v>
      </c>
      <c r="L1733" s="256"/>
      <c r="M1733" s="256"/>
    </row>
    <row r="1734" spans="1:13" hidden="1" x14ac:dyDescent="0.25">
      <c r="A1734" s="256"/>
      <c r="B1734" s="319" t="s">
        <v>4019</v>
      </c>
      <c r="F1734" s="318" t="s">
        <v>395</v>
      </c>
      <c r="G1734" s="318" t="s">
        <v>395</v>
      </c>
      <c r="H1734" s="318" t="s">
        <v>395</v>
      </c>
      <c r="J1734" s="324">
        <v>95</v>
      </c>
      <c r="K1734" s="325" t="s">
        <v>397</v>
      </c>
      <c r="L1734" s="256"/>
      <c r="M1734" s="256"/>
    </row>
    <row r="1735" spans="1:13" hidden="1" x14ac:dyDescent="0.25">
      <c r="A1735" s="256"/>
      <c r="B1735" s="319" t="s">
        <v>4023</v>
      </c>
      <c r="F1735" s="318" t="s">
        <v>395</v>
      </c>
      <c r="G1735" s="318" t="s">
        <v>395</v>
      </c>
      <c r="H1735" s="318" t="s">
        <v>395</v>
      </c>
      <c r="J1735" s="324">
        <v>100</v>
      </c>
      <c r="K1735" s="325" t="s">
        <v>397</v>
      </c>
      <c r="L1735" s="256"/>
      <c r="M1735" s="256"/>
    </row>
    <row r="1736" spans="1:13" hidden="1" x14ac:dyDescent="0.25">
      <c r="A1736" s="256"/>
      <c r="B1736" s="319" t="s">
        <v>4024</v>
      </c>
      <c r="F1736" s="318" t="s">
        <v>395</v>
      </c>
      <c r="G1736" s="318" t="s">
        <v>395</v>
      </c>
      <c r="H1736" s="318" t="s">
        <v>395</v>
      </c>
      <c r="J1736" s="324">
        <v>72</v>
      </c>
      <c r="K1736" s="325" t="s">
        <v>397</v>
      </c>
      <c r="L1736" s="256"/>
      <c r="M1736" s="256"/>
    </row>
    <row r="1737" spans="1:13" hidden="1" x14ac:dyDescent="0.25">
      <c r="A1737" s="256"/>
      <c r="B1737" s="319" t="s">
        <v>4022</v>
      </c>
      <c r="F1737" s="318" t="s">
        <v>395</v>
      </c>
      <c r="G1737" s="318" t="s">
        <v>395</v>
      </c>
      <c r="H1737" s="318" t="s">
        <v>395</v>
      </c>
      <c r="J1737" s="324">
        <v>90</v>
      </c>
      <c r="K1737" s="325" t="s">
        <v>397</v>
      </c>
      <c r="L1737" s="256"/>
      <c r="M1737" s="256"/>
    </row>
    <row r="1738" spans="1:13" hidden="1" x14ac:dyDescent="0.25">
      <c r="A1738" s="256"/>
      <c r="B1738" s="319" t="s">
        <v>4052</v>
      </c>
      <c r="F1738" s="318" t="s">
        <v>395</v>
      </c>
      <c r="G1738" s="318" t="s">
        <v>395</v>
      </c>
      <c r="H1738" s="318" t="s">
        <v>395</v>
      </c>
      <c r="K1738" s="325" t="s">
        <v>397</v>
      </c>
      <c r="L1738" s="256"/>
      <c r="M1738" s="256"/>
    </row>
    <row r="1739" spans="1:13" hidden="1" x14ac:dyDescent="0.25">
      <c r="A1739" s="256"/>
      <c r="B1739" s="319" t="s">
        <v>4053</v>
      </c>
      <c r="F1739" s="318" t="s">
        <v>395</v>
      </c>
      <c r="G1739" s="318" t="s">
        <v>395</v>
      </c>
      <c r="H1739" s="318" t="s">
        <v>395</v>
      </c>
      <c r="J1739" s="324">
        <v>3</v>
      </c>
      <c r="K1739" s="325" t="s">
        <v>397</v>
      </c>
      <c r="L1739" s="256"/>
      <c r="M1739" s="256"/>
    </row>
    <row r="1740" spans="1:13" hidden="1" x14ac:dyDescent="0.25">
      <c r="A1740" s="256"/>
      <c r="B1740" s="319" t="s">
        <v>4054</v>
      </c>
      <c r="F1740" s="318" t="s">
        <v>395</v>
      </c>
      <c r="G1740" s="318" t="s">
        <v>395</v>
      </c>
      <c r="H1740" s="318" t="s">
        <v>395</v>
      </c>
      <c r="J1740" s="324">
        <v>85</v>
      </c>
      <c r="K1740" s="325" t="s">
        <v>397</v>
      </c>
      <c r="L1740" s="256"/>
      <c r="M1740" s="256"/>
    </row>
    <row r="1741" spans="1:13" hidden="1" x14ac:dyDescent="0.25">
      <c r="A1741" s="256"/>
      <c r="B1741" s="319" t="s">
        <v>4055</v>
      </c>
      <c r="F1741" s="318" t="s">
        <v>395</v>
      </c>
      <c r="G1741" s="318" t="s">
        <v>395</v>
      </c>
      <c r="H1741" s="318" t="s">
        <v>395</v>
      </c>
      <c r="J1741" s="324">
        <v>63</v>
      </c>
      <c r="K1741" s="325" t="s">
        <v>397</v>
      </c>
      <c r="L1741" s="256"/>
      <c r="M1741" s="256"/>
    </row>
    <row r="1742" spans="1:13" hidden="1" x14ac:dyDescent="0.25">
      <c r="A1742" s="256"/>
      <c r="B1742" s="319" t="s">
        <v>4056</v>
      </c>
      <c r="F1742" s="318" t="s">
        <v>395</v>
      </c>
      <c r="G1742" s="318" t="s">
        <v>395</v>
      </c>
      <c r="H1742" s="318" t="s">
        <v>395</v>
      </c>
      <c r="J1742" s="324">
        <v>101</v>
      </c>
      <c r="K1742" s="325" t="s">
        <v>397</v>
      </c>
      <c r="L1742" s="256"/>
      <c r="M1742" s="256"/>
    </row>
    <row r="1743" spans="1:13" hidden="1" x14ac:dyDescent="0.25">
      <c r="A1743" s="256"/>
      <c r="B1743" s="319" t="s">
        <v>4057</v>
      </c>
      <c r="F1743" s="318" t="s">
        <v>395</v>
      </c>
      <c r="G1743" s="318" t="s">
        <v>395</v>
      </c>
      <c r="H1743" s="318" t="s">
        <v>395</v>
      </c>
      <c r="J1743" s="324">
        <v>40</v>
      </c>
      <c r="K1743" s="325" t="s">
        <v>397</v>
      </c>
      <c r="L1743" s="256"/>
      <c r="M1743" s="256"/>
    </row>
    <row r="1744" spans="1:13" hidden="1" x14ac:dyDescent="0.25">
      <c r="A1744" s="256"/>
      <c r="B1744" s="319" t="s">
        <v>4058</v>
      </c>
      <c r="F1744" s="318" t="s">
        <v>395</v>
      </c>
      <c r="G1744" s="318" t="s">
        <v>395</v>
      </c>
      <c r="H1744" s="318" t="s">
        <v>395</v>
      </c>
      <c r="J1744" s="324">
        <v>68</v>
      </c>
      <c r="K1744" s="325" t="s">
        <v>397</v>
      </c>
      <c r="L1744" s="256"/>
      <c r="M1744" s="256"/>
    </row>
    <row r="1745" spans="1:13" hidden="1" x14ac:dyDescent="0.25">
      <c r="A1745" s="256"/>
      <c r="B1745" s="319" t="s">
        <v>4059</v>
      </c>
      <c r="F1745" s="318" t="s">
        <v>395</v>
      </c>
      <c r="G1745" s="318" t="s">
        <v>395</v>
      </c>
      <c r="H1745" s="318" t="s">
        <v>395</v>
      </c>
      <c r="J1745" s="324">
        <v>34</v>
      </c>
      <c r="K1745" s="325" t="s">
        <v>397</v>
      </c>
      <c r="L1745" s="256"/>
      <c r="M1745" s="256"/>
    </row>
    <row r="1746" spans="1:13" hidden="1" x14ac:dyDescent="0.25">
      <c r="B1746" s="319" t="s">
        <v>4058</v>
      </c>
      <c r="F1746" s="318" t="s">
        <v>395</v>
      </c>
      <c r="G1746" s="318" t="s">
        <v>395</v>
      </c>
      <c r="H1746" s="318" t="s">
        <v>395</v>
      </c>
      <c r="J1746" s="324">
        <v>62</v>
      </c>
      <c r="K1746" s="325" t="s">
        <v>397</v>
      </c>
    </row>
    <row r="1747" spans="1:13" hidden="1" x14ac:dyDescent="0.25">
      <c r="B1747" s="319" t="s">
        <v>4060</v>
      </c>
      <c r="F1747" s="318" t="s">
        <v>395</v>
      </c>
      <c r="G1747" s="318" t="s">
        <v>395</v>
      </c>
      <c r="H1747" s="318" t="s">
        <v>395</v>
      </c>
      <c r="J1747" s="324">
        <v>63</v>
      </c>
      <c r="K1747" s="325" t="s">
        <v>397</v>
      </c>
    </row>
    <row r="1748" spans="1:13" hidden="1" x14ac:dyDescent="0.25">
      <c r="B1748" s="319" t="s">
        <v>4057</v>
      </c>
      <c r="F1748" s="318" t="s">
        <v>395</v>
      </c>
      <c r="G1748" s="318" t="s">
        <v>395</v>
      </c>
      <c r="H1748" s="318" t="s">
        <v>395</v>
      </c>
      <c r="J1748" s="324">
        <v>25</v>
      </c>
      <c r="K1748" s="325" t="s">
        <v>397</v>
      </c>
    </row>
    <row r="1749" spans="1:13" hidden="1" x14ac:dyDescent="0.25">
      <c r="B1749" s="319" t="s">
        <v>4049</v>
      </c>
      <c r="F1749" s="318" t="s">
        <v>395</v>
      </c>
      <c r="G1749" s="318" t="s">
        <v>395</v>
      </c>
      <c r="H1749" s="318" t="s">
        <v>395</v>
      </c>
      <c r="J1749" s="324">
        <v>76</v>
      </c>
      <c r="K1749" s="325" t="s">
        <v>397</v>
      </c>
    </row>
    <row r="1750" spans="1:13" hidden="1" x14ac:dyDescent="0.25">
      <c r="B1750" s="319" t="s">
        <v>4050</v>
      </c>
      <c r="F1750" s="318" t="s">
        <v>395</v>
      </c>
      <c r="G1750" s="318" t="s">
        <v>395</v>
      </c>
      <c r="H1750" s="318" t="s">
        <v>395</v>
      </c>
      <c r="J1750" s="324">
        <v>75</v>
      </c>
      <c r="K1750" s="325" t="s">
        <v>397</v>
      </c>
    </row>
    <row r="1751" spans="1:13" hidden="1" x14ac:dyDescent="0.25">
      <c r="B1751" s="319" t="s">
        <v>4061</v>
      </c>
      <c r="F1751" s="318" t="s">
        <v>395</v>
      </c>
      <c r="G1751" s="318" t="s">
        <v>395</v>
      </c>
      <c r="H1751" s="318" t="s">
        <v>395</v>
      </c>
      <c r="J1751" s="324">
        <v>65</v>
      </c>
      <c r="K1751" s="325" t="s">
        <v>397</v>
      </c>
    </row>
    <row r="1752" spans="1:13" hidden="1" x14ac:dyDescent="0.25">
      <c r="B1752" s="319" t="s">
        <v>4062</v>
      </c>
      <c r="F1752" s="318" t="s">
        <v>395</v>
      </c>
      <c r="G1752" s="318" t="s">
        <v>395</v>
      </c>
      <c r="H1752" s="318" t="s">
        <v>395</v>
      </c>
      <c r="J1752" s="324">
        <v>10</v>
      </c>
      <c r="K1752" s="325" t="s">
        <v>397</v>
      </c>
    </row>
    <row r="1753" spans="1:13" hidden="1" x14ac:dyDescent="0.25">
      <c r="B1753" s="319" t="s">
        <v>4063</v>
      </c>
      <c r="F1753" s="318" t="s">
        <v>395</v>
      </c>
      <c r="G1753" s="318" t="s">
        <v>395</v>
      </c>
      <c r="H1753" s="318" t="s">
        <v>395</v>
      </c>
      <c r="J1753" s="324">
        <v>70</v>
      </c>
      <c r="K1753" s="325" t="s">
        <v>397</v>
      </c>
    </row>
    <row r="1754" spans="1:13" hidden="1" x14ac:dyDescent="0.25">
      <c r="B1754" s="319" t="s">
        <v>4064</v>
      </c>
      <c r="F1754" s="318" t="s">
        <v>395</v>
      </c>
      <c r="G1754" s="318" t="s">
        <v>395</v>
      </c>
      <c r="H1754" s="318" t="s">
        <v>395</v>
      </c>
      <c r="J1754" s="324">
        <v>70</v>
      </c>
      <c r="K1754" s="325" t="s">
        <v>397</v>
      </c>
    </row>
    <row r="1755" spans="1:13" hidden="1" x14ac:dyDescent="0.25">
      <c r="B1755" s="319" t="s">
        <v>4292</v>
      </c>
      <c r="F1755" s="318" t="s">
        <v>395</v>
      </c>
      <c r="G1755" s="318" t="s">
        <v>395</v>
      </c>
      <c r="H1755" s="318" t="s">
        <v>395</v>
      </c>
      <c r="J1755" s="324">
        <v>40</v>
      </c>
      <c r="K1755" s="325" t="s">
        <v>397</v>
      </c>
    </row>
    <row r="1756" spans="1:13" hidden="1" x14ac:dyDescent="0.25">
      <c r="B1756" s="319" t="s">
        <v>4293</v>
      </c>
      <c r="F1756" s="318" t="s">
        <v>395</v>
      </c>
      <c r="G1756" s="318" t="s">
        <v>395</v>
      </c>
      <c r="H1756" s="318" t="s">
        <v>395</v>
      </c>
      <c r="J1756" s="324">
        <v>18</v>
      </c>
      <c r="K1756" s="325" t="s">
        <v>397</v>
      </c>
    </row>
    <row r="1757" spans="1:13" hidden="1" x14ac:dyDescent="0.25">
      <c r="B1757" s="319" t="s">
        <v>4065</v>
      </c>
      <c r="F1757" s="313" t="s">
        <v>395</v>
      </c>
      <c r="G1757" s="313" t="s">
        <v>395</v>
      </c>
      <c r="H1757" s="313" t="s">
        <v>395</v>
      </c>
      <c r="J1757" s="324">
        <v>47</v>
      </c>
      <c r="K1757" s="317" t="s">
        <v>397</v>
      </c>
    </row>
    <row r="1758" spans="1:13" hidden="1" x14ac:dyDescent="0.25">
      <c r="B1758" s="319" t="s">
        <v>4066</v>
      </c>
      <c r="F1758" s="313" t="s">
        <v>395</v>
      </c>
      <c r="G1758" s="313" t="s">
        <v>395</v>
      </c>
      <c r="H1758" s="313" t="s">
        <v>395</v>
      </c>
      <c r="J1758" s="324">
        <v>80</v>
      </c>
      <c r="K1758" s="317" t="s">
        <v>397</v>
      </c>
    </row>
    <row r="1759" spans="1:13" hidden="1" x14ac:dyDescent="0.25">
      <c r="B1759" s="319" t="s">
        <v>4067</v>
      </c>
      <c r="F1759" s="313" t="s">
        <v>395</v>
      </c>
      <c r="G1759" s="313" t="s">
        <v>395</v>
      </c>
      <c r="H1759" s="313" t="s">
        <v>395</v>
      </c>
      <c r="J1759" s="324">
        <v>19</v>
      </c>
      <c r="K1759" s="317" t="s">
        <v>397</v>
      </c>
    </row>
    <row r="1760" spans="1:13" hidden="1" x14ac:dyDescent="0.25">
      <c r="B1760" s="319" t="s">
        <v>4068</v>
      </c>
      <c r="F1760" s="313" t="s">
        <v>395</v>
      </c>
      <c r="G1760" s="313" t="s">
        <v>395</v>
      </c>
      <c r="H1760" s="313" t="s">
        <v>395</v>
      </c>
      <c r="J1760" s="324">
        <v>160</v>
      </c>
      <c r="K1760" s="317" t="s">
        <v>397</v>
      </c>
    </row>
    <row r="1761" spans="2:11" hidden="1" x14ac:dyDescent="0.25">
      <c r="B1761" s="319" t="s">
        <v>4294</v>
      </c>
      <c r="F1761" s="313" t="s">
        <v>395</v>
      </c>
      <c r="G1761" s="313" t="s">
        <v>395</v>
      </c>
      <c r="H1761" s="313" t="s">
        <v>395</v>
      </c>
      <c r="J1761" s="324">
        <v>31</v>
      </c>
      <c r="K1761" s="317" t="s">
        <v>397</v>
      </c>
    </row>
    <row r="1762" spans="2:11" hidden="1" x14ac:dyDescent="0.25">
      <c r="B1762" s="319" t="s">
        <v>4295</v>
      </c>
      <c r="F1762" s="313" t="s">
        <v>395</v>
      </c>
      <c r="G1762" s="313" t="s">
        <v>395</v>
      </c>
      <c r="H1762" s="313" t="s">
        <v>395</v>
      </c>
      <c r="J1762" s="324">
        <v>80</v>
      </c>
      <c r="K1762" s="317" t="s">
        <v>397</v>
      </c>
    </row>
    <row r="1763" spans="2:11" hidden="1" x14ac:dyDescent="0.25">
      <c r="B1763" s="319" t="s">
        <v>4296</v>
      </c>
      <c r="F1763" s="313" t="s">
        <v>395</v>
      </c>
      <c r="G1763" s="313" t="s">
        <v>395</v>
      </c>
      <c r="H1763" s="313" t="s">
        <v>395</v>
      </c>
      <c r="J1763" s="324">
        <v>76</v>
      </c>
      <c r="K1763" s="317" t="s">
        <v>397</v>
      </c>
    </row>
    <row r="1764" spans="2:11" hidden="1" x14ac:dyDescent="0.25">
      <c r="B1764" s="319" t="s">
        <v>4297</v>
      </c>
      <c r="F1764" s="313" t="s">
        <v>395</v>
      </c>
      <c r="G1764" s="313" t="s">
        <v>395</v>
      </c>
      <c r="H1764" s="313" t="s">
        <v>395</v>
      </c>
      <c r="J1764" s="324">
        <v>40</v>
      </c>
      <c r="K1764" s="317" t="s">
        <v>397</v>
      </c>
    </row>
    <row r="1765" spans="2:11" hidden="1" x14ac:dyDescent="0.25">
      <c r="B1765" s="319" t="s">
        <v>4051</v>
      </c>
      <c r="F1765" s="313" t="s">
        <v>395</v>
      </c>
      <c r="G1765" s="313" t="s">
        <v>395</v>
      </c>
      <c r="H1765" s="313" t="s">
        <v>395</v>
      </c>
      <c r="K1765" s="317" t="s">
        <v>397</v>
      </c>
    </row>
    <row r="1766" spans="2:11" hidden="1" x14ac:dyDescent="0.25">
      <c r="B1766" s="319" t="s">
        <v>4107</v>
      </c>
      <c r="F1766" s="318" t="s">
        <v>395</v>
      </c>
      <c r="G1766" s="318" t="s">
        <v>395</v>
      </c>
      <c r="H1766" s="318" t="s">
        <v>395</v>
      </c>
      <c r="I1766" s="318"/>
      <c r="J1766" s="318">
        <v>126</v>
      </c>
      <c r="K1766" s="317" t="s">
        <v>397</v>
      </c>
    </row>
    <row r="1767" spans="2:11" hidden="1" x14ac:dyDescent="0.25">
      <c r="B1767" s="319" t="s">
        <v>4084</v>
      </c>
      <c r="F1767" s="318" t="s">
        <v>395</v>
      </c>
      <c r="G1767" s="318" t="s">
        <v>395</v>
      </c>
      <c r="H1767" s="318" t="s">
        <v>395</v>
      </c>
      <c r="J1767" s="324">
        <v>45</v>
      </c>
      <c r="K1767" s="317" t="s">
        <v>397</v>
      </c>
    </row>
    <row r="1768" spans="2:11" hidden="1" x14ac:dyDescent="0.25">
      <c r="B1768" s="319" t="s">
        <v>4085</v>
      </c>
      <c r="F1768" s="318" t="s">
        <v>395</v>
      </c>
      <c r="G1768" s="318" t="s">
        <v>395</v>
      </c>
      <c r="H1768" s="318" t="s">
        <v>395</v>
      </c>
      <c r="J1768" s="324">
        <v>26</v>
      </c>
      <c r="K1768" s="317" t="s">
        <v>397</v>
      </c>
    </row>
    <row r="1769" spans="2:11" hidden="1" x14ac:dyDescent="0.25">
      <c r="B1769" s="319" t="s">
        <v>4086</v>
      </c>
      <c r="F1769" s="313" t="s">
        <v>395</v>
      </c>
      <c r="G1769" s="313" t="s">
        <v>395</v>
      </c>
      <c r="H1769" s="313" t="s">
        <v>395</v>
      </c>
      <c r="I1769" s="313"/>
      <c r="J1769" s="313">
        <v>8</v>
      </c>
      <c r="K1769" s="317" t="s">
        <v>397</v>
      </c>
    </row>
  </sheetData>
  <protectedRanges>
    <protectedRange password="CF36" sqref="E108" name="БС_4_1_2_2_1_1_1_1_1_1_1_1_1_1_1_1_1_1_1_1_1_1_1_1_1_1_1_1_1_1" securityDescriptor="O:WDG:WDD:(A;;CC;;;S-1-5-21-1664333807-3536479228-1515566039-123202)"/>
    <protectedRange password="CF36" sqref="M108" name="БС_2_2_1_2_2_1_1_1_1_1_1_1_1_1_1_1_1_1_1_1_1_1_1_1_1_1_1_1_1_1_1" securityDescriptor="O:WDG:WDD:(A;;CC;;;S-1-5-21-1664333807-3536479228-1515566039-123202)"/>
  </protectedRanges>
  <autoFilter ref="A1:AD1769">
    <filterColumn colId="1">
      <filters>
        <filter val="RO2980"/>
      </filters>
    </filterColumn>
  </autoFilter>
  <conditionalFormatting sqref="A1701:A1708">
    <cfRule type="duplicateValues" dxfId="3" priority="1" stopIfTrue="1"/>
    <cfRule type="duplicateValues" dxfId="2" priority="2" stopIfTrue="1"/>
  </conditionalFormatting>
  <pageMargins left="0.70000004768371582" right="0.70000004768371582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Q242"/>
  <sheetViews>
    <sheetView tabSelected="1" topLeftCell="A2" zoomScale="55" zoomScaleNormal="55" workbookViewId="0">
      <selection activeCell="AK13" sqref="AK13"/>
    </sheetView>
  </sheetViews>
  <sheetFormatPr defaultColWidth="9" defaultRowHeight="12.75" x14ac:dyDescent="0.25"/>
  <cols>
    <col min="1" max="1" width="4.28515625" style="33" customWidth="1"/>
    <col min="2" max="2" width="8.42578125" style="33" customWidth="1"/>
    <col min="3" max="3" width="7.140625" style="33" customWidth="1"/>
    <col min="4" max="4" width="7.28515625" style="33" customWidth="1"/>
    <col min="5" max="5" width="5" style="33" customWidth="1"/>
    <col min="6" max="6" width="13.140625" style="34" customWidth="1"/>
    <col min="7" max="7" width="14.85546875" style="35" customWidth="1"/>
    <col min="8" max="8" width="14.7109375" style="35" customWidth="1"/>
    <col min="9" max="9" width="14.42578125" style="35" customWidth="1"/>
    <col min="10" max="10" width="11.85546875" style="35" customWidth="1"/>
    <col min="11" max="11" width="7.85546875" style="35" customWidth="1"/>
    <col min="12" max="12" width="6.42578125" style="36" customWidth="1"/>
    <col min="13" max="13" width="28.7109375" style="33" customWidth="1"/>
    <col min="14" max="14" width="15.85546875" style="34" customWidth="1"/>
    <col min="15" max="15" width="12.140625" style="33" customWidth="1"/>
    <col min="16" max="16" width="11.42578125" style="33" customWidth="1"/>
    <col min="17" max="17" width="6.42578125" style="37" customWidth="1"/>
    <col min="18" max="19" width="6.42578125" style="33" customWidth="1"/>
    <col min="20" max="20" width="10.5703125" style="33" customWidth="1"/>
    <col min="21" max="21" width="6.42578125" style="33" customWidth="1"/>
    <col min="22" max="22" width="7" style="33" customWidth="1"/>
    <col min="23" max="23" width="4.7109375" style="33" customWidth="1"/>
    <col min="24" max="24" width="3.28515625" style="33" customWidth="1"/>
    <col min="25" max="25" width="9.42578125" style="33" customWidth="1"/>
    <col min="26" max="26" width="8" style="33" customWidth="1"/>
    <col min="27" max="27" width="14.28515625" style="33" customWidth="1"/>
    <col min="28" max="28" width="6.28515625" style="33" customWidth="1"/>
    <col min="29" max="29" width="5" style="33" customWidth="1"/>
    <col min="30" max="30" width="12.7109375" style="33" customWidth="1"/>
    <col min="31" max="31" width="15.28515625" style="33" customWidth="1"/>
    <col min="32" max="32" width="10.7109375" style="33" customWidth="1"/>
    <col min="33" max="33" width="11.7109375" style="33" customWidth="1"/>
    <col min="34" max="35" width="2" style="33" customWidth="1"/>
    <col min="36" max="36" width="16.85546875" style="33" customWidth="1"/>
    <col min="37" max="37" width="17.7109375" style="33" customWidth="1"/>
    <col min="38" max="38" width="10.5703125" style="33" customWidth="1"/>
    <col min="39" max="39" width="12.140625" style="38" customWidth="1"/>
    <col min="40" max="40" width="20.5703125" style="366" customWidth="1"/>
    <col min="41" max="42" width="9" style="33" customWidth="1"/>
    <col min="43" max="43" width="10.28515625" style="33" bestFit="1" customWidth="1"/>
    <col min="44" max="16384" width="9" style="33"/>
  </cols>
  <sheetData>
    <row r="1" spans="1:95" x14ac:dyDescent="0.25">
      <c r="M1" s="390" t="s">
        <v>3833</v>
      </c>
      <c r="N1" s="390"/>
    </row>
    <row r="2" spans="1:95" x14ac:dyDescent="0.25">
      <c r="M2" s="390" t="s">
        <v>3834</v>
      </c>
      <c r="N2" s="390"/>
    </row>
    <row r="3" spans="1:95" x14ac:dyDescent="0.25">
      <c r="N3" s="39" t="s">
        <v>3835</v>
      </c>
    </row>
    <row r="5" spans="1:95" x14ac:dyDescent="0.25">
      <c r="A5" s="40" t="s">
        <v>3836</v>
      </c>
      <c r="B5" s="40"/>
      <c r="C5" s="40"/>
      <c r="D5" s="40"/>
      <c r="E5" s="40"/>
      <c r="F5" s="41"/>
      <c r="G5" s="40"/>
      <c r="H5" s="40"/>
      <c r="I5" s="40"/>
      <c r="J5" s="40"/>
      <c r="K5" s="40"/>
      <c r="P5" s="42" t="s">
        <v>3837</v>
      </c>
      <c r="T5" s="42" t="str">
        <f>CONCATENATE(ИНФ!C4, " ", ИНФ!C6, "-", ИНФ!C7)</f>
        <v>ОРЕХ 2612-2613 16.03.2026г-29.03.2026г.</v>
      </c>
    </row>
    <row r="7" spans="1:95" s="34" customFormat="1" x14ac:dyDescent="0.25">
      <c r="A7" s="44"/>
      <c r="B7" s="42" t="s">
        <v>3838</v>
      </c>
      <c r="C7" s="42"/>
      <c r="D7" s="42"/>
      <c r="E7" s="42"/>
      <c r="F7" s="46"/>
      <c r="G7" s="42"/>
      <c r="H7" s="42"/>
      <c r="I7" s="42"/>
      <c r="J7" s="42"/>
      <c r="K7" s="42"/>
      <c r="L7" s="47"/>
      <c r="M7" s="42"/>
      <c r="N7" s="48">
        <f>ИНФ!D2</f>
        <v>46111</v>
      </c>
      <c r="O7" s="46"/>
      <c r="P7" s="46"/>
      <c r="Q7" s="49"/>
      <c r="R7" s="33"/>
      <c r="S7" s="33"/>
      <c r="T7" s="33"/>
      <c r="U7" s="33"/>
      <c r="V7" s="33"/>
      <c r="AM7" s="50"/>
      <c r="AN7" s="367"/>
    </row>
    <row r="8" spans="1:95" s="34" customFormat="1" ht="79.5" customHeight="1" x14ac:dyDescent="0.25">
      <c r="A8" s="391" t="s">
        <v>3839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1"/>
      <c r="Q8" s="391"/>
      <c r="R8" s="391"/>
      <c r="S8" s="391"/>
      <c r="T8" s="391"/>
      <c r="U8" s="391"/>
      <c r="V8" s="391"/>
      <c r="W8" s="391"/>
      <c r="X8" s="391"/>
      <c r="Y8" s="391"/>
      <c r="Z8" s="391"/>
      <c r="AA8" s="391"/>
      <c r="AB8" s="391"/>
      <c r="AM8" s="50"/>
      <c r="AN8" s="367"/>
    </row>
    <row r="9" spans="1:95" s="34" customFormat="1" x14ac:dyDescent="0.25">
      <c r="A9" s="51"/>
      <c r="B9" s="51"/>
      <c r="F9" s="51"/>
      <c r="G9" s="52"/>
      <c r="H9" s="52"/>
      <c r="I9" s="52"/>
      <c r="J9" s="52"/>
      <c r="K9" s="52"/>
      <c r="L9" s="53"/>
      <c r="M9" s="33"/>
      <c r="O9" s="393" t="s">
        <v>3840</v>
      </c>
      <c r="P9" s="394"/>
      <c r="Q9" s="395" t="s">
        <v>3841</v>
      </c>
      <c r="R9" s="396"/>
      <c r="S9" s="397"/>
      <c r="T9" s="398"/>
      <c r="U9" s="399" t="s">
        <v>3842</v>
      </c>
      <c r="V9" s="400"/>
      <c r="W9" s="401"/>
      <c r="X9" s="402"/>
      <c r="Y9" s="403"/>
      <c r="Z9" s="404"/>
      <c r="AG9" s="56"/>
      <c r="AH9" s="57"/>
      <c r="AI9" s="50"/>
      <c r="AJ9" s="56"/>
      <c r="AK9" s="50"/>
      <c r="AM9" s="50"/>
      <c r="AN9" s="367"/>
    </row>
    <row r="10" spans="1:95" s="46" customFormat="1" ht="60.75" customHeight="1" x14ac:dyDescent="0.25">
      <c r="A10" s="58" t="s">
        <v>27</v>
      </c>
      <c r="B10" s="334" t="s">
        <v>3844</v>
      </c>
      <c r="C10" s="60" t="s">
        <v>3845</v>
      </c>
      <c r="D10" s="61" t="s">
        <v>3846</v>
      </c>
      <c r="E10" s="60" t="s">
        <v>3847</v>
      </c>
      <c r="F10" s="61" t="s">
        <v>3848</v>
      </c>
      <c r="G10" s="62" t="s">
        <v>3849</v>
      </c>
      <c r="H10" s="62" t="s">
        <v>3850</v>
      </c>
      <c r="I10" s="62" t="s">
        <v>3851</v>
      </c>
      <c r="J10" s="58" t="s">
        <v>3852</v>
      </c>
      <c r="K10" s="58" t="s">
        <v>3853</v>
      </c>
      <c r="L10" s="63" t="s">
        <v>3854</v>
      </c>
      <c r="M10" s="58" t="s">
        <v>3855</v>
      </c>
      <c r="N10" s="58" t="s">
        <v>3856</v>
      </c>
      <c r="O10" s="64" t="s">
        <v>3857</v>
      </c>
      <c r="P10" s="64" t="s">
        <v>3858</v>
      </c>
      <c r="Q10" s="54" t="s">
        <v>3859</v>
      </c>
      <c r="R10" s="55" t="s">
        <v>3860</v>
      </c>
      <c r="S10" s="55" t="s">
        <v>3861</v>
      </c>
      <c r="T10" s="55" t="s">
        <v>3862</v>
      </c>
      <c r="U10" s="65" t="s">
        <v>3863</v>
      </c>
      <c r="V10" s="65" t="s">
        <v>3864</v>
      </c>
      <c r="W10" s="65" t="s">
        <v>3865</v>
      </c>
      <c r="X10" s="65" t="s">
        <v>3866</v>
      </c>
      <c r="Y10" s="65" t="s">
        <v>3867</v>
      </c>
      <c r="Z10" s="55" t="s">
        <v>3868</v>
      </c>
      <c r="AA10" s="58" t="s">
        <v>3869</v>
      </c>
      <c r="AB10" s="66" t="s">
        <v>3870</v>
      </c>
      <c r="AC10" s="66" t="s">
        <v>3871</v>
      </c>
      <c r="AD10" s="66" t="s">
        <v>3872</v>
      </c>
      <c r="AE10" s="66" t="s">
        <v>3873</v>
      </c>
      <c r="AF10" s="59" t="s">
        <v>3874</v>
      </c>
      <c r="AG10" s="59" t="s">
        <v>3875</v>
      </c>
      <c r="AH10" s="59" t="s">
        <v>3876</v>
      </c>
      <c r="AI10" s="59" t="s">
        <v>3877</v>
      </c>
      <c r="AJ10" s="59" t="s">
        <v>3878</v>
      </c>
      <c r="AK10" s="59" t="s">
        <v>3879</v>
      </c>
      <c r="AL10" s="59" t="s">
        <v>3880</v>
      </c>
      <c r="AM10" s="67" t="s">
        <v>3881</v>
      </c>
      <c r="AN10" s="368"/>
    </row>
    <row r="11" spans="1:95" s="46" customFormat="1" ht="51" x14ac:dyDescent="0.25">
      <c r="A11" s="241">
        <f>ROW(A11)-10</f>
        <v>1</v>
      </c>
      <c r="B11" s="335" t="s">
        <v>1258</v>
      </c>
      <c r="C11" s="241">
        <v>92</v>
      </c>
      <c r="D11" s="242" t="str">
        <f>VLOOKUP(B11, Расстояния!B:K, 10, 0)</f>
        <v>доп.</v>
      </c>
      <c r="E11" s="242" t="str">
        <f>VLOOKUP(B11, Расстояния!B:F, 5, 0)</f>
        <v>нет</v>
      </c>
      <c r="F11" s="290" t="s">
        <v>4172</v>
      </c>
      <c r="G11" s="305">
        <v>46104.677777777775</v>
      </c>
      <c r="H11" s="345">
        <v>46104.697916666664</v>
      </c>
      <c r="I11" s="345">
        <v>46104.746527777781</v>
      </c>
      <c r="J11" s="304" t="s">
        <v>4164</v>
      </c>
      <c r="K11" s="306"/>
      <c r="L11" s="250" t="s">
        <v>321</v>
      </c>
      <c r="M11" s="241" t="str">
        <f>VLOOKUP(L11, Работы!A:B, 2, 0)</f>
        <v>Стоимость аварийно-восстановительных работ, заявка по которым получена в течение рабочего времени</v>
      </c>
      <c r="N11" s="330" t="s">
        <v>4249</v>
      </c>
      <c r="O11" s="298"/>
      <c r="P11" s="248">
        <f>IF(OR(L11="3.3.1.", L11="3.3.2.", L11="3.3.3.", L11="3.1.1.", L11="3.1.2.", L11="3.4.1.", L11="3.4.2."), 0, VLOOKUP(L11, Работы!$A$3:$D$184, 4, 0))</f>
        <v>0</v>
      </c>
      <c r="Q11" s="243"/>
      <c r="R11" s="243"/>
      <c r="S11" s="243"/>
      <c r="T11" s="244">
        <f>IF(OR(L11="3.3.1.", L11="3.3.2.", L11="3.3.3."), VLOOKUP(L11, Работы!$A$3:$D$184, 4, 0), 0)</f>
        <v>0</v>
      </c>
      <c r="U11" s="246">
        <f>IF(OR(L11="3.1.1."), VLOOKUP(L11, Работы!$A$3:$D$184, 4, 0), 0)</f>
        <v>3956</v>
      </c>
      <c r="V11" s="246">
        <f>IF(OR(L11="3.1.2."), VLOOKUP(L11, Работы!$A$3:$D$184, 4, 0), 0)</f>
        <v>0</v>
      </c>
      <c r="W11" s="246"/>
      <c r="X11" s="246"/>
      <c r="Y11" s="247">
        <f>IF(OR(L11="3.2.1.", L11="3.2.2."), VLOOKUP(L11, Работы!$A$3:$D$184, 4, 0), 0)</f>
        <v>0</v>
      </c>
      <c r="Z11" s="247">
        <f>IF(OR(L11="3.4.1.", L11="3.4.2."), VLOOKUP(L11, Работы!$A$3:$D$184, 4, 0), 0)</f>
        <v>0</v>
      </c>
      <c r="AA11" s="68">
        <f>P11*O11+Q11*T11+R11*T11+S11*T11+U11+V11+W11*Y11+X11*Y11+Z11</f>
        <v>3956</v>
      </c>
      <c r="AB11" s="69"/>
      <c r="AC11" s="70"/>
      <c r="AD11" s="70"/>
      <c r="AE11" s="69">
        <f>AC11*AD11</f>
        <v>0</v>
      </c>
      <c r="AF11" s="71">
        <f>C11*Работы!$D$180</f>
        <v>4950.5200000000004</v>
      </c>
      <c r="AG11" s="68">
        <f>AA11+AE11+AF11+AL11+AM11</f>
        <v>9302.1200000000008</v>
      </c>
      <c r="AH11" s="72"/>
      <c r="AI11" s="73"/>
      <c r="AJ11" s="1282">
        <f>AG11-AA11*AI11</f>
        <v>9302.1200000000008</v>
      </c>
      <c r="AK11" s="1286" t="s">
        <v>4312</v>
      </c>
      <c r="AL11" s="302">
        <f>IF(OR(E11="да"), 4040, 0)</f>
        <v>0</v>
      </c>
      <c r="AM11" s="365">
        <f>IF(OR(D11="доп."), AA11*0.1, 0)</f>
        <v>395.6</v>
      </c>
      <c r="AN11" s="251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</row>
    <row r="12" spans="1:95" s="46" customFormat="1" ht="114.75" x14ac:dyDescent="0.25">
      <c r="A12" s="241">
        <f>ROW(A12)-10</f>
        <v>2</v>
      </c>
      <c r="B12" s="335" t="s">
        <v>2359</v>
      </c>
      <c r="C12" s="241">
        <f>VLOOKUP(B12, Расстояния!B:J, 9, 0)</f>
        <v>71</v>
      </c>
      <c r="D12" s="242" t="str">
        <f>VLOOKUP(B12, Расстояния!B:K, 10, 0)</f>
        <v>осн.</v>
      </c>
      <c r="E12" s="242" t="str">
        <f>VLOOKUP(B12, Расстояния!B:F, 5, 0)</f>
        <v>нет</v>
      </c>
      <c r="F12" s="290" t="s">
        <v>4213</v>
      </c>
      <c r="G12" s="305">
        <v>46102.521006944444</v>
      </c>
      <c r="H12" s="345">
        <v>46102.592361111114</v>
      </c>
      <c r="I12" s="345">
        <v>46102.690972222219</v>
      </c>
      <c r="J12" s="303" t="s">
        <v>4207</v>
      </c>
      <c r="K12" s="306"/>
      <c r="L12" s="250" t="s">
        <v>198</v>
      </c>
      <c r="M12" s="241" t="str">
        <f>VLOOKUP(L12, Работы!A:B, 2, 0)</f>
        <v>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</v>
      </c>
      <c r="N12" s="330" t="s">
        <v>4273</v>
      </c>
      <c r="O12" s="298">
        <v>1</v>
      </c>
      <c r="P12" s="248">
        <f>IF(OR(L12="3.3.1.", L12="3.3.2.", L12="3.3.3.", L12="3.1.1.", L12="3.1.2.", L12="3.4.1.", L12="3.4.2."), 0, VLOOKUP(L12, Работы!$A$3:$D$184, 4, 0))</f>
        <v>735</v>
      </c>
      <c r="Q12" s="243"/>
      <c r="R12" s="243"/>
      <c r="S12" s="243"/>
      <c r="T12" s="244">
        <f>IF(OR(L12="3.3.1.", L12="3.3.2.", L12="3.3.3."), VLOOKUP(L12, Работы!$A$3:$D$184, 4, 0), 0)</f>
        <v>0</v>
      </c>
      <c r="U12" s="246">
        <f>IF(OR(L12="3.1.1."), VLOOKUP(L12, Работы!$A$3:$D$184, 4, 0), 0)</f>
        <v>0</v>
      </c>
      <c r="V12" s="246">
        <f>IF(OR(L12="3.1.2."), VLOOKUP(L12, Работы!$A$3:$D$184, 4, 0), 0)</f>
        <v>0</v>
      </c>
      <c r="W12" s="246"/>
      <c r="X12" s="246"/>
      <c r="Y12" s="247">
        <f>IF(OR(L12="3.2.1.", L12="3.2.2."), VLOOKUP(L12, Работы!$A$3:$D$184, 4, 0), 0)</f>
        <v>0</v>
      </c>
      <c r="Z12" s="247">
        <f>IF(OR(L12="3.4.1.", L12="3.4.2."), VLOOKUP(L12, Работы!$A$3:$D$184, 4, 0), 0)</f>
        <v>0</v>
      </c>
      <c r="AA12" s="68">
        <f>P12*O12+Q12*T12+R12*T12+S12*T12+U12+V12+W12*Y12+X12*Y12+Z12</f>
        <v>735</v>
      </c>
      <c r="AB12" s="69"/>
      <c r="AC12" s="70"/>
      <c r="AD12" s="70"/>
      <c r="AE12" s="69">
        <f>AC12*AD12</f>
        <v>0</v>
      </c>
      <c r="AF12" s="71">
        <f>C12*Работы!$D$180</f>
        <v>3820.51</v>
      </c>
      <c r="AG12" s="68">
        <f>AA12+AE12+AF12+AL12+AM12</f>
        <v>4555.51</v>
      </c>
      <c r="AH12" s="72"/>
      <c r="AI12" s="73"/>
      <c r="AJ12" s="1282">
        <f>AG12-AA12*AI12</f>
        <v>4555.51</v>
      </c>
      <c r="AK12" s="1283" t="s">
        <v>4313</v>
      </c>
      <c r="AL12" s="302">
        <f>IF(OR(E12="да"), 4040, 0)</f>
        <v>0</v>
      </c>
      <c r="AM12" s="365">
        <f>IF(OR(D12="доп."), AA12*0.1, 0)</f>
        <v>0</v>
      </c>
      <c r="AN12" s="251"/>
      <c r="AO12" s="34"/>
      <c r="AP12" s="34"/>
      <c r="AQ12" s="34"/>
      <c r="AR12" s="34"/>
      <c r="AS12" s="34"/>
    </row>
    <row r="13" spans="1:95" s="46" customFormat="1" ht="102" x14ac:dyDescent="0.25">
      <c r="A13" s="241">
        <f>ROW(A13)-10</f>
        <v>3</v>
      </c>
      <c r="B13" s="335" t="s">
        <v>1856</v>
      </c>
      <c r="C13" s="241">
        <f>VLOOKUP(B13, Расстояния!B:J, 9, 0)</f>
        <v>61</v>
      </c>
      <c r="D13" s="242" t="str">
        <f>VLOOKUP(B13, Расстояния!B:K, 10, 0)</f>
        <v>осн.</v>
      </c>
      <c r="E13" s="242" t="str">
        <f>VLOOKUP(B13, Расстояния!B:F, 5, 0)</f>
        <v>нет</v>
      </c>
      <c r="F13" s="290" t="s">
        <v>4211</v>
      </c>
      <c r="G13" s="305">
        <v>46098.535069444442</v>
      </c>
      <c r="H13" s="345">
        <v>46098.61041666667</v>
      </c>
      <c r="I13" s="345">
        <v>46098.71875</v>
      </c>
      <c r="J13" s="303" t="s">
        <v>4207</v>
      </c>
      <c r="K13" s="306"/>
      <c r="L13" s="250" t="s">
        <v>367</v>
      </c>
      <c r="M13" s="241" t="str">
        <f>VLOOKUP(L13,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3" s="330" t="s">
        <v>3843</v>
      </c>
      <c r="O13" s="298"/>
      <c r="P13" s="248">
        <f>IF(OR(L13="3.3.1.", L13="3.3.2.", L13="3.3.3.", L13="3.1.1.", L13="3.1.2.", L13="3.4.1.", L13="3.4.2."), 0, VLOOKUP(L13, Работы!$A$3:$D$184, 4, 0))</f>
        <v>0</v>
      </c>
      <c r="Q13" s="243">
        <f>ROUNDUP((I13-H13)*24, 0)</f>
        <v>3</v>
      </c>
      <c r="R13" s="243"/>
      <c r="S13" s="243"/>
      <c r="T13" s="244">
        <f>IF(OR(L13="3.3.1.", L13="3.3.2.", L13="3.3.3."), VLOOKUP(L13, Работы!$A$3:$D$184, 4, 0), 0)</f>
        <v>903</v>
      </c>
      <c r="U13" s="246">
        <f>IF(OR(L13="3.1.1."), VLOOKUP(L13, Работы!$A$3:$D$184, 4, 0), 0)</f>
        <v>0</v>
      </c>
      <c r="V13" s="246">
        <f>IF(OR(L13="3.1.2."), VLOOKUP(L13, Работы!$A$3:$D$184, 4, 0), 0)</f>
        <v>0</v>
      </c>
      <c r="W13" s="246"/>
      <c r="X13" s="246"/>
      <c r="Y13" s="247">
        <f>IF(OR(L13="3.2.1.", L13="3.2.2."), VLOOKUP(L13, Работы!$A$3:$D$184, 4, 0), 0)</f>
        <v>0</v>
      </c>
      <c r="Z13" s="247">
        <f>IF(OR(L13="3.4.1.", L13="3.4.2."), VLOOKUP(L13, Работы!$A$3:$D$184, 4, 0), 0)</f>
        <v>0</v>
      </c>
      <c r="AA13" s="68">
        <f>P13*O13+Q13*T13+R13*T13+S13*T13+U13+V13+W13*Y13+X13*Y13+Z13</f>
        <v>2709</v>
      </c>
      <c r="AB13" s="69"/>
      <c r="AC13" s="70"/>
      <c r="AD13" s="70"/>
      <c r="AE13" s="69">
        <f>AC13*AD13</f>
        <v>0</v>
      </c>
      <c r="AF13" s="71">
        <f>C13*Работы!$D$180</f>
        <v>3282.4100000000003</v>
      </c>
      <c r="AG13" s="68">
        <f>AA13+AE13+AF13+AL13+AM13</f>
        <v>5991.41</v>
      </c>
      <c r="AH13" s="72"/>
      <c r="AI13" s="73"/>
      <c r="AJ13" s="245">
        <f>AG13-AA13*AI13</f>
        <v>5991.41</v>
      </c>
      <c r="AK13" s="73"/>
      <c r="AL13" s="302">
        <f>IF(OR(E13="да"), 4040, 0)</f>
        <v>0</v>
      </c>
      <c r="AM13" s="365">
        <f>IF(OR(D13="доп."), AA13*0.1, 0)</f>
        <v>0</v>
      </c>
      <c r="AN13" s="251"/>
      <c r="AO13" s="34"/>
      <c r="AP13" s="34"/>
      <c r="AQ13" s="34"/>
      <c r="AR13" s="34"/>
      <c r="AS13" s="34"/>
    </row>
    <row r="14" spans="1:95" s="46" customFormat="1" ht="63.75" x14ac:dyDescent="0.25">
      <c r="A14" s="241">
        <f>ROW(A14)-10</f>
        <v>4</v>
      </c>
      <c r="B14" s="335" t="s">
        <v>1856</v>
      </c>
      <c r="C14" s="241">
        <v>0</v>
      </c>
      <c r="D14" s="242" t="str">
        <f>VLOOKUP(B14, Расстояния!B:K, 10, 0)</f>
        <v>осн.</v>
      </c>
      <c r="E14" s="242" t="str">
        <f>VLOOKUP(B14, Расстояния!B:F, 5, 0)</f>
        <v>нет</v>
      </c>
      <c r="F14" s="290" t="s">
        <v>4218</v>
      </c>
      <c r="G14" s="305">
        <v>46106.90048611111</v>
      </c>
      <c r="H14" s="345">
        <v>46106.912499999999</v>
      </c>
      <c r="I14" s="345">
        <v>46106.912499999999</v>
      </c>
      <c r="J14" s="303" t="s">
        <v>4207</v>
      </c>
      <c r="K14" s="306"/>
      <c r="L14" s="250" t="s">
        <v>371</v>
      </c>
      <c r="M14" s="241" t="str">
        <f>VLOOKUP(L14, Работы!A:B, 2, 0)</f>
        <v>Стоимость отменённого вызова на Аварийно-восстановительные работы, заявка по которым получена во внерабочее время</v>
      </c>
      <c r="N14" s="346" t="s">
        <v>3882</v>
      </c>
      <c r="O14" s="298"/>
      <c r="P14" s="248">
        <f>IF(OR(L14="3.3.1.", L14="3.3.2.", L14="3.3.3.", L14="3.1.1.", L14="3.1.2.", L14="3.4.1.", L14="3.4.2."), 0, VLOOKUP(L14, Работы!$A$3:$D$184, 4, 0))</f>
        <v>0</v>
      </c>
      <c r="Q14" s="243"/>
      <c r="R14" s="243"/>
      <c r="S14" s="243"/>
      <c r="T14" s="244">
        <f>IF(OR(L14="3.3.1.", L14="3.3.2.", L14="3.3.3."), VLOOKUP(L14, Работы!$A$3:$D$184, 4, 0), 0)</f>
        <v>0</v>
      </c>
      <c r="U14" s="246">
        <f>IF(OR(L14="3.1.1."), VLOOKUP(L14, Работы!$A$3:$D$184, 4, 0), 0)</f>
        <v>0</v>
      </c>
      <c r="V14" s="246">
        <f>IF(OR(L14="3.1.2."), VLOOKUP(L14, Работы!$A$3:$D$184, 4, 0), 0)</f>
        <v>0</v>
      </c>
      <c r="W14" s="246"/>
      <c r="X14" s="246"/>
      <c r="Y14" s="247">
        <f>IF(OR(L14="3.2.1.", L14="3.2.2."), VLOOKUP(L14, Работы!$A$3:$D$184, 4, 0), 0)</f>
        <v>0</v>
      </c>
      <c r="Z14" s="247">
        <f>IF(OR(L14="3.4.1.", L14="3.4.2."), VLOOKUP(L14, Работы!$A$3:$D$184, 4, 0), 0)</f>
        <v>1731</v>
      </c>
      <c r="AA14" s="68">
        <f>P14*O14+Q14*T14+R14*T14+S14*T14+U14+V14+W14*Y14+X14*Y14+Z14</f>
        <v>1731</v>
      </c>
      <c r="AB14" s="69"/>
      <c r="AC14" s="70"/>
      <c r="AD14" s="70"/>
      <c r="AE14" s="69">
        <f>AC14*AD14</f>
        <v>0</v>
      </c>
      <c r="AF14" s="71">
        <f>C14*Работы!$D$180</f>
        <v>0</v>
      </c>
      <c r="AG14" s="68">
        <f>AA14+AE14+AF14+AL14+AM14</f>
        <v>1731</v>
      </c>
      <c r="AH14" s="72"/>
      <c r="AI14" s="73"/>
      <c r="AJ14" s="245">
        <f>AG14-AA14*AI14</f>
        <v>1731</v>
      </c>
      <c r="AK14" s="73"/>
      <c r="AL14" s="302">
        <f>IF(OR(E14="да"), 4040, 0)</f>
        <v>0</v>
      </c>
      <c r="AM14" s="365">
        <f>IF(OR(D14="доп."), AA14*0.1, 0)</f>
        <v>0</v>
      </c>
      <c r="AN14" s="1287"/>
      <c r="AO14" s="34"/>
      <c r="AP14" s="34"/>
      <c r="AQ14" s="34"/>
      <c r="AR14" s="34"/>
      <c r="AS14" s="34"/>
      <c r="AT14" s="370"/>
      <c r="AU14" s="370"/>
      <c r="AV14" s="370"/>
      <c r="AW14" s="370"/>
      <c r="AX14" s="370"/>
      <c r="AY14" s="370"/>
      <c r="AZ14" s="370"/>
      <c r="BA14" s="370"/>
      <c r="BB14" s="370"/>
      <c r="BC14" s="370"/>
      <c r="BD14" s="370"/>
      <c r="BE14" s="370"/>
      <c r="BF14" s="370"/>
      <c r="BG14" s="370"/>
      <c r="BH14" s="370"/>
      <c r="BI14" s="370"/>
      <c r="BJ14" s="370"/>
      <c r="BK14" s="370"/>
      <c r="BL14" s="370"/>
      <c r="BM14" s="370"/>
      <c r="BN14" s="370"/>
      <c r="BO14" s="370"/>
      <c r="BP14" s="370"/>
      <c r="BQ14" s="370"/>
      <c r="BR14" s="370"/>
      <c r="BS14" s="370"/>
      <c r="BT14" s="370"/>
      <c r="BU14" s="370"/>
      <c r="BV14" s="370"/>
      <c r="BW14" s="370"/>
      <c r="BX14" s="370"/>
      <c r="BY14" s="370"/>
      <c r="BZ14" s="370"/>
      <c r="CA14" s="370"/>
      <c r="CB14" s="370"/>
      <c r="CC14" s="370"/>
      <c r="CD14" s="370"/>
      <c r="CE14" s="370"/>
      <c r="CF14" s="370"/>
      <c r="CG14" s="370"/>
      <c r="CH14" s="370"/>
      <c r="CI14" s="370"/>
      <c r="CJ14" s="370"/>
      <c r="CK14" s="370"/>
      <c r="CL14" s="370"/>
      <c r="CM14" s="370"/>
      <c r="CN14" s="370"/>
      <c r="CO14" s="370"/>
      <c r="CP14" s="370"/>
      <c r="CQ14" s="370"/>
    </row>
    <row r="15" spans="1:95" s="46" customFormat="1" ht="114.75" x14ac:dyDescent="0.25">
      <c r="A15" s="241">
        <f>ROW(A15)-10</f>
        <v>5</v>
      </c>
      <c r="B15" s="335" t="s">
        <v>1856</v>
      </c>
      <c r="C15" s="241">
        <f>VLOOKUP(B15, Расстояния!B:J, 9, 0)</f>
        <v>61</v>
      </c>
      <c r="D15" s="242" t="str">
        <f>VLOOKUP(B15, Расстояния!B:K, 10, 0)</f>
        <v>осн.</v>
      </c>
      <c r="E15" s="242" t="str">
        <f>VLOOKUP(B15, Расстояния!B:F, 5, 0)</f>
        <v>нет</v>
      </c>
      <c r="F15" s="290" t="s">
        <v>4221</v>
      </c>
      <c r="G15" s="305">
        <v>46107.955034722225</v>
      </c>
      <c r="H15" s="345">
        <v>46108.025694444441</v>
      </c>
      <c r="I15" s="345">
        <v>46111.025694444441</v>
      </c>
      <c r="J15" s="303" t="s">
        <v>4207</v>
      </c>
      <c r="K15" s="306"/>
      <c r="L15" s="249" t="s">
        <v>374</v>
      </c>
      <c r="M15" s="241" t="str">
        <f>VLOOKUP(L15, Работы!A:B, 2, 0)</f>
        <v>Стоимость Аварийно-восстановительных работ по обеспечению временного электроснабжения продолжительностью 24 часа. (Ставка применяется с 1 по 72 час выполнения Работ, для оплаты каждых полных суток (24 часа) выполнения Работ)</v>
      </c>
      <c r="N15" s="330" t="s">
        <v>3843</v>
      </c>
      <c r="O15" s="298"/>
      <c r="P15" s="248">
        <f>IF(OR(L15="3.3.1.", L15="3.3.2.", L15="3.3.3.", L15="3.1.1.", L15="3.1.2.", L15="3.4.1.", L15="3.4.2."), 0, VLOOKUP(L15, Работы!$A$3:$D$184, 4, 0))</f>
        <v>0</v>
      </c>
      <c r="Q15" s="243"/>
      <c r="R15" s="243">
        <v>3</v>
      </c>
      <c r="S15" s="243"/>
      <c r="T15" s="244">
        <f>IF(OR(L15="3.3.1.", L15="3.3.2.", L15="3.3.3."), VLOOKUP(L15, Работы!$A$3:$D$184, 4, 0), 0)</f>
        <v>32610</v>
      </c>
      <c r="U15" s="246">
        <f>IF(OR(L15="3.1.1."), VLOOKUP(L15, Работы!$A$3:$D$184, 4, 0), 0)</f>
        <v>0</v>
      </c>
      <c r="V15" s="246">
        <f>IF(OR(L15="3.1.2."), VLOOKUP(L15, Работы!$A$3:$D$184, 4, 0), 0)</f>
        <v>0</v>
      </c>
      <c r="W15" s="246"/>
      <c r="X15" s="246"/>
      <c r="Y15" s="247">
        <f>IF(OR(L15="3.2.1.", L15="3.2.2."), VLOOKUP(L15, Работы!$A$3:$D$184, 4, 0), 0)</f>
        <v>0</v>
      </c>
      <c r="Z15" s="247">
        <f>IF(OR(L15="3.4.1.", L15="3.4.2."), VLOOKUP(L15, Работы!$A$3:$D$184, 4, 0), 0)</f>
        <v>0</v>
      </c>
      <c r="AA15" s="68">
        <f>P15*O15+Q15*T15+R15*T15+S15*T15+U15+V15+W15*Y15+X15*Y15+Z15</f>
        <v>97830</v>
      </c>
      <c r="AB15" s="69"/>
      <c r="AC15" s="70"/>
      <c r="AD15" s="70"/>
      <c r="AE15" s="69">
        <f>AC15*AD15</f>
        <v>0</v>
      </c>
      <c r="AF15" s="71">
        <f>C15*Работы!$D$180</f>
        <v>3282.4100000000003</v>
      </c>
      <c r="AG15" s="68">
        <f>AA15+AE15+AF15+AL15+AM15</f>
        <v>101112.41</v>
      </c>
      <c r="AH15" s="72"/>
      <c r="AI15" s="73"/>
      <c r="AJ15" s="245">
        <f>AG15-AA15*AI15</f>
        <v>101112.41</v>
      </c>
      <c r="AK15" s="73"/>
      <c r="AL15" s="302">
        <f>IF(OR(E15="да"), 4040, 0)</f>
        <v>0</v>
      </c>
      <c r="AM15" s="365">
        <f>IF(OR(D15="доп."), AA15*0.1, 0)</f>
        <v>0</v>
      </c>
      <c r="AN15" s="1287"/>
      <c r="AO15" s="34"/>
      <c r="AP15" s="34"/>
      <c r="AQ15" s="34"/>
      <c r="AR15" s="34"/>
      <c r="AS15" s="34"/>
      <c r="AT15" s="370"/>
      <c r="AU15" s="370"/>
      <c r="AV15" s="370"/>
      <c r="AW15" s="370"/>
      <c r="AX15" s="370"/>
      <c r="AY15" s="370"/>
      <c r="AZ15" s="370"/>
      <c r="BA15" s="370"/>
      <c r="BB15" s="370"/>
      <c r="BC15" s="370"/>
      <c r="BD15" s="370"/>
      <c r="BE15" s="370"/>
      <c r="BF15" s="370"/>
      <c r="BG15" s="370"/>
      <c r="BH15" s="370"/>
      <c r="BI15" s="370"/>
      <c r="BJ15" s="370"/>
      <c r="BK15" s="370"/>
      <c r="BL15" s="370"/>
      <c r="BM15" s="370"/>
      <c r="BN15" s="370"/>
      <c r="BO15" s="370"/>
      <c r="BP15" s="370"/>
      <c r="BQ15" s="370"/>
      <c r="BR15" s="370"/>
      <c r="BS15" s="370"/>
      <c r="BT15" s="370"/>
      <c r="BU15" s="370"/>
      <c r="BV15" s="370"/>
      <c r="BW15" s="370"/>
      <c r="BX15" s="370"/>
      <c r="BY15" s="370"/>
      <c r="BZ15" s="370"/>
      <c r="CA15" s="370"/>
      <c r="CB15" s="370"/>
      <c r="CC15" s="370"/>
      <c r="CD15" s="370"/>
      <c r="CE15" s="370"/>
      <c r="CF15" s="370"/>
      <c r="CG15" s="370"/>
      <c r="CH15" s="370"/>
      <c r="CI15" s="370"/>
      <c r="CJ15" s="370"/>
      <c r="CK15" s="370"/>
      <c r="CL15" s="370"/>
      <c r="CM15" s="370"/>
      <c r="CN15" s="370"/>
      <c r="CO15" s="370"/>
      <c r="CP15" s="370"/>
      <c r="CQ15" s="370"/>
    </row>
    <row r="16" spans="1:95" s="46" customFormat="1" ht="38.25" x14ac:dyDescent="0.25">
      <c r="A16" s="241">
        <f>ROW(A16)-10</f>
        <v>6</v>
      </c>
      <c r="B16" s="335" t="s">
        <v>1873</v>
      </c>
      <c r="C16" s="241">
        <f>VLOOKUP(B16, Расстояния!B:J, 9, 0)</f>
        <v>67</v>
      </c>
      <c r="D16" s="242" t="str">
        <f>VLOOKUP(B16, Расстояния!B:K, 10, 0)</f>
        <v>осн.</v>
      </c>
      <c r="E16" s="242" t="str">
        <f>VLOOKUP(B16, Расстояния!B:F, 5, 0)</f>
        <v>нет</v>
      </c>
      <c r="F16" s="290"/>
      <c r="G16" s="305"/>
      <c r="H16" s="345">
        <v>46098.5625</v>
      </c>
      <c r="I16" s="345">
        <v>46098.638888888891</v>
      </c>
      <c r="J16" s="303" t="s">
        <v>4045</v>
      </c>
      <c r="K16" s="306"/>
      <c r="L16" s="292" t="s">
        <v>296</v>
      </c>
      <c r="M16" s="241" t="str">
        <f>VLOOKUP(L16, Работы!A:B, 2, 0)</f>
        <v>Техническое обслуживание БС</v>
      </c>
      <c r="N16" s="330" t="s">
        <v>298</v>
      </c>
      <c r="O16" s="298">
        <v>1</v>
      </c>
      <c r="P16" s="248">
        <f>IF(OR(L16="3.3.1.", L16="3.3.2.", L16="3.3.3.", L16="3.1.1.", L16="3.1.2.", L16="3.4.1.", L16="3.4.2."), 0, VLOOKUP(L16, Работы!$A$3:$D$184, 4, 0))</f>
        <v>4143</v>
      </c>
      <c r="Q16" s="243"/>
      <c r="R16" s="243"/>
      <c r="S16" s="243"/>
      <c r="T16" s="244">
        <f>IF(OR(L16="3.3.1.", L16="3.3.2.", L16="3.3.3."), VLOOKUP(L16, Работы!$A$3:$D$184, 4, 0), 0)</f>
        <v>0</v>
      </c>
      <c r="U16" s="246">
        <f>IF(OR(L16="3.1.1."), VLOOKUP(L16, Работы!$A$3:$D$184, 4, 0), 0)</f>
        <v>0</v>
      </c>
      <c r="V16" s="246">
        <f>IF(OR(L16="3.1.2."), VLOOKUP(L16, Работы!$A$3:$D$184, 4, 0), 0)</f>
        <v>0</v>
      </c>
      <c r="W16" s="246"/>
      <c r="X16" s="246"/>
      <c r="Y16" s="247">
        <f>IF(OR(L16="3.2.1.", L16="3.2.2."), VLOOKUP(L16, Работы!$A$3:$D$184, 4, 0), 0)</f>
        <v>0</v>
      </c>
      <c r="Z16" s="247">
        <f>IF(OR(L16="3.4.1.", L16="3.4.2."), VLOOKUP(L16, Работы!$A$3:$D$184, 4, 0), 0)</f>
        <v>0</v>
      </c>
      <c r="AA16" s="68">
        <f>P16*O16+Q16*T16+R16*T16+S16*T16+U16+V16+W16*Y16+X16*Y16+Z16</f>
        <v>4143</v>
      </c>
      <c r="AB16" s="69"/>
      <c r="AC16" s="70"/>
      <c r="AD16" s="70"/>
      <c r="AE16" s="69">
        <f>AC16*AD16</f>
        <v>0</v>
      </c>
      <c r="AF16" s="71">
        <f>C16*Работы!$D$180</f>
        <v>3605.27</v>
      </c>
      <c r="AG16" s="68">
        <f>AA16+AE16+AF16+AL16+AM16</f>
        <v>7748.27</v>
      </c>
      <c r="AH16" s="72"/>
      <c r="AI16" s="73"/>
      <c r="AJ16" s="245">
        <f>AG16-AA16*AI16</f>
        <v>7748.27</v>
      </c>
      <c r="AK16" s="45"/>
      <c r="AL16" s="302">
        <f>IF(OR(E16="да"), 4040, 0)</f>
        <v>0</v>
      </c>
      <c r="AM16" s="365">
        <f>IF(OR(D16="доп."), AA16*0.1, 0)</f>
        <v>0</v>
      </c>
      <c r="AN16" s="251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</row>
    <row r="17" spans="1:95" s="46" customFormat="1" ht="102" x14ac:dyDescent="0.25">
      <c r="A17" s="241">
        <f>ROW(A17)-10</f>
        <v>7</v>
      </c>
      <c r="B17" s="335" t="s">
        <v>1882</v>
      </c>
      <c r="C17" s="241">
        <f>VLOOKUP(B17, Расстояния!B:J, 9, 0)</f>
        <v>65</v>
      </c>
      <c r="D17" s="242" t="str">
        <f>VLOOKUP(B17, Расстояния!B:K, 10, 0)</f>
        <v>осн.</v>
      </c>
      <c r="E17" s="242" t="str">
        <f>VLOOKUP(B17, Расстояния!B:F, 5, 0)</f>
        <v>нет</v>
      </c>
      <c r="F17" s="290" t="s">
        <v>4201</v>
      </c>
      <c r="G17" s="305">
        <v>46110.452777777777</v>
      </c>
      <c r="H17" s="345">
        <v>46110.53125</v>
      </c>
      <c r="I17" s="345">
        <v>46110.536805555559</v>
      </c>
      <c r="J17" s="304" t="s">
        <v>4192</v>
      </c>
      <c r="K17" s="306"/>
      <c r="L17" s="292" t="s">
        <v>367</v>
      </c>
      <c r="M17" s="241" t="str">
        <f>VLOOKUP(L17,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7" s="330" t="s">
        <v>3843</v>
      </c>
      <c r="O17" s="298"/>
      <c r="P17" s="248">
        <f>IF(OR(L17="3.3.1.", L17="3.3.2.", L17="3.3.3.", L17="3.1.1.", L17="3.1.2.", L17="3.4.1.", L17="3.4.2."), 0, VLOOKUP(L17, Работы!$A$3:$D$184, 4, 0))</f>
        <v>0</v>
      </c>
      <c r="Q17" s="243">
        <f>ROUNDUP((I17-H17)*24, 0)</f>
        <v>1</v>
      </c>
      <c r="R17" s="243"/>
      <c r="S17" s="243"/>
      <c r="T17" s="244">
        <f>IF(OR(L17="3.3.1.", L17="3.3.2.", L17="3.3.3."), VLOOKUP(L17, Работы!$A$3:$D$184, 4, 0), 0)</f>
        <v>903</v>
      </c>
      <c r="U17" s="246">
        <f>IF(OR(L17="3.1.1."), VLOOKUP(L17, Работы!$A$3:$D$184, 4, 0), 0)</f>
        <v>0</v>
      </c>
      <c r="V17" s="246">
        <f>IF(OR(L17="3.1.2."), VLOOKUP(L17, Работы!$A$3:$D$184, 4, 0), 0)</f>
        <v>0</v>
      </c>
      <c r="W17" s="246"/>
      <c r="X17" s="246"/>
      <c r="Y17" s="247">
        <f>IF(OR(L17="3.2.1.", L17="3.2.2."), VLOOKUP(L17, Работы!$A$3:$D$184, 4, 0), 0)</f>
        <v>0</v>
      </c>
      <c r="Z17" s="247">
        <f>IF(OR(L17="3.4.1.", L17="3.4.2."), VLOOKUP(L17, Работы!$A$3:$D$184, 4, 0), 0)</f>
        <v>0</v>
      </c>
      <c r="AA17" s="68">
        <f>P17*O17+Q17*T17+R17*T17+S17*T17+U17+V17+W17*Y17+X17*Y17+Z17</f>
        <v>903</v>
      </c>
      <c r="AB17" s="69"/>
      <c r="AC17" s="70"/>
      <c r="AD17" s="70"/>
      <c r="AE17" s="69">
        <f>AC17*AD17</f>
        <v>0</v>
      </c>
      <c r="AF17" s="71">
        <f>C17*Работы!$D$180</f>
        <v>3497.65</v>
      </c>
      <c r="AG17" s="68">
        <f>AA17+AE17+AF17+AL17+AM17</f>
        <v>4400.6499999999996</v>
      </c>
      <c r="AH17" s="72"/>
      <c r="AI17" s="73"/>
      <c r="AJ17" s="245">
        <f>AG17-AA17*AI17</f>
        <v>4400.6499999999996</v>
      </c>
      <c r="AK17" s="251"/>
      <c r="AL17" s="302">
        <f>IF(OR(E17="да"), 4040, 0)</f>
        <v>0</v>
      </c>
      <c r="AM17" s="365">
        <f>IF(OR(D17="доп."), AA17*0.1, 0)</f>
        <v>0</v>
      </c>
      <c r="AN17" s="251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</row>
    <row r="18" spans="1:95" s="46" customFormat="1" ht="51" x14ac:dyDescent="0.25">
      <c r="A18" s="241">
        <f>ROW(A18)-10</f>
        <v>8</v>
      </c>
      <c r="B18" s="335" t="s">
        <v>1886</v>
      </c>
      <c r="C18" s="241">
        <f>VLOOKUP(B18, Расстояния!B:J, 9, 0)</f>
        <v>66</v>
      </c>
      <c r="D18" s="242" t="str">
        <f>VLOOKUP(B18, Расстояния!B:K, 10, 0)</f>
        <v>осн.</v>
      </c>
      <c r="E18" s="242" t="str">
        <f>VLOOKUP(B18, Расстояния!B:F, 5, 0)</f>
        <v>нет</v>
      </c>
      <c r="F18" s="290" t="s">
        <v>4181</v>
      </c>
      <c r="G18" s="305">
        <v>46108.348611111112</v>
      </c>
      <c r="H18" s="345">
        <v>46108.493750000001</v>
      </c>
      <c r="I18" s="345">
        <v>46108.59097222222</v>
      </c>
      <c r="J18" s="303" t="s">
        <v>4164</v>
      </c>
      <c r="K18" s="306"/>
      <c r="L18" s="250" t="s">
        <v>321</v>
      </c>
      <c r="M18" s="241" t="str">
        <f>VLOOKUP(L18, Работы!A:B, 2, 0)</f>
        <v>Стоимость аварийно-восстановительных работ, заявка по которым получена в течение рабочего времени</v>
      </c>
      <c r="N18" s="330" t="s">
        <v>4272</v>
      </c>
      <c r="O18" s="298"/>
      <c r="P18" s="248">
        <f>IF(OR(L18="3.3.1.", L18="3.3.2.", L18="3.3.3.", L18="3.1.1.", L18="3.1.2.", L18="3.4.1.", L18="3.4.2."), 0, VLOOKUP(L18, Работы!$A$3:$D$184, 4, 0))</f>
        <v>0</v>
      </c>
      <c r="Q18" s="243"/>
      <c r="R18" s="243"/>
      <c r="S18" s="243"/>
      <c r="T18" s="244">
        <f>IF(OR(L18="3.3.1.", L18="3.3.2.", L18="3.3.3."), VLOOKUP(L18, Работы!$A$3:$D$184, 4, 0), 0)</f>
        <v>0</v>
      </c>
      <c r="U18" s="246">
        <f>IF(OR(L18="3.1.1."), VLOOKUP(L18, Работы!$A$3:$D$184, 4, 0), 0)</f>
        <v>3956</v>
      </c>
      <c r="V18" s="246">
        <f>IF(OR(L18="3.1.2."), VLOOKUP(L18, Работы!$A$3:$D$184, 4, 0), 0)</f>
        <v>0</v>
      </c>
      <c r="W18" s="246"/>
      <c r="X18" s="246"/>
      <c r="Y18" s="247">
        <f>IF(OR(L18="3.2.1.", L18="3.2.2."), VLOOKUP(L18, Работы!$A$3:$D$184, 4, 0), 0)</f>
        <v>0</v>
      </c>
      <c r="Z18" s="247">
        <f>IF(OR(L18="3.4.1.", L18="3.4.2."), VLOOKUP(L18, Работы!$A$3:$D$184, 4, 0), 0)</f>
        <v>0</v>
      </c>
      <c r="AA18" s="68">
        <f>P18*O18+Q18*T18+R18*T18+S18*T18+U18+V18+W18*Y18+X18*Y18+Z18</f>
        <v>3956</v>
      </c>
      <c r="AB18" s="69"/>
      <c r="AC18" s="70"/>
      <c r="AD18" s="70"/>
      <c r="AE18" s="69">
        <f>AC18*AD18</f>
        <v>0</v>
      </c>
      <c r="AF18" s="71">
        <f>C18*Работы!$D$180</f>
        <v>3551.46</v>
      </c>
      <c r="AG18" s="68">
        <f>AA18+AE18+AF18+AL18+AM18</f>
        <v>7507.46</v>
      </c>
      <c r="AH18" s="72"/>
      <c r="AI18" s="73"/>
      <c r="AJ18" s="245">
        <f>AG18-AA18*AI18</f>
        <v>7507.46</v>
      </c>
      <c r="AK18" s="301"/>
      <c r="AL18" s="302">
        <f>IF(OR(E18="да"), 4040, 0)</f>
        <v>0</v>
      </c>
      <c r="AM18" s="365">
        <f>IF(OR(D18="доп."), AA18*0.1, 0)</f>
        <v>0</v>
      </c>
      <c r="AN18" s="251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</row>
    <row r="19" spans="1:95" s="46" customFormat="1" ht="89.25" x14ac:dyDescent="0.25">
      <c r="A19" s="241">
        <f>ROW(A19)-10</f>
        <v>9</v>
      </c>
      <c r="B19" s="335" t="s">
        <v>1886</v>
      </c>
      <c r="C19" s="241">
        <v>0</v>
      </c>
      <c r="D19" s="242" t="str">
        <f>VLOOKUP(B19, Расстояния!B:K, 10, 0)</f>
        <v>осн.</v>
      </c>
      <c r="E19" s="242" t="str">
        <f>VLOOKUP(B19, Расстояния!B:F, 5, 0)</f>
        <v>нет</v>
      </c>
      <c r="F19" s="290" t="s">
        <v>4182</v>
      </c>
      <c r="G19" s="305">
        <v>46105.469444444447</v>
      </c>
      <c r="H19" s="345">
        <v>46108.493750000001</v>
      </c>
      <c r="I19" s="345">
        <v>46108.59097222222</v>
      </c>
      <c r="J19" s="303" t="s">
        <v>4164</v>
      </c>
      <c r="K19" s="306"/>
      <c r="L19" s="250" t="s">
        <v>35</v>
      </c>
      <c r="M19" s="241" t="str">
        <f>VLOOKUP(L19, Работы!A:B, 2, 0)</f>
        <v>Диагностика и устранение дефектов АФУ сектора БС (локализация неисправности или перепуток Net Monitor'ом, проверка/ремонт разъёмов, соединительных джемперов, проверка КСВ)</v>
      </c>
      <c r="N19" s="347" t="s">
        <v>4269</v>
      </c>
      <c r="O19" s="298">
        <v>1</v>
      </c>
      <c r="P19" s="248">
        <f>IF(OR(L19="3.3.1.", L19="3.3.2.", L19="3.3.3.", L19="3.1.1.", L19="3.1.2.", L19="3.4.1.", L19="3.4.2."), 0, VLOOKUP(L19, Работы!$A$3:$D$184, 4, 0))</f>
        <v>4180</v>
      </c>
      <c r="Q19" s="243"/>
      <c r="R19" s="243"/>
      <c r="S19" s="243"/>
      <c r="T19" s="244">
        <f>IF(OR(L19="3.3.1.", L19="3.3.2.", L19="3.3.3."), VLOOKUP(L19, Работы!$A$3:$D$184, 4, 0), 0)</f>
        <v>0</v>
      </c>
      <c r="U19" s="246">
        <f>IF(OR(L19="3.1.1."), VLOOKUP(L19, Работы!$A$3:$D$184, 4, 0), 0)</f>
        <v>0</v>
      </c>
      <c r="V19" s="246">
        <f>IF(OR(L19="3.1.2."), VLOOKUP(L19, Работы!$A$3:$D$184, 4, 0), 0)</f>
        <v>0</v>
      </c>
      <c r="W19" s="246"/>
      <c r="X19" s="246"/>
      <c r="Y19" s="247">
        <f>IF(OR(L19="3.2.1.", L19="3.2.2."), VLOOKUP(L19, Работы!$A$3:$D$184, 4, 0), 0)</f>
        <v>0</v>
      </c>
      <c r="Z19" s="247">
        <f>IF(OR(L19="3.4.1.", L19="3.4.2."), VLOOKUP(L19, Работы!$A$3:$D$184, 4, 0), 0)</f>
        <v>0</v>
      </c>
      <c r="AA19" s="68">
        <f>P19*O19+Q19*T19+R19*T19+S19*T19+U19+V19+W19*Y19+X19*Y19+Z19</f>
        <v>4180</v>
      </c>
      <c r="AB19" s="69"/>
      <c r="AC19" s="70"/>
      <c r="AD19" s="70"/>
      <c r="AE19" s="69">
        <f>AC19*AD19</f>
        <v>0</v>
      </c>
      <c r="AF19" s="71">
        <f>C19*Работы!$D$180</f>
        <v>0</v>
      </c>
      <c r="AG19" s="68">
        <f>AA19+AE19+AF19+AL19+AM19</f>
        <v>4180</v>
      </c>
      <c r="AH19" s="72"/>
      <c r="AI19" s="73"/>
      <c r="AJ19" s="245">
        <f>AG19-AA19*AI19</f>
        <v>4180</v>
      </c>
      <c r="AK19" s="251"/>
      <c r="AL19" s="302">
        <f>IF(OR(E19="да"), 4040, 0)</f>
        <v>0</v>
      </c>
      <c r="AM19" s="365">
        <f>IF(OR(D19="доп."), AA19*0.1, 0)</f>
        <v>0</v>
      </c>
      <c r="AN19" s="1287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</row>
    <row r="20" spans="1:95" s="46" customFormat="1" ht="63.75" x14ac:dyDescent="0.25">
      <c r="A20" s="241">
        <f>ROW(A20)-10</f>
        <v>10</v>
      </c>
      <c r="B20" s="335" t="s">
        <v>1894</v>
      </c>
      <c r="C20" s="241">
        <v>60</v>
      </c>
      <c r="D20" s="242" t="str">
        <f>VLOOKUP(B20, Расстояния!B:K, 10, 0)</f>
        <v>осн.</v>
      </c>
      <c r="E20" s="242" t="str">
        <f>VLOOKUP(B20, Расстояния!B:F, 5, 0)</f>
        <v>нет</v>
      </c>
      <c r="F20" s="290" t="s">
        <v>4198</v>
      </c>
      <c r="G20" s="305">
        <v>46105.026388888888</v>
      </c>
      <c r="H20" s="345">
        <v>46105.101388888892</v>
      </c>
      <c r="I20" s="345">
        <v>46105.101388888892</v>
      </c>
      <c r="J20" s="304" t="s">
        <v>4192</v>
      </c>
      <c r="K20" s="306"/>
      <c r="L20" s="250" t="s">
        <v>371</v>
      </c>
      <c r="M20" s="241" t="str">
        <f>VLOOKUP(L20, Работы!A:B, 2, 0)</f>
        <v>Стоимость отменённого вызова на Аварийно-восстановительные работы, заявка по которым получена во внерабочее время</v>
      </c>
      <c r="N20" s="346" t="s">
        <v>3882</v>
      </c>
      <c r="O20" s="298"/>
      <c r="P20" s="248">
        <f>IF(OR(L20="3.3.1.", L20="3.3.2.", L20="3.3.3.", L20="3.1.1.", L20="3.1.2.", L20="3.4.1.", L20="3.4.2."), 0, VLOOKUP(L20, Работы!$A$3:$D$184, 4, 0))</f>
        <v>0</v>
      </c>
      <c r="Q20" s="243"/>
      <c r="R20" s="243"/>
      <c r="S20" s="243"/>
      <c r="T20" s="244">
        <f>IF(OR(L20="3.3.1.", L20="3.3.2.", L20="3.3.3."), VLOOKUP(L20, Работы!$A$3:$D$184, 4, 0), 0)</f>
        <v>0</v>
      </c>
      <c r="U20" s="246">
        <f>IF(OR(L20="3.1.1."), VLOOKUP(L20, Работы!$A$3:$D$184, 4, 0), 0)</f>
        <v>0</v>
      </c>
      <c r="V20" s="246">
        <f>IF(OR(L20="3.1.2."), VLOOKUP(L20, Работы!$A$3:$D$184, 4, 0), 0)</f>
        <v>0</v>
      </c>
      <c r="W20" s="246"/>
      <c r="X20" s="246"/>
      <c r="Y20" s="247">
        <f>IF(OR(L20="3.2.1.", L20="3.2.2."), VLOOKUP(L20, Работы!$A$3:$D$184, 4, 0), 0)</f>
        <v>0</v>
      </c>
      <c r="Z20" s="247">
        <f>IF(OR(L20="3.4.1.", L20="3.4.2."), VLOOKUP(L20, Работы!$A$3:$D$184, 4, 0), 0)</f>
        <v>1731</v>
      </c>
      <c r="AA20" s="68">
        <f>P20*O20+Q20*T20+R20*T20+S20*T20+U20+V20+W20*Y20+X20*Y20+Z20</f>
        <v>1731</v>
      </c>
      <c r="AB20" s="299"/>
      <c r="AC20" s="300"/>
      <c r="AD20" s="300"/>
      <c r="AE20" s="69">
        <f>AC20*AD20</f>
        <v>0</v>
      </c>
      <c r="AF20" s="71">
        <f>C20*Работы!$D$180</f>
        <v>3228.6000000000004</v>
      </c>
      <c r="AG20" s="68">
        <f>AA20+AE20+AF20+AL20+AM20</f>
        <v>4959.6000000000004</v>
      </c>
      <c r="AH20" s="72"/>
      <c r="AI20" s="73"/>
      <c r="AJ20" s="245">
        <f>AG20-AA20*AI20</f>
        <v>4959.6000000000004</v>
      </c>
      <c r="AK20" s="301"/>
      <c r="AL20" s="302">
        <f>IF(OR(E20="да"), 4040, 0)</f>
        <v>0</v>
      </c>
      <c r="AM20" s="365">
        <f>IF(OR(D20="доп."), AA20*0.1, 0)</f>
        <v>0</v>
      </c>
      <c r="AN20" s="251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</row>
    <row r="21" spans="1:95" s="46" customFormat="1" ht="102" x14ac:dyDescent="0.25">
      <c r="A21" s="241">
        <f>ROW(A21)-10</f>
        <v>11</v>
      </c>
      <c r="B21" s="335" t="s">
        <v>1906</v>
      </c>
      <c r="C21" s="241">
        <f>VLOOKUP(B21, Расстояния!B:J, 9, 0)</f>
        <v>69</v>
      </c>
      <c r="D21" s="242" t="str">
        <f>VLOOKUP(B21, Расстояния!B:K, 10, 0)</f>
        <v>осн.</v>
      </c>
      <c r="E21" s="242" t="str">
        <f>VLOOKUP(B21, Расстояния!B:F, 5, 0)</f>
        <v>нет</v>
      </c>
      <c r="F21" s="290" t="s">
        <v>4200</v>
      </c>
      <c r="G21" s="305">
        <v>46108.402777777781</v>
      </c>
      <c r="H21" s="345">
        <v>46108.487500000003</v>
      </c>
      <c r="I21" s="345">
        <v>46108.740972222222</v>
      </c>
      <c r="J21" s="331" t="s">
        <v>4192</v>
      </c>
      <c r="K21" s="306"/>
      <c r="L21" s="340" t="s">
        <v>367</v>
      </c>
      <c r="M21" s="241" t="str">
        <f>VLOOKUP(L21,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21" s="330" t="s">
        <v>3843</v>
      </c>
      <c r="O21" s="298"/>
      <c r="P21" s="248">
        <f>IF(OR(L21="3.3.1.", L21="3.3.2.", L21="3.3.3.", L21="3.1.1.", L21="3.1.2.", L21="3.4.1.", L21="3.4.2."), 0, VLOOKUP(L21, Работы!$A$3:$D$184, 4, 0))</f>
        <v>0</v>
      </c>
      <c r="Q21" s="243">
        <f>ROUNDUP((I21-H21)*24, 0)</f>
        <v>7</v>
      </c>
      <c r="R21" s="243"/>
      <c r="S21" s="243"/>
      <c r="T21" s="244">
        <f>IF(OR(L21="3.3.1.", L21="3.3.2.", L21="3.3.3."), VLOOKUP(L21, Работы!$A$3:$D$184, 4, 0), 0)</f>
        <v>903</v>
      </c>
      <c r="U21" s="246">
        <f>IF(OR(L21="3.1.1."), VLOOKUP(L21, Работы!$A$3:$D$184, 4, 0), 0)</f>
        <v>0</v>
      </c>
      <c r="V21" s="246">
        <f>IF(OR(L21="3.1.2."), VLOOKUP(L21, Работы!$A$3:$D$184, 4, 0), 0)</f>
        <v>0</v>
      </c>
      <c r="W21" s="246"/>
      <c r="X21" s="246"/>
      <c r="Y21" s="247">
        <f>IF(OR(L21="3.2.1.", L21="3.2.2."), VLOOKUP(L21, Работы!$A$3:$D$184, 4, 0), 0)</f>
        <v>0</v>
      </c>
      <c r="Z21" s="247">
        <f>IF(OR(L21="3.4.1.", L21="3.4.2."), VLOOKUP(L21, Работы!$A$3:$D$184, 4, 0), 0)</f>
        <v>0</v>
      </c>
      <c r="AA21" s="68">
        <f>P21*O21+Q21*T21+R21*T21+S21*T21+U21+V21+W21*Y21+X21*Y21+Z21</f>
        <v>6321</v>
      </c>
      <c r="AB21" s="299"/>
      <c r="AC21" s="300"/>
      <c r="AD21" s="300"/>
      <c r="AE21" s="69">
        <f>AC21*AD21</f>
        <v>0</v>
      </c>
      <c r="AF21" s="71">
        <f>C21*Работы!$D$180</f>
        <v>3712.8900000000003</v>
      </c>
      <c r="AG21" s="68">
        <f>AA21+AE21+AF21+AL21+AM21</f>
        <v>10033.89</v>
      </c>
      <c r="AH21" s="72"/>
      <c r="AI21" s="73"/>
      <c r="AJ21" s="245">
        <f>AG21-AA21*AI21</f>
        <v>10033.89</v>
      </c>
      <c r="AK21" s="251"/>
      <c r="AL21" s="302">
        <f>IF(OR(E21="да"), 4040, 0)</f>
        <v>0</v>
      </c>
      <c r="AM21" s="365">
        <f>IF(OR(D21="доп."), AA21*0.1, 0)</f>
        <v>0</v>
      </c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</row>
    <row r="22" spans="1:95" s="34" customFormat="1" ht="102" x14ac:dyDescent="0.25">
      <c r="A22" s="241">
        <f>ROW(A22)-10</f>
        <v>12</v>
      </c>
      <c r="B22" s="335" t="s">
        <v>1906</v>
      </c>
      <c r="C22" s="241">
        <f>VLOOKUP(B22, Расстояния!B:J, 9, 0)</f>
        <v>69</v>
      </c>
      <c r="D22" s="242" t="str">
        <f>VLOOKUP(B22, Расстояния!B:K, 10, 0)</f>
        <v>осн.</v>
      </c>
      <c r="E22" s="242" t="str">
        <f>VLOOKUP(B22, Расстояния!B:F, 5, 0)</f>
        <v>нет</v>
      </c>
      <c r="F22" s="290" t="s">
        <v>4206</v>
      </c>
      <c r="G22" s="305">
        <v>46097.700243055559</v>
      </c>
      <c r="H22" s="345">
        <v>46097.777083333334</v>
      </c>
      <c r="I22" s="345">
        <v>46098.077777777777</v>
      </c>
      <c r="J22" s="303" t="s">
        <v>4207</v>
      </c>
      <c r="K22" s="306"/>
      <c r="L22" s="250" t="s">
        <v>367</v>
      </c>
      <c r="M22" s="241" t="str">
        <f>VLOOKUP(L22,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22" s="330" t="s">
        <v>3843</v>
      </c>
      <c r="O22" s="298"/>
      <c r="P22" s="248">
        <f>IF(OR(L22="3.3.1.", L22="3.3.2.", L22="3.3.3.", L22="3.1.1.", L22="3.1.2.", L22="3.4.1.", L22="3.4.2."), 0, VLOOKUP(L22, Работы!$A$3:$D$184, 4, 0))</f>
        <v>0</v>
      </c>
      <c r="Q22" s="243">
        <f>ROUNDUP((I22-H22)*24, 0)</f>
        <v>8</v>
      </c>
      <c r="R22" s="243"/>
      <c r="S22" s="243"/>
      <c r="T22" s="244">
        <f>IF(OR(L22="3.3.1.", L22="3.3.2.", L22="3.3.3."), VLOOKUP(L22, Работы!$A$3:$D$184, 4, 0), 0)</f>
        <v>903</v>
      </c>
      <c r="U22" s="246">
        <f>IF(OR(L22="3.1.1."), VLOOKUP(L22, Работы!$A$3:$D$184, 4, 0), 0)</f>
        <v>0</v>
      </c>
      <c r="V22" s="246">
        <f>IF(OR(L22="3.1.2."), VLOOKUP(L22, Работы!$A$3:$D$184, 4, 0), 0)</f>
        <v>0</v>
      </c>
      <c r="W22" s="246"/>
      <c r="X22" s="246"/>
      <c r="Y22" s="247">
        <f>IF(OR(L22="3.2.1.", L22="3.2.2."), VLOOKUP(L22, Работы!$A$3:$D$184, 4, 0), 0)</f>
        <v>0</v>
      </c>
      <c r="Z22" s="247">
        <f>IF(OR(L22="3.4.1.", L22="3.4.2."), VLOOKUP(L22, Работы!$A$3:$D$184, 4, 0), 0)</f>
        <v>0</v>
      </c>
      <c r="AA22" s="68">
        <f>P22*O22+Q22*T22+R22*T22+S22*T22+U22+V22+W22*Y22+X22*Y22+Z22</f>
        <v>7224</v>
      </c>
      <c r="AB22" s="299"/>
      <c r="AC22" s="300"/>
      <c r="AD22" s="300"/>
      <c r="AE22" s="69">
        <f>AC22*AD22</f>
        <v>0</v>
      </c>
      <c r="AF22" s="71">
        <f>C22*Работы!$D$180</f>
        <v>3712.8900000000003</v>
      </c>
      <c r="AG22" s="68">
        <f>AA22+AE22+AF22+AL22+AM22</f>
        <v>10936.89</v>
      </c>
      <c r="AH22" s="72"/>
      <c r="AI22" s="73"/>
      <c r="AJ22" s="245">
        <f>AG22-AA22*AI22</f>
        <v>10936.89</v>
      </c>
      <c r="AK22" s="301"/>
      <c r="AL22" s="302">
        <f>IF(OR(E22="да"), 4040, 0)</f>
        <v>0</v>
      </c>
      <c r="AM22" s="365">
        <f>IF(OR(D22="доп."), AA22*0.1, 0)</f>
        <v>0</v>
      </c>
      <c r="AN22" s="1287"/>
    </row>
    <row r="23" spans="1:95" s="34" customFormat="1" ht="114.75" x14ac:dyDescent="0.25">
      <c r="A23" s="241">
        <f>ROW(A23)-10</f>
        <v>13</v>
      </c>
      <c r="B23" s="335" t="s">
        <v>1910</v>
      </c>
      <c r="C23" s="241">
        <f>VLOOKUP(B23, Расстояния!B:J, 9, 0)</f>
        <v>64</v>
      </c>
      <c r="D23" s="242" t="str">
        <f>VLOOKUP(B23, Расстояния!B:K, 10, 0)</f>
        <v>осн.</v>
      </c>
      <c r="E23" s="242" t="str">
        <f>VLOOKUP(B23, Расстояния!B:F, 5, 0)</f>
        <v>нет</v>
      </c>
      <c r="F23" s="290" t="s">
        <v>4138</v>
      </c>
      <c r="G23" s="305">
        <v>46078.462500000001</v>
      </c>
      <c r="H23" s="345">
        <v>46080.458333333336</v>
      </c>
      <c r="I23" s="345">
        <v>46080.479166666664</v>
      </c>
      <c r="J23" s="304" t="s">
        <v>3883</v>
      </c>
      <c r="K23" s="306"/>
      <c r="L23" s="292" t="s">
        <v>198</v>
      </c>
      <c r="M23" s="241" t="str">
        <f>VLOOKUP(L23, Работы!A:B, 2, 0)</f>
        <v>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</v>
      </c>
      <c r="N23" s="330" t="s">
        <v>4301</v>
      </c>
      <c r="O23" s="298">
        <v>1</v>
      </c>
      <c r="P23" s="248">
        <f>IF(OR(L23="3.3.1.", L23="3.3.2.", L23="3.3.3.", L23="3.1.1.", L23="3.1.2.", L23="3.4.1.", L23="3.4.2."), 0, VLOOKUP(L23, Работы!$A$3:$D$184, 4, 0))</f>
        <v>735</v>
      </c>
      <c r="Q23" s="243"/>
      <c r="R23" s="243"/>
      <c r="S23" s="243"/>
      <c r="T23" s="244">
        <f>IF(OR(L23="3.3.1.", L23="3.3.2.", L23="3.3.3."), VLOOKUP(L23, Работы!$A$3:$D$184, 4, 0), 0)</f>
        <v>0</v>
      </c>
      <c r="U23" s="246">
        <f>IF(OR(L23="3.1.1."), VLOOKUP(L23, Работы!$A$3:$D$184, 4, 0), 0)</f>
        <v>0</v>
      </c>
      <c r="V23" s="246">
        <f>IF(OR(L23="3.1.2."), VLOOKUP(L23, Работы!$A$3:$D$184, 4, 0), 0)</f>
        <v>0</v>
      </c>
      <c r="W23" s="246"/>
      <c r="X23" s="246"/>
      <c r="Y23" s="247">
        <f>IF(OR(L23="3.2.1.", L23="3.2.2."), VLOOKUP(L23, Работы!$A$3:$D$184, 4, 0), 0)</f>
        <v>0</v>
      </c>
      <c r="Z23" s="247">
        <f>IF(OR(L23="3.4.1.", L23="3.4.2."), VLOOKUP(L23, Работы!$A$3:$D$184, 4, 0), 0)</f>
        <v>0</v>
      </c>
      <c r="AA23" s="68">
        <f>P23*O23+Q23*T23+R23*T23+S23*T23+U23+V23+W23*Y23+X23*Y23+Z23</f>
        <v>735</v>
      </c>
      <c r="AB23" s="299"/>
      <c r="AC23" s="300"/>
      <c r="AD23" s="300"/>
      <c r="AE23" s="69">
        <f>AC23*AD23</f>
        <v>0</v>
      </c>
      <c r="AF23" s="71">
        <f>C23*Работы!$D$180</f>
        <v>3443.84</v>
      </c>
      <c r="AG23" s="68">
        <f>AA23+AE23+AF23+AL23+AM23</f>
        <v>4178.84</v>
      </c>
      <c r="AH23" s="72"/>
      <c r="AI23" s="73"/>
      <c r="AJ23" s="245">
        <f>AG23-AA23*AI23</f>
        <v>4178.84</v>
      </c>
      <c r="AK23" s="251"/>
      <c r="AL23" s="302">
        <f>IF(OR(E23="да"), 4040, 0)</f>
        <v>0</v>
      </c>
      <c r="AM23" s="365">
        <f>IF(OR(D23="доп."), AA23*0.1, 0)</f>
        <v>0</v>
      </c>
      <c r="AN23" s="251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</row>
    <row r="24" spans="1:95" s="34" customFormat="1" ht="102" x14ac:dyDescent="0.25">
      <c r="A24" s="241">
        <f>ROW(A24)-10</f>
        <v>14</v>
      </c>
      <c r="B24" s="335" t="s">
        <v>1616</v>
      </c>
      <c r="C24" s="241">
        <f>VLOOKUP(B24, Расстояния!B:J, 9, 0)</f>
        <v>52</v>
      </c>
      <c r="D24" s="242" t="str">
        <f>VLOOKUP(B24, Расстояния!B:K, 10, 0)</f>
        <v>осн.</v>
      </c>
      <c r="E24" s="242" t="str">
        <f>VLOOKUP(B24, Расстояния!B:F, 5, 0)</f>
        <v>нет</v>
      </c>
      <c r="F24" s="290" t="s">
        <v>4136</v>
      </c>
      <c r="G24" s="305">
        <v>46098.168749999997</v>
      </c>
      <c r="H24" s="345">
        <v>46098.243750000001</v>
      </c>
      <c r="I24" s="345">
        <v>46098.402083333334</v>
      </c>
      <c r="J24" s="303" t="s">
        <v>3883</v>
      </c>
      <c r="K24" s="306"/>
      <c r="L24" s="292" t="s">
        <v>367</v>
      </c>
      <c r="M24" s="241" t="str">
        <f>VLOOKUP(L24,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24" s="330" t="s">
        <v>3843</v>
      </c>
      <c r="O24" s="298"/>
      <c r="P24" s="248">
        <f>IF(OR(L24="3.3.1.", L24="3.3.2.", L24="3.3.3.", L24="3.1.1.", L24="3.1.2.", L24="3.4.1.", L24="3.4.2."), 0, VLOOKUP(L24, Работы!$A$3:$D$184, 4, 0))</f>
        <v>0</v>
      </c>
      <c r="Q24" s="243">
        <f>ROUNDUP((I24-H24)*24, 0)</f>
        <v>4</v>
      </c>
      <c r="R24" s="243"/>
      <c r="S24" s="243"/>
      <c r="T24" s="244">
        <f>IF(OR(L24="3.3.1.", L24="3.3.2.", L24="3.3.3."), VLOOKUP(L24, Работы!$A$3:$D$184, 4, 0), 0)</f>
        <v>903</v>
      </c>
      <c r="U24" s="246">
        <f>IF(OR(L24="3.1.1."), VLOOKUP(L24, Работы!$A$3:$D$184, 4, 0), 0)</f>
        <v>0</v>
      </c>
      <c r="V24" s="246">
        <f>IF(OR(L24="3.1.2."), VLOOKUP(L24, Работы!$A$3:$D$184, 4, 0), 0)</f>
        <v>0</v>
      </c>
      <c r="W24" s="246"/>
      <c r="X24" s="246"/>
      <c r="Y24" s="247">
        <f>IF(OR(L24="3.2.1.", L24="3.2.2."), VLOOKUP(L24, Работы!$A$3:$D$184, 4, 0), 0)</f>
        <v>0</v>
      </c>
      <c r="Z24" s="247">
        <f>IF(OR(L24="3.4.1.", L24="3.4.2."), VLOOKUP(L24, Работы!$A$3:$D$184, 4, 0), 0)</f>
        <v>0</v>
      </c>
      <c r="AA24" s="68">
        <f>P24*O24+Q24*T24+R24*T24+S24*T24+U24+V24+W24*Y24+X24*Y24+Z24</f>
        <v>3612</v>
      </c>
      <c r="AB24" s="69"/>
      <c r="AC24" s="70"/>
      <c r="AD24" s="70"/>
      <c r="AE24" s="69">
        <f>AC24*AD24</f>
        <v>0</v>
      </c>
      <c r="AF24" s="71">
        <f>C24*Работы!$D$180</f>
        <v>2798.12</v>
      </c>
      <c r="AG24" s="68">
        <f>AA24+AE24+AF24+AL24+AM24</f>
        <v>6410.12</v>
      </c>
      <c r="AH24" s="72"/>
      <c r="AI24" s="73"/>
      <c r="AJ24" s="245">
        <f>AG24-AA24*AI24</f>
        <v>6410.12</v>
      </c>
      <c r="AK24" s="251"/>
      <c r="AL24" s="302">
        <f>IF(OR(E24="да"), 4040, 0)</f>
        <v>0</v>
      </c>
      <c r="AM24" s="365">
        <f>IF(OR(D24="доп."), AA24*0.1, 0)</f>
        <v>0</v>
      </c>
      <c r="AN24" s="251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</row>
    <row r="25" spans="1:95" s="34" customFormat="1" ht="89.25" x14ac:dyDescent="0.25">
      <c r="A25" s="241">
        <f>ROW(A25)-10</f>
        <v>15</v>
      </c>
      <c r="B25" s="335" t="s">
        <v>1926</v>
      </c>
      <c r="C25" s="241">
        <f>VLOOKUP(B25, Расстояния!B:J, 9, 0)</f>
        <v>70</v>
      </c>
      <c r="D25" s="242" t="str">
        <f>VLOOKUP(B25, Расстояния!B:K, 10, 0)</f>
        <v>осн.</v>
      </c>
      <c r="E25" s="242" t="str">
        <f>VLOOKUP(B25, Расстояния!B:F, 5, 0)</f>
        <v>нет</v>
      </c>
      <c r="F25" s="290" t="s">
        <v>4175</v>
      </c>
      <c r="G25" s="305">
        <v>46105.496527777781</v>
      </c>
      <c r="H25" s="345">
        <v>46106.617361111108</v>
      </c>
      <c r="I25" s="345">
        <v>46106.644444444442</v>
      </c>
      <c r="J25" s="304" t="s">
        <v>4164</v>
      </c>
      <c r="K25" s="306"/>
      <c r="L25" s="250" t="s">
        <v>35</v>
      </c>
      <c r="M25" s="241" t="str">
        <f>VLOOKUP(L25, Работы!A:B, 2, 0)</f>
        <v>Диагностика и устранение дефектов АФУ сектора БС (локализация неисправности или перепуток Net Monitor'ом, проверка/ремонт разъёмов, соединительных джемперов, проверка КСВ)</v>
      </c>
      <c r="N25" s="347" t="s">
        <v>4269</v>
      </c>
      <c r="O25" s="298">
        <v>1</v>
      </c>
      <c r="P25" s="248">
        <f>IF(OR(L25="3.3.1.", L25="3.3.2.", L25="3.3.3.", L25="3.1.1.", L25="3.1.2.", L25="3.4.1.", L25="3.4.2."), 0, VLOOKUP(L25, Работы!$A$3:$D$184, 4, 0))</f>
        <v>4180</v>
      </c>
      <c r="Q25" s="243"/>
      <c r="R25" s="243"/>
      <c r="S25" s="243"/>
      <c r="T25" s="244">
        <f>IF(OR(L25="3.3.1.", L25="3.3.2.", L25="3.3.3."), VLOOKUP(L25, Работы!$A$3:$D$184, 4, 0), 0)</f>
        <v>0</v>
      </c>
      <c r="U25" s="246">
        <f>IF(OR(L25="3.1.1."), VLOOKUP(L25, Работы!$A$3:$D$184, 4, 0), 0)</f>
        <v>0</v>
      </c>
      <c r="V25" s="246">
        <f>IF(OR(L25="3.1.2."), VLOOKUP(L25, Работы!$A$3:$D$184, 4, 0), 0)</f>
        <v>0</v>
      </c>
      <c r="W25" s="246"/>
      <c r="X25" s="246"/>
      <c r="Y25" s="247">
        <f>IF(OR(L25="3.2.1.", L25="3.2.2."), VLOOKUP(L25, Работы!$A$3:$D$184, 4, 0), 0)</f>
        <v>0</v>
      </c>
      <c r="Z25" s="247">
        <f>IF(OR(L25="3.4.1.", L25="3.4.2."), VLOOKUP(L25, Работы!$A$3:$D$184, 4, 0), 0)</f>
        <v>0</v>
      </c>
      <c r="AA25" s="68">
        <f>P25*O25+Q25*T25+R25*T25+S25*T25+U25+V25+W25*Y25+X25*Y25+Z25</f>
        <v>4180</v>
      </c>
      <c r="AB25" s="69"/>
      <c r="AC25" s="70"/>
      <c r="AD25" s="70"/>
      <c r="AE25" s="69">
        <f>AC25*AD25</f>
        <v>0</v>
      </c>
      <c r="AF25" s="71">
        <f>C25*Работы!$D$180</f>
        <v>3766.7000000000003</v>
      </c>
      <c r="AG25" s="68">
        <f>AA25+AE25+AF25+AL25+AM25</f>
        <v>7946.7000000000007</v>
      </c>
      <c r="AH25" s="72"/>
      <c r="AI25" s="73"/>
      <c r="AJ25" s="245">
        <f>AG25-AA25*AI25</f>
        <v>7946.7000000000007</v>
      </c>
      <c r="AK25" s="301"/>
      <c r="AL25" s="302">
        <f>IF(OR(E25="да"), 4040, 0)</f>
        <v>0</v>
      </c>
      <c r="AM25" s="365">
        <f>IF(OR(D25="доп."), AA25*0.1, 0)</f>
        <v>0</v>
      </c>
      <c r="AN25" s="251"/>
    </row>
    <row r="26" spans="1:95" s="34" customFormat="1" ht="114.75" x14ac:dyDescent="0.25">
      <c r="A26" s="241">
        <f>ROW(A26)-10</f>
        <v>16</v>
      </c>
      <c r="B26" s="360" t="s">
        <v>1926</v>
      </c>
      <c r="C26" s="241">
        <v>0</v>
      </c>
      <c r="D26" s="242" t="str">
        <f>VLOOKUP(B26, Расстояния!B:K, 10, 0)</f>
        <v>осн.</v>
      </c>
      <c r="E26" s="242" t="str">
        <f>VLOOKUP(B26, Расстояния!B:F, 5, 0)</f>
        <v>нет</v>
      </c>
      <c r="F26" s="328" t="s">
        <v>4176</v>
      </c>
      <c r="G26" s="305">
        <v>45741.633333333331</v>
      </c>
      <c r="H26" s="345">
        <v>46106.617361111108</v>
      </c>
      <c r="I26" s="345">
        <v>46106.644444444442</v>
      </c>
      <c r="J26" s="304" t="s">
        <v>4164</v>
      </c>
      <c r="K26" s="306"/>
      <c r="L26" s="250" t="s">
        <v>198</v>
      </c>
      <c r="M26" s="241" t="str">
        <f>VLOOKUP(L26, Работы!A:B, 2, 0)</f>
        <v>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</v>
      </c>
      <c r="N26" s="330" t="s">
        <v>4189</v>
      </c>
      <c r="O26" s="298">
        <v>1</v>
      </c>
      <c r="P26" s="248">
        <f>IF(OR(L26="3.3.1.", L26="3.3.2.", L26="3.3.3.", L26="3.1.1.", L26="3.1.2.", L26="3.4.1.", L26="3.4.2."), 0, VLOOKUP(L26, Работы!$A$3:$D$184, 4, 0))</f>
        <v>735</v>
      </c>
      <c r="Q26" s="243"/>
      <c r="R26" s="243"/>
      <c r="S26" s="243"/>
      <c r="T26" s="244">
        <f>IF(OR(L26="3.3.1.", L26="3.3.2.", L26="3.3.3."), VLOOKUP(L26, Работы!$A$3:$D$184, 4, 0), 0)</f>
        <v>0</v>
      </c>
      <c r="U26" s="246">
        <f>IF(OR(L26="3.1.1."), VLOOKUP(L26, Работы!$A$3:$D$184, 4, 0), 0)</f>
        <v>0</v>
      </c>
      <c r="V26" s="246">
        <f>IF(OR(L26="3.1.2."), VLOOKUP(L26, Работы!$A$3:$D$184, 4, 0), 0)</f>
        <v>0</v>
      </c>
      <c r="W26" s="246"/>
      <c r="X26" s="246"/>
      <c r="Y26" s="247">
        <f>IF(OR(L26="3.2.1.", L26="3.2.2."), VLOOKUP(L26, Работы!$A$3:$D$184, 4, 0), 0)</f>
        <v>0</v>
      </c>
      <c r="Z26" s="247">
        <f>IF(OR(L26="3.4.1.", L26="3.4.2."), VLOOKUP(L26, Работы!$A$3:$D$184, 4, 0), 0)</f>
        <v>0</v>
      </c>
      <c r="AA26" s="68">
        <f>P26*O26+Q26*T26+R26*T26+S26*T26+U26+V26+W26*Y26+X26*Y26+Z26</f>
        <v>735</v>
      </c>
      <c r="AB26" s="69"/>
      <c r="AC26" s="70"/>
      <c r="AD26" s="70"/>
      <c r="AE26" s="69">
        <f>AC26*AD26</f>
        <v>0</v>
      </c>
      <c r="AF26" s="71">
        <f>C26*Работы!$D$180</f>
        <v>0</v>
      </c>
      <c r="AG26" s="68">
        <f>AA26+AE26+AF26+AL26+AM26</f>
        <v>735</v>
      </c>
      <c r="AH26" s="72"/>
      <c r="AI26" s="73"/>
      <c r="AJ26" s="245">
        <f>AG26-AA26*AI26</f>
        <v>735</v>
      </c>
      <c r="AK26" s="301"/>
      <c r="AL26" s="302">
        <f>IF(OR(E26="да"), 4040, 0)</f>
        <v>0</v>
      </c>
      <c r="AM26" s="365">
        <f>IF(OR(D26="доп."), AA26*0.1, 0)</f>
        <v>0</v>
      </c>
      <c r="AN26" s="1287"/>
    </row>
    <row r="27" spans="1:95" s="77" customFormat="1" ht="102" x14ac:dyDescent="0.25">
      <c r="A27" s="241">
        <f>ROW(A27)-10</f>
        <v>17</v>
      </c>
      <c r="B27" s="335" t="s">
        <v>1946</v>
      </c>
      <c r="C27" s="241">
        <f>VLOOKUP(B27, Расстояния!B:J, 9, 0)</f>
        <v>67</v>
      </c>
      <c r="D27" s="242" t="str">
        <f>VLOOKUP(B27, Расстояния!B:K, 10, 0)</f>
        <v>осн.</v>
      </c>
      <c r="E27" s="242" t="str">
        <f>VLOOKUP(B27, Расстояния!B:F, 5, 0)</f>
        <v>нет</v>
      </c>
      <c r="F27" s="290" t="s">
        <v>4223</v>
      </c>
      <c r="G27" s="305">
        <v>46108.453923611109</v>
      </c>
      <c r="H27" s="345">
        <v>46108.48541666667</v>
      </c>
      <c r="I27" s="345">
        <v>46108.720138888886</v>
      </c>
      <c r="J27" s="303" t="s">
        <v>4207</v>
      </c>
      <c r="K27" s="306"/>
      <c r="L27" s="340" t="s">
        <v>367</v>
      </c>
      <c r="M27" s="241" t="str">
        <f>VLOOKUP(L27,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27" s="330" t="s">
        <v>3843</v>
      </c>
      <c r="O27" s="298"/>
      <c r="P27" s="248">
        <f>IF(OR(L27="3.3.1.", L27="3.3.2.", L27="3.3.3.", L27="3.1.1.", L27="3.1.2.", L27="3.4.1.", L27="3.4.2."), 0, VLOOKUP(L27, Работы!$A$3:$D$184, 4, 0))</f>
        <v>0</v>
      </c>
      <c r="Q27" s="243">
        <f>ROUNDUP((I27-H27)*24, 0)</f>
        <v>6</v>
      </c>
      <c r="R27" s="243"/>
      <c r="S27" s="243"/>
      <c r="T27" s="244">
        <f>IF(OR(L27="3.3.1.", L27="3.3.2.", L27="3.3.3."), VLOOKUP(L27, Работы!$A$3:$D$184, 4, 0), 0)</f>
        <v>903</v>
      </c>
      <c r="U27" s="246">
        <f>IF(OR(L27="3.1.1."), VLOOKUP(L27, Работы!$A$3:$D$184, 4, 0), 0)</f>
        <v>0</v>
      </c>
      <c r="V27" s="246">
        <f>IF(OR(L27="3.1.2."), VLOOKUP(L27, Работы!$A$3:$D$184, 4, 0), 0)</f>
        <v>0</v>
      </c>
      <c r="W27" s="246"/>
      <c r="X27" s="246"/>
      <c r="Y27" s="247">
        <f>IF(OR(L27="3.2.1.", L27="3.2.2."), VLOOKUP(L27, Работы!$A$3:$D$184, 4, 0), 0)</f>
        <v>0</v>
      </c>
      <c r="Z27" s="247">
        <f>IF(OR(L27="3.4.1.", L27="3.4.2."), VLOOKUP(L27, Работы!$A$3:$D$184, 4, 0), 0)</f>
        <v>0</v>
      </c>
      <c r="AA27" s="68">
        <f>P27*O27+Q27*T27+R27*T27+S27*T27+U27+V27+W27*Y27+X27*Y27+Z27</f>
        <v>5418</v>
      </c>
      <c r="AB27" s="69"/>
      <c r="AC27" s="70"/>
      <c r="AD27" s="70"/>
      <c r="AE27" s="69">
        <f>AC27*AD27</f>
        <v>0</v>
      </c>
      <c r="AF27" s="71">
        <f>C27*Работы!$D$180</f>
        <v>3605.27</v>
      </c>
      <c r="AG27" s="68">
        <f>AA27+AE27+AF27+AL27+AM27</f>
        <v>9023.27</v>
      </c>
      <c r="AH27" s="72"/>
      <c r="AI27" s="73"/>
      <c r="AJ27" s="245">
        <f>AG27-AA27*AI27</f>
        <v>9023.27</v>
      </c>
      <c r="AK27" s="301"/>
      <c r="AL27" s="302">
        <f>IF(OR(E27="да"), 4040, 0)</f>
        <v>0</v>
      </c>
      <c r="AM27" s="365">
        <f>IF(OR(D27="доп."), AA27*0.1, 0)</f>
        <v>0</v>
      </c>
      <c r="AN27" s="251"/>
      <c r="AO27" s="34"/>
      <c r="AP27" s="34"/>
      <c r="AQ27" s="34"/>
      <c r="AR27" s="34"/>
      <c r="AS27" s="34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</row>
    <row r="28" spans="1:95" s="77" customFormat="1" ht="38.25" x14ac:dyDescent="0.25">
      <c r="A28" s="241">
        <f>ROW(A28)-10</f>
        <v>18</v>
      </c>
      <c r="B28" s="335" t="s">
        <v>1970</v>
      </c>
      <c r="C28" s="241">
        <f>VLOOKUP(B28, Расстояния!B:J, 9, 0)</f>
        <v>66</v>
      </c>
      <c r="D28" s="242" t="str">
        <f>VLOOKUP(B28, Расстояния!B:K, 10, 0)</f>
        <v>осн.</v>
      </c>
      <c r="E28" s="242" t="str">
        <f>VLOOKUP(B28, Расстояния!B:F, 5, 0)</f>
        <v>нет</v>
      </c>
      <c r="F28" s="290"/>
      <c r="G28" s="305"/>
      <c r="H28" s="345">
        <v>46100.59238425926</v>
      </c>
      <c r="I28" s="345">
        <v>46100.628946759258</v>
      </c>
      <c r="J28" s="303" t="s">
        <v>4156</v>
      </c>
      <c r="K28" s="332"/>
      <c r="L28" s="292" t="s">
        <v>296</v>
      </c>
      <c r="M28" s="241" t="str">
        <f>VLOOKUP(L28, Работы!A:B, 2, 0)</f>
        <v>Техническое обслуживание БС</v>
      </c>
      <c r="N28" s="330" t="s">
        <v>298</v>
      </c>
      <c r="O28" s="298">
        <v>1</v>
      </c>
      <c r="P28" s="248">
        <f>IF(OR(L28="3.3.1.", L28="3.3.2.", L28="3.3.3.", L28="3.1.1.", L28="3.1.2.", L28="3.4.1.", L28="3.4.2."), 0, VLOOKUP(L28, Работы!$A$3:$D$184, 4, 0))</f>
        <v>4143</v>
      </c>
      <c r="Q28" s="243"/>
      <c r="R28" s="243"/>
      <c r="S28" s="243"/>
      <c r="T28" s="244">
        <f>IF(OR(L28="3.3.1.", L28="3.3.2.", L28="3.3.3."), VLOOKUP(L28, Работы!$A$3:$D$184, 4, 0), 0)</f>
        <v>0</v>
      </c>
      <c r="U28" s="246">
        <f>IF(OR(L28="3.1.1."), VLOOKUP(L28, Работы!$A$3:$D$184, 4, 0), 0)</f>
        <v>0</v>
      </c>
      <c r="V28" s="246">
        <f>IF(OR(L28="3.1.2."), VLOOKUP(L28, Работы!$A$3:$D$184, 4, 0), 0)</f>
        <v>0</v>
      </c>
      <c r="W28" s="246"/>
      <c r="X28" s="246"/>
      <c r="Y28" s="247">
        <f>IF(OR(L28="3.2.1.", L28="3.2.2."), VLOOKUP(L28, Работы!$A$3:$D$184, 4, 0), 0)</f>
        <v>0</v>
      </c>
      <c r="Z28" s="247">
        <f>IF(OR(L28="3.4.1.", L28="3.4.2."), VLOOKUP(L28, Работы!$A$3:$D$184, 4, 0), 0)</f>
        <v>0</v>
      </c>
      <c r="AA28" s="68">
        <f>P28*O28+Q28*T28+R28*T28+S28*T28+U28+V28+W28*Y28+X28*Y28+Z28</f>
        <v>4143</v>
      </c>
      <c r="AB28" s="69"/>
      <c r="AC28" s="70"/>
      <c r="AD28" s="70"/>
      <c r="AE28" s="69">
        <f>AC28*AD28</f>
        <v>0</v>
      </c>
      <c r="AF28" s="71">
        <f>C28*Работы!$D$180</f>
        <v>3551.46</v>
      </c>
      <c r="AG28" s="68">
        <f>AA28+AE28+AF28+AL28+AM28</f>
        <v>7694.46</v>
      </c>
      <c r="AH28" s="72"/>
      <c r="AI28" s="73"/>
      <c r="AJ28" s="245">
        <f>AG28-AA28*AI28</f>
        <v>7694.46</v>
      </c>
      <c r="AK28" s="251"/>
      <c r="AL28" s="302">
        <f>IF(OR(E28="да"), 4040, 0)</f>
        <v>0</v>
      </c>
      <c r="AM28" s="365">
        <f>IF(OR(D28="доп."), AA28*0.1, 0)</f>
        <v>0</v>
      </c>
      <c r="AN28" s="251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</row>
    <row r="29" spans="1:95" s="77" customFormat="1" ht="51" x14ac:dyDescent="0.25">
      <c r="A29" s="241">
        <f>ROW(A29)-10</f>
        <v>19</v>
      </c>
      <c r="B29" s="335" t="s">
        <v>1974</v>
      </c>
      <c r="C29" s="241">
        <f>VLOOKUP(B29, Расстояния!B:J, 9, 0)</f>
        <v>68</v>
      </c>
      <c r="D29" s="242" t="str">
        <f>VLOOKUP(B29, Расстояния!B:K, 10, 0)</f>
        <v>осн.</v>
      </c>
      <c r="E29" s="242" t="str">
        <f>VLOOKUP(B29, Расстояния!B:F, 5, 0)</f>
        <v>нет</v>
      </c>
      <c r="F29" s="290" t="s">
        <v>4281</v>
      </c>
      <c r="G29" s="305">
        <v>46091.591666666667</v>
      </c>
      <c r="H29" s="305">
        <v>46092.388194444444</v>
      </c>
      <c r="I29" s="305">
        <v>46092.470833333333</v>
      </c>
      <c r="J29" s="303" t="s">
        <v>4047</v>
      </c>
      <c r="K29" s="332"/>
      <c r="L29" s="292" t="s">
        <v>66</v>
      </c>
      <c r="M29" s="241" t="str">
        <f>VLOOKUP(L29, Работы!A:B, 2, 0)</f>
        <v>Изменение механического угла наклона или азимута одной антенны</v>
      </c>
      <c r="N29" s="346" t="s">
        <v>4298</v>
      </c>
      <c r="O29" s="298">
        <v>1</v>
      </c>
      <c r="P29" s="248">
        <f>IF(OR(L29="3.3.1.", L29="3.3.2.", L29="3.3.3.", L29="3.1.1.", L29="3.1.2.", L29="3.4.1.", L29="3.4.2."), 0, VLOOKUP(L29, Работы!$A$3:$D$184, 4, 0))</f>
        <v>2085</v>
      </c>
      <c r="Q29" s="243"/>
      <c r="R29" s="243"/>
      <c r="S29" s="243"/>
      <c r="T29" s="244">
        <f>IF(OR(L29="3.3.1.", L29="3.3.2.", L29="3.3.3."), VLOOKUP(L29, Работы!$A$3:$D$184, 4, 0), 0)</f>
        <v>0</v>
      </c>
      <c r="U29" s="246">
        <f>IF(OR(L29="3.1.1."), VLOOKUP(L29, Работы!$A$3:$D$184, 4, 0), 0)</f>
        <v>0</v>
      </c>
      <c r="V29" s="246">
        <f>IF(OR(L29="3.1.2."), VLOOKUP(L29, Работы!$A$3:$D$184, 4, 0), 0)</f>
        <v>0</v>
      </c>
      <c r="W29" s="246"/>
      <c r="X29" s="246"/>
      <c r="Y29" s="247">
        <f>IF(OR(L29="3.2.1.", L29="3.2.2."), VLOOKUP(L29, Работы!$A$3:$D$184, 4, 0), 0)</f>
        <v>0</v>
      </c>
      <c r="Z29" s="247">
        <f>IF(OR(L29="3.4.1.", L29="3.4.2."), VLOOKUP(L29, Работы!$A$3:$D$184, 4, 0), 0)</f>
        <v>0</v>
      </c>
      <c r="AA29" s="68">
        <f>P29*O29+Q29*T29+R29*T29+S29*T29+U29+V29+W29*Y29+X29*Y29+Z29</f>
        <v>2085</v>
      </c>
      <c r="AB29" s="69"/>
      <c r="AC29" s="70"/>
      <c r="AD29" s="70"/>
      <c r="AE29" s="69">
        <f>AC29*AD29</f>
        <v>0</v>
      </c>
      <c r="AF29" s="71">
        <f>C29*Работы!$D$180</f>
        <v>3659.08</v>
      </c>
      <c r="AG29" s="68">
        <f>AA29+AE29+AF29+AL29+AM29</f>
        <v>5744.08</v>
      </c>
      <c r="AH29" s="72"/>
      <c r="AI29" s="73"/>
      <c r="AJ29" s="245">
        <f>AG29-AA29*AI29</f>
        <v>5744.08</v>
      </c>
      <c r="AK29" s="301"/>
      <c r="AL29" s="302">
        <f>IF(OR(E29="да"), 4040, 0)</f>
        <v>0</v>
      </c>
      <c r="AM29" s="365">
        <f>IF(OR(D29="доп."), AA29*0.1, 0)</f>
        <v>0</v>
      </c>
      <c r="AN29" s="251"/>
      <c r="AO29" s="34"/>
      <c r="AP29" s="34"/>
      <c r="AQ29" s="34"/>
      <c r="AR29" s="34"/>
      <c r="AS29" s="34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</row>
    <row r="30" spans="1:95" s="77" customFormat="1" ht="38.25" x14ac:dyDescent="0.25">
      <c r="A30" s="241">
        <f>ROW(A30)-10</f>
        <v>20</v>
      </c>
      <c r="B30" s="335" t="s">
        <v>1974</v>
      </c>
      <c r="C30" s="241">
        <v>0</v>
      </c>
      <c r="D30" s="242" t="str">
        <f>VLOOKUP(B30, Расстояния!B:K, 10, 0)</f>
        <v>осн.</v>
      </c>
      <c r="E30" s="242" t="str">
        <f>VLOOKUP(B30, Расстояния!B:F, 5, 0)</f>
        <v>нет</v>
      </c>
      <c r="F30" s="290" t="s">
        <v>4281</v>
      </c>
      <c r="G30" s="305">
        <v>46091.591666666667</v>
      </c>
      <c r="H30" s="305">
        <v>46092.388194444444</v>
      </c>
      <c r="I30" s="305">
        <v>46092.470833333333</v>
      </c>
      <c r="J30" s="303" t="s">
        <v>4047</v>
      </c>
      <c r="K30" s="332"/>
      <c r="L30" s="292" t="s">
        <v>66</v>
      </c>
      <c r="M30" s="241" t="str">
        <f>VLOOKUP(L30, Работы!A:B, 2, 0)</f>
        <v>Изменение механического угла наклона или азимута одной антенны</v>
      </c>
      <c r="N30" s="346" t="s">
        <v>4275</v>
      </c>
      <c r="O30" s="298">
        <v>1</v>
      </c>
      <c r="P30" s="248">
        <f>IF(OR(L30="3.3.1.", L30="3.3.2.", L30="3.3.3.", L30="3.1.1.", L30="3.1.2.", L30="3.4.1.", L30="3.4.2."), 0, VLOOKUP(L30, Работы!$A$3:$D$184, 4, 0))</f>
        <v>2085</v>
      </c>
      <c r="Q30" s="243"/>
      <c r="R30" s="243"/>
      <c r="S30" s="243"/>
      <c r="T30" s="244">
        <f>IF(OR(L30="3.3.1.", L30="3.3.2.", L30="3.3.3."), VLOOKUP(L30, Работы!$A$3:$D$184, 4, 0), 0)</f>
        <v>0</v>
      </c>
      <c r="U30" s="246">
        <f>IF(OR(L30="3.1.1."), VLOOKUP(L30, Работы!$A$3:$D$184, 4, 0), 0)</f>
        <v>0</v>
      </c>
      <c r="V30" s="246">
        <f>IF(OR(L30="3.1.2."), VLOOKUP(L30, Работы!$A$3:$D$184, 4, 0), 0)</f>
        <v>0</v>
      </c>
      <c r="W30" s="246"/>
      <c r="X30" s="246"/>
      <c r="Y30" s="247">
        <f>IF(OR(L30="3.2.1.", L30="3.2.2."), VLOOKUP(L30, Работы!$A$3:$D$184, 4, 0), 0)</f>
        <v>0</v>
      </c>
      <c r="Z30" s="247">
        <f>IF(OR(L30="3.4.1.", L30="3.4.2."), VLOOKUP(L30, Работы!$A$3:$D$184, 4, 0), 0)</f>
        <v>0</v>
      </c>
      <c r="AA30" s="68">
        <f>P30*O30+Q30*T30+R30*T30+S30*T30+U30+V30+W30*Y30+X30*Y30+Z30</f>
        <v>2085</v>
      </c>
      <c r="AB30" s="69"/>
      <c r="AC30" s="70"/>
      <c r="AD30" s="70"/>
      <c r="AE30" s="69">
        <f>AC30*AD30</f>
        <v>0</v>
      </c>
      <c r="AF30" s="71">
        <f>C30*Работы!$D$180</f>
        <v>0</v>
      </c>
      <c r="AG30" s="68">
        <f>AA30+AE30+AF30+AL30+AM30</f>
        <v>2085</v>
      </c>
      <c r="AH30" s="72"/>
      <c r="AI30" s="73"/>
      <c r="AJ30" s="245">
        <f>AG30-AA30*AI30</f>
        <v>2085</v>
      </c>
      <c r="AK30" s="301"/>
      <c r="AL30" s="302">
        <f>IF(OR(E30="да"), 4040, 0)</f>
        <v>0</v>
      </c>
      <c r="AM30" s="365">
        <f>IF(OR(D30="доп."), AA30*0.1, 0)</f>
        <v>0</v>
      </c>
      <c r="AN30" s="1287"/>
      <c r="AO30" s="34"/>
      <c r="AP30" s="34"/>
      <c r="AQ30" s="34"/>
      <c r="AR30" s="34"/>
      <c r="AS30" s="34"/>
      <c r="AT30" s="370"/>
      <c r="AU30" s="370"/>
      <c r="AV30" s="370"/>
      <c r="AW30" s="370"/>
      <c r="AX30" s="370"/>
      <c r="AY30" s="370"/>
      <c r="AZ30" s="370"/>
      <c r="BA30" s="370"/>
      <c r="BB30" s="370"/>
      <c r="BC30" s="370"/>
      <c r="BD30" s="370"/>
      <c r="BE30" s="370"/>
      <c r="BF30" s="370"/>
      <c r="BG30" s="370"/>
      <c r="BH30" s="370"/>
      <c r="BI30" s="370"/>
      <c r="BJ30" s="370"/>
      <c r="BK30" s="370"/>
      <c r="BL30" s="370"/>
      <c r="BM30" s="370"/>
      <c r="BN30" s="370"/>
      <c r="BO30" s="370"/>
      <c r="BP30" s="370"/>
      <c r="BQ30" s="370"/>
      <c r="BR30" s="370"/>
      <c r="BS30" s="370"/>
      <c r="BT30" s="370"/>
      <c r="BU30" s="370"/>
      <c r="BV30" s="370"/>
      <c r="BW30" s="370"/>
      <c r="BX30" s="370"/>
      <c r="BY30" s="370"/>
      <c r="BZ30" s="370"/>
      <c r="CA30" s="370"/>
      <c r="CB30" s="370"/>
      <c r="CC30" s="370"/>
      <c r="CD30" s="370"/>
      <c r="CE30" s="370"/>
      <c r="CF30" s="370"/>
      <c r="CG30" s="370"/>
      <c r="CH30" s="370"/>
      <c r="CI30" s="370"/>
      <c r="CJ30" s="370"/>
      <c r="CK30" s="370"/>
      <c r="CL30" s="370"/>
      <c r="CM30" s="370"/>
      <c r="CN30" s="370"/>
      <c r="CO30" s="370"/>
      <c r="CP30" s="370"/>
      <c r="CQ30" s="370"/>
    </row>
    <row r="31" spans="1:95" s="77" customFormat="1" ht="38.25" x14ac:dyDescent="0.25">
      <c r="A31" s="241">
        <f>ROW(A31)-10</f>
        <v>21</v>
      </c>
      <c r="B31" s="335" t="s">
        <v>1974</v>
      </c>
      <c r="C31" s="241">
        <v>0</v>
      </c>
      <c r="D31" s="242" t="str">
        <f>VLOOKUP(B31, Расстояния!B:K, 10, 0)</f>
        <v>осн.</v>
      </c>
      <c r="E31" s="242" t="str">
        <f>VLOOKUP(B31, Расстояния!B:F, 5, 0)</f>
        <v>нет</v>
      </c>
      <c r="F31" s="290" t="s">
        <v>4281</v>
      </c>
      <c r="G31" s="305">
        <v>46091.591666666667</v>
      </c>
      <c r="H31" s="305">
        <v>46092.388194444444</v>
      </c>
      <c r="I31" s="305">
        <v>46092.470833333333</v>
      </c>
      <c r="J31" s="303" t="s">
        <v>4047</v>
      </c>
      <c r="K31" s="332"/>
      <c r="L31" s="250"/>
      <c r="M31" s="241"/>
      <c r="N31" s="330"/>
      <c r="O31" s="298"/>
      <c r="P31" s="248"/>
      <c r="Q31" s="243"/>
      <c r="R31" s="243"/>
      <c r="S31" s="243"/>
      <c r="T31" s="244">
        <f>IF(OR(L31="3.3.1.", L31="3.3.2.", L31="3.3.3."), VLOOKUP(L31, Работы!$A$3:$D$184, 4, 0), 0)</f>
        <v>0</v>
      </c>
      <c r="U31" s="246">
        <f>IF(OR(L31="3.1.1."), VLOOKUP(L31, Работы!$A$3:$D$184, 4, 0), 0)</f>
        <v>0</v>
      </c>
      <c r="V31" s="246">
        <f>IF(OR(L31="3.1.2."), VLOOKUP(L31, Работы!$A$3:$D$184, 4, 0), 0)</f>
        <v>0</v>
      </c>
      <c r="W31" s="246"/>
      <c r="X31" s="246"/>
      <c r="Y31" s="247">
        <f>IF(OR(L31="3.2.1.", L31="3.2.2."), VLOOKUP(L31, Работы!$A$3:$D$184, 4, 0), 0)</f>
        <v>0</v>
      </c>
      <c r="Z31" s="247">
        <f>IF(OR(L31="3.4.1.", L31="3.4.2."), VLOOKUP(L31, Работы!$A$3:$D$184, 4, 0), 0)</f>
        <v>0</v>
      </c>
      <c r="AA31" s="68">
        <f>P31*O31+Q31*T31+R31*T31+S31*T31+U31+V31+W31*Y31+X31*Y31+Z31</f>
        <v>0</v>
      </c>
      <c r="AB31" s="69" t="s">
        <v>4276</v>
      </c>
      <c r="AC31" s="70">
        <v>1</v>
      </c>
      <c r="AD31" s="70">
        <v>18000</v>
      </c>
      <c r="AE31" s="69">
        <f>AC31*AD31</f>
        <v>18000</v>
      </c>
      <c r="AF31" s="71">
        <f>C31*Работы!$D$180</f>
        <v>0</v>
      </c>
      <c r="AG31" s="68">
        <f>AA31+AE31+AF31+AL31+AM31</f>
        <v>18000</v>
      </c>
      <c r="AH31" s="72"/>
      <c r="AI31" s="73"/>
      <c r="AJ31" s="245">
        <f>AG31-AA31*AI31</f>
        <v>18000</v>
      </c>
      <c r="AK31" s="301"/>
      <c r="AL31" s="302">
        <f>IF(OR(E31="да"), 4040, 0)</f>
        <v>0</v>
      </c>
      <c r="AM31" s="365">
        <f>IF(OR(D31="доп."), AA31*0.1, 0)</f>
        <v>0</v>
      </c>
      <c r="AN31" s="1287"/>
      <c r="AO31" s="34"/>
      <c r="AP31" s="34"/>
      <c r="AQ31" s="34"/>
      <c r="AR31" s="34"/>
      <c r="AS31" s="34"/>
      <c r="AT31" s="370"/>
      <c r="AU31" s="370"/>
      <c r="AV31" s="370"/>
      <c r="AW31" s="370"/>
      <c r="AX31" s="370"/>
      <c r="AY31" s="370"/>
      <c r="AZ31" s="370"/>
      <c r="BA31" s="370"/>
      <c r="BB31" s="370"/>
      <c r="BC31" s="370"/>
      <c r="BD31" s="370"/>
      <c r="BE31" s="370"/>
      <c r="BF31" s="370"/>
      <c r="BG31" s="370"/>
      <c r="BH31" s="370"/>
      <c r="BI31" s="370"/>
      <c r="BJ31" s="370"/>
      <c r="BK31" s="370"/>
      <c r="BL31" s="370"/>
      <c r="BM31" s="370"/>
      <c r="BN31" s="370"/>
      <c r="BO31" s="370"/>
      <c r="BP31" s="370"/>
      <c r="BQ31" s="370"/>
      <c r="BR31" s="370"/>
      <c r="BS31" s="370"/>
      <c r="BT31" s="370"/>
      <c r="BU31" s="370"/>
      <c r="BV31" s="370"/>
      <c r="BW31" s="370"/>
      <c r="BX31" s="370"/>
      <c r="BY31" s="370"/>
      <c r="BZ31" s="370"/>
      <c r="CA31" s="370"/>
      <c r="CB31" s="370"/>
      <c r="CC31" s="370"/>
      <c r="CD31" s="370"/>
      <c r="CE31" s="370"/>
      <c r="CF31" s="370"/>
      <c r="CG31" s="370"/>
      <c r="CH31" s="370"/>
      <c r="CI31" s="370"/>
      <c r="CJ31" s="370"/>
      <c r="CK31" s="370"/>
      <c r="CL31" s="370"/>
      <c r="CM31" s="370"/>
      <c r="CN31" s="370"/>
      <c r="CO31" s="370"/>
      <c r="CP31" s="370"/>
      <c r="CQ31" s="370"/>
    </row>
    <row r="32" spans="1:95" s="77" customFormat="1" ht="102" x14ac:dyDescent="0.25">
      <c r="A32" s="241">
        <f>ROW(A32)-10</f>
        <v>22</v>
      </c>
      <c r="B32" s="335" t="s">
        <v>2395</v>
      </c>
      <c r="C32" s="241">
        <f>VLOOKUP(B32, Расстояния!B:J, 9, 0)</f>
        <v>65</v>
      </c>
      <c r="D32" s="242" t="str">
        <f>VLOOKUP(B32, Расстояния!B:K, 10, 0)</f>
        <v>осн.</v>
      </c>
      <c r="E32" s="242" t="str">
        <f>VLOOKUP(B32, Расстояния!B:F, 5, 0)</f>
        <v>нет</v>
      </c>
      <c r="F32" s="290" t="s">
        <v>4137</v>
      </c>
      <c r="G32" s="305">
        <v>46098.491666666669</v>
      </c>
      <c r="H32" s="345">
        <v>46098.540972222225</v>
      </c>
      <c r="I32" s="345">
        <v>46098.731249999997</v>
      </c>
      <c r="J32" s="304" t="s">
        <v>3883</v>
      </c>
      <c r="K32" s="332"/>
      <c r="L32" s="292" t="s">
        <v>367</v>
      </c>
      <c r="M32" s="241" t="str">
        <f>VLOOKUP(L32,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32" s="330" t="s">
        <v>3843</v>
      </c>
      <c r="O32" s="298"/>
      <c r="P32" s="248">
        <f>IF(OR(L32="3.3.1.", L32="3.3.2.", L32="3.3.3.", L32="3.1.1.", L32="3.1.2.", L32="3.4.1.", L32="3.4.2."), 0, VLOOKUP(L32, Работы!$A$3:$D$184, 4, 0))</f>
        <v>0</v>
      </c>
      <c r="Q32" s="243">
        <f>ROUNDUP((I32-H32)*24, 0)</f>
        <v>5</v>
      </c>
      <c r="R32" s="243"/>
      <c r="S32" s="243"/>
      <c r="T32" s="244">
        <f>IF(OR(L32="3.3.1.", L32="3.3.2.", L32="3.3.3."), VLOOKUP(L32, Работы!$A$3:$D$184, 4, 0), 0)</f>
        <v>903</v>
      </c>
      <c r="U32" s="246">
        <f>IF(OR(L32="3.1.1."), VLOOKUP(L32, Работы!$A$3:$D$184, 4, 0), 0)</f>
        <v>0</v>
      </c>
      <c r="V32" s="246">
        <f>IF(OR(L32="3.1.2."), VLOOKUP(L32, Работы!$A$3:$D$184, 4, 0), 0)</f>
        <v>0</v>
      </c>
      <c r="W32" s="246"/>
      <c r="X32" s="246"/>
      <c r="Y32" s="247">
        <f>IF(OR(L32="3.2.1.", L32="3.2.2."), VLOOKUP(L32, Работы!$A$3:$D$184, 4, 0), 0)</f>
        <v>0</v>
      </c>
      <c r="Z32" s="247">
        <f>IF(OR(L32="3.4.1.", L32="3.4.2."), VLOOKUP(L32, Работы!$A$3:$D$184, 4, 0), 0)</f>
        <v>0</v>
      </c>
      <c r="AA32" s="68">
        <f>P32*O32+Q32*T32+R32*T32+S32*T32+U32+V32+W32*Y32+X32*Y32+Z32</f>
        <v>4515</v>
      </c>
      <c r="AB32" s="69"/>
      <c r="AC32" s="70"/>
      <c r="AD32" s="70"/>
      <c r="AE32" s="69">
        <f>AC32*AD32</f>
        <v>0</v>
      </c>
      <c r="AF32" s="71">
        <f>C32*Работы!$D$180</f>
        <v>3497.65</v>
      </c>
      <c r="AG32" s="68">
        <f>AA32+AE32+AF32+AL32+AM32</f>
        <v>8012.65</v>
      </c>
      <c r="AH32" s="72"/>
      <c r="AI32" s="73"/>
      <c r="AJ32" s="245">
        <f>AG32-AA32*AI32</f>
        <v>8012.65</v>
      </c>
      <c r="AK32" s="251"/>
      <c r="AL32" s="302">
        <f>IF(OR(E32="да"), 4040, 0)</f>
        <v>0</v>
      </c>
      <c r="AM32" s="365">
        <f>IF(OR(D32="доп."), AA32*0.1, 0)</f>
        <v>0</v>
      </c>
      <c r="AN32" s="251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</row>
    <row r="33" spans="1:95" s="75" customFormat="1" ht="102" x14ac:dyDescent="0.25">
      <c r="A33" s="241">
        <f>ROW(A33)-10</f>
        <v>23</v>
      </c>
      <c r="B33" s="361" t="s">
        <v>2395</v>
      </c>
      <c r="C33" s="241">
        <f>VLOOKUP(B33, Расстояния!B:J, 9, 0)</f>
        <v>65</v>
      </c>
      <c r="D33" s="242" t="str">
        <f>VLOOKUP(B33, Расстояния!B:K, 10, 0)</f>
        <v>осн.</v>
      </c>
      <c r="E33" s="242" t="str">
        <f>VLOOKUP(B33, Расстояния!B:F, 5, 0)</f>
        <v>нет</v>
      </c>
      <c r="F33" s="290" t="s">
        <v>4139</v>
      </c>
      <c r="G33" s="305">
        <v>46099.560416666667</v>
      </c>
      <c r="H33" s="345">
        <v>46099.600694444445</v>
      </c>
      <c r="I33" s="345">
        <v>46099.614583333336</v>
      </c>
      <c r="J33" s="304" t="s">
        <v>3883</v>
      </c>
      <c r="K33" s="332"/>
      <c r="L33" s="250" t="s">
        <v>367</v>
      </c>
      <c r="M33" s="241" t="str">
        <f>VLOOKUP(L33,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33" s="330" t="s">
        <v>3843</v>
      </c>
      <c r="O33" s="298"/>
      <c r="P33" s="248">
        <f>IF(OR(L33="3.3.1.", L33="3.3.2.", L33="3.3.3.", L33="3.1.1.", L33="3.1.2.", L33="3.4.1.", L33="3.4.2."), 0, VLOOKUP(L33, Работы!$A$3:$D$184, 4, 0))</f>
        <v>0</v>
      </c>
      <c r="Q33" s="243">
        <f>ROUNDUP((I33-H33)*24, 0)</f>
        <v>1</v>
      </c>
      <c r="R33" s="243"/>
      <c r="S33" s="243"/>
      <c r="T33" s="244">
        <f>IF(OR(L33="3.3.1.", L33="3.3.2.", L33="3.3.3."), VLOOKUP(L33, Работы!$A$3:$D$184, 4, 0), 0)</f>
        <v>903</v>
      </c>
      <c r="U33" s="246">
        <f>IF(OR(L33="3.1.1."), VLOOKUP(L33, Работы!$A$3:$D$184, 4, 0), 0)</f>
        <v>0</v>
      </c>
      <c r="V33" s="246">
        <f>IF(OR(L33="3.1.2."), VLOOKUP(L33, Работы!$A$3:$D$184, 4, 0), 0)</f>
        <v>0</v>
      </c>
      <c r="W33" s="246"/>
      <c r="X33" s="246"/>
      <c r="Y33" s="247">
        <f>IF(OR(L33="3.2.1.", L33="3.2.2."), VLOOKUP(L33, Работы!$A$3:$D$184, 4, 0), 0)</f>
        <v>0</v>
      </c>
      <c r="Z33" s="247">
        <f>IF(OR(L33="3.4.1.", L33="3.4.2."), VLOOKUP(L33, Работы!$A$3:$D$184, 4, 0), 0)</f>
        <v>0</v>
      </c>
      <c r="AA33" s="68">
        <f>P33*O33+Q33*T33+R33*T33+S33*T33+U33+V33+W33*Y33+X33*Y33+Z33</f>
        <v>903</v>
      </c>
      <c r="AB33" s="69"/>
      <c r="AC33" s="70"/>
      <c r="AD33" s="70"/>
      <c r="AE33" s="69">
        <f>AC33*AD33</f>
        <v>0</v>
      </c>
      <c r="AF33" s="71">
        <f>C33*Работы!$D$180</f>
        <v>3497.65</v>
      </c>
      <c r="AG33" s="68">
        <f>AA33+AE33+AF33+AL33+AM33</f>
        <v>4400.6499999999996</v>
      </c>
      <c r="AH33" s="72"/>
      <c r="AI33" s="73"/>
      <c r="AJ33" s="245">
        <f>AG33-AA33*AI33</f>
        <v>4400.6499999999996</v>
      </c>
      <c r="AK33" s="251"/>
      <c r="AL33" s="302">
        <f>IF(OR(E33="да"), 4040, 0)</f>
        <v>0</v>
      </c>
      <c r="AM33" s="365">
        <f>IF(OR(D33="доп."), AA33*0.1, 0)</f>
        <v>0</v>
      </c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</row>
    <row r="34" spans="1:95" s="75" customFormat="1" ht="51" x14ac:dyDescent="0.25">
      <c r="A34" s="241">
        <f>ROW(A34)-10</f>
        <v>24</v>
      </c>
      <c r="B34" s="361" t="s">
        <v>1998</v>
      </c>
      <c r="C34" s="241">
        <f>VLOOKUP(B34, Расстояния!B:J, 9, 0)</f>
        <v>66</v>
      </c>
      <c r="D34" s="242" t="str">
        <f>VLOOKUP(B34, Расстояния!B:K, 10, 0)</f>
        <v>осн.</v>
      </c>
      <c r="E34" s="242" t="str">
        <f>VLOOKUP(B34, Расстояния!B:F, 5, 0)</f>
        <v>нет</v>
      </c>
      <c r="F34" s="290" t="s">
        <v>4180</v>
      </c>
      <c r="G34" s="305">
        <v>46108.376388888886</v>
      </c>
      <c r="H34" s="345">
        <v>46108.413888888892</v>
      </c>
      <c r="I34" s="345">
        <v>46108.761111111111</v>
      </c>
      <c r="J34" s="303" t="s">
        <v>4164</v>
      </c>
      <c r="K34" s="332"/>
      <c r="L34" s="250" t="s">
        <v>321</v>
      </c>
      <c r="M34" s="241" t="str">
        <f>VLOOKUP(L34, Работы!A:B, 2, 0)</f>
        <v>Стоимость аварийно-восстановительных работ, заявка по которым получена в течение рабочего времени</v>
      </c>
      <c r="N34" s="330" t="s">
        <v>4250</v>
      </c>
      <c r="O34" s="298"/>
      <c r="P34" s="248">
        <f>IF(OR(L34="3.3.1.", L34="3.3.2.", L34="3.3.3.", L34="3.1.1.", L34="3.1.2.", L34="3.4.1.", L34="3.4.2."), 0, VLOOKUP(L34, Работы!$A$3:$D$184, 4, 0))</f>
        <v>0</v>
      </c>
      <c r="Q34" s="243"/>
      <c r="R34" s="243"/>
      <c r="S34" s="243"/>
      <c r="T34" s="244">
        <f>IF(OR(L34="3.3.1.", L34="3.3.2.", L34="3.3.3."), VLOOKUP(L34, Работы!$A$3:$D$184, 4, 0), 0)</f>
        <v>0</v>
      </c>
      <c r="U34" s="246">
        <f>IF(OR(L34="3.1.1."), VLOOKUP(L34, Работы!$A$3:$D$184, 4, 0), 0)</f>
        <v>3956</v>
      </c>
      <c r="V34" s="246">
        <f>IF(OR(L34="3.1.2."), VLOOKUP(L34, Работы!$A$3:$D$184, 4, 0), 0)</f>
        <v>0</v>
      </c>
      <c r="W34" s="246"/>
      <c r="X34" s="246"/>
      <c r="Y34" s="247">
        <f>IF(OR(L34="3.2.1.", L34="3.2.2."), VLOOKUP(L34, Работы!$A$3:$D$184, 4, 0), 0)</f>
        <v>0</v>
      </c>
      <c r="Z34" s="247">
        <f>IF(OR(L34="3.4.1.", L34="3.4.2."), VLOOKUP(L34, Работы!$A$3:$D$184, 4, 0), 0)</f>
        <v>0</v>
      </c>
      <c r="AA34" s="68">
        <f>P34*O34+Q34*T34+R34*T34+S34*T34+U34+V34+W34*Y34+X34*Y34+Z34</f>
        <v>3956</v>
      </c>
      <c r="AB34" s="69"/>
      <c r="AC34" s="70"/>
      <c r="AD34" s="70"/>
      <c r="AE34" s="69">
        <f>AC34*AD34</f>
        <v>0</v>
      </c>
      <c r="AF34" s="71">
        <f>C34*Работы!$D$180</f>
        <v>3551.46</v>
      </c>
      <c r="AG34" s="68">
        <f>AA34+AE34+AF34+AL34+AM34</f>
        <v>7507.46</v>
      </c>
      <c r="AH34" s="72"/>
      <c r="AI34" s="73"/>
      <c r="AJ34" s="245">
        <f>AG34-AA34*AI34</f>
        <v>7507.46</v>
      </c>
      <c r="AK34" s="251"/>
      <c r="AL34" s="302">
        <f>IF(OR(E34="да"), 4040, 0)</f>
        <v>0</v>
      </c>
      <c r="AM34" s="365">
        <f>IF(OR(D34="доп."), AA34*0.1, 0)</f>
        <v>0</v>
      </c>
      <c r="AN34" s="251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</row>
    <row r="35" spans="1:95" s="75" customFormat="1" ht="38.25" x14ac:dyDescent="0.25">
      <c r="A35" s="241">
        <f>ROW(A35)-10</f>
        <v>25</v>
      </c>
      <c r="B35" s="361" t="s">
        <v>2022</v>
      </c>
      <c r="C35" s="241">
        <f>VLOOKUP(B35, Расстояния!B:J, 9, 0)</f>
        <v>67</v>
      </c>
      <c r="D35" s="242" t="str">
        <f>VLOOKUP(B35, Расстояния!B:K, 10, 0)</f>
        <v>осн.</v>
      </c>
      <c r="E35" s="242" t="str">
        <f>VLOOKUP(B35, Расстояния!B:F, 5, 0)</f>
        <v>нет</v>
      </c>
      <c r="F35" s="290"/>
      <c r="G35" s="305"/>
      <c r="H35" s="345">
        <v>46098.645833333336</v>
      </c>
      <c r="I35" s="345">
        <v>46098.67083333333</v>
      </c>
      <c r="J35" s="303" t="s">
        <v>4044</v>
      </c>
      <c r="K35" s="332"/>
      <c r="L35" s="292" t="s">
        <v>296</v>
      </c>
      <c r="M35" s="241" t="str">
        <f>VLOOKUP(L35, Работы!A:B, 2, 0)</f>
        <v>Техническое обслуживание БС</v>
      </c>
      <c r="N35" s="348" t="s">
        <v>298</v>
      </c>
      <c r="O35" s="298">
        <v>1</v>
      </c>
      <c r="P35" s="248">
        <f>IF(OR(L35="3.3.1.", L35="3.3.2.", L35="3.3.3.", L35="3.1.1.", L35="3.1.2.", L35="3.4.1.", L35="3.4.2."), 0, VLOOKUP(L35, Работы!$A$3:$D$184, 4, 0))</f>
        <v>4143</v>
      </c>
      <c r="Q35" s="243"/>
      <c r="R35" s="243"/>
      <c r="S35" s="243"/>
      <c r="T35" s="244">
        <f>IF(OR(L35="3.3.1.", L35="3.3.2.", L35="3.3.3."), VLOOKUP(L35, Работы!$A$3:$D$184, 4, 0), 0)</f>
        <v>0</v>
      </c>
      <c r="U35" s="246">
        <f>IF(OR(L35="3.1.1."), VLOOKUP(L35, Работы!$A$3:$D$184, 4, 0), 0)</f>
        <v>0</v>
      </c>
      <c r="V35" s="246">
        <f>IF(OR(L35="3.1.2."), VLOOKUP(L35, Работы!$A$3:$D$184, 4, 0), 0)</f>
        <v>0</v>
      </c>
      <c r="W35" s="246"/>
      <c r="X35" s="246"/>
      <c r="Y35" s="247">
        <f>IF(OR(L35="3.2.1.", L35="3.2.2."), VLOOKUP(L35, Работы!$A$3:$D$184, 4, 0), 0)</f>
        <v>0</v>
      </c>
      <c r="Z35" s="247">
        <f>IF(OR(L35="3.4.1.", L35="3.4.2."), VLOOKUP(L35, Работы!$A$3:$D$184, 4, 0), 0)</f>
        <v>0</v>
      </c>
      <c r="AA35" s="68">
        <f>P35*O35+Q35*T35+R35*T35+S35*T35+U35+V35+W35*Y35+X35*Y35+Z35</f>
        <v>4143</v>
      </c>
      <c r="AB35" s="299"/>
      <c r="AC35" s="300"/>
      <c r="AD35" s="300"/>
      <c r="AE35" s="69">
        <f>AC35*AD35</f>
        <v>0</v>
      </c>
      <c r="AF35" s="71">
        <f>C35*Работы!$D$180</f>
        <v>3605.27</v>
      </c>
      <c r="AG35" s="68">
        <f>AA35+AE35+AF35+AL35+AM35</f>
        <v>7748.27</v>
      </c>
      <c r="AH35" s="72"/>
      <c r="AI35" s="73"/>
      <c r="AJ35" s="245">
        <f>AG35-AA35*AI35</f>
        <v>7748.27</v>
      </c>
      <c r="AK35" s="251"/>
      <c r="AL35" s="302">
        <f>IF(OR(E35="да"), 4040, 0)</f>
        <v>0</v>
      </c>
      <c r="AM35" s="365">
        <f>IF(OR(D35="доп."), AA35*0.1, 0)</f>
        <v>0</v>
      </c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</row>
    <row r="36" spans="1:95" s="75" customFormat="1" ht="51" x14ac:dyDescent="0.25">
      <c r="A36" s="241">
        <f>ROW(A36)-10</f>
        <v>26</v>
      </c>
      <c r="B36" s="361" t="s">
        <v>2026</v>
      </c>
      <c r="C36" s="241">
        <f>VLOOKUP(B36, Расстояния!B:J, 9, 0)</f>
        <v>70</v>
      </c>
      <c r="D36" s="242" t="str">
        <f>VLOOKUP(B36, Расстояния!B:K, 10, 0)</f>
        <v>осн.</v>
      </c>
      <c r="E36" s="242" t="str">
        <f>VLOOKUP(B36, Расстояния!B:F, 5, 0)</f>
        <v>нет</v>
      </c>
      <c r="F36" s="290" t="s">
        <v>4179</v>
      </c>
      <c r="G36" s="305">
        <v>46107.473611111112</v>
      </c>
      <c r="H36" s="345">
        <v>46107.526388888888</v>
      </c>
      <c r="I36" s="345">
        <v>46107.717361111114</v>
      </c>
      <c r="J36" s="303" t="s">
        <v>4164</v>
      </c>
      <c r="K36" s="332"/>
      <c r="L36" s="250" t="s">
        <v>321</v>
      </c>
      <c r="M36" s="241" t="str">
        <f>VLOOKUP(L36, Работы!A:B, 2, 0)</f>
        <v>Стоимость аварийно-восстановительных работ, заявка по которым получена в течение рабочего времени</v>
      </c>
      <c r="N36" s="348" t="s">
        <v>4307</v>
      </c>
      <c r="O36" s="298"/>
      <c r="P36" s="248">
        <f>IF(OR(L36="3.3.1.", L36="3.3.2.", L36="3.3.3.", L36="3.1.1.", L36="3.1.2.", L36="3.4.1.", L36="3.4.2."), 0, VLOOKUP(L36, Работы!$A$3:$D$184, 4, 0))</f>
        <v>0</v>
      </c>
      <c r="Q36" s="243"/>
      <c r="R36" s="243"/>
      <c r="S36" s="243"/>
      <c r="T36" s="244">
        <f>IF(OR(L36="3.3.1.", L36="3.3.2.", L36="3.3.3."), VLOOKUP(L36, Работы!$A$3:$D$184, 4, 0), 0)</f>
        <v>0</v>
      </c>
      <c r="U36" s="246">
        <f>IF(OR(L36="3.1.1."), VLOOKUP(L36, Работы!$A$3:$D$184, 4, 0), 0)</f>
        <v>3956</v>
      </c>
      <c r="V36" s="246">
        <f>IF(OR(L36="3.1.2."), VLOOKUP(L36, Работы!$A$3:$D$184, 4, 0), 0)</f>
        <v>0</v>
      </c>
      <c r="W36" s="246"/>
      <c r="X36" s="246"/>
      <c r="Y36" s="247">
        <f>IF(OR(L36="3.2.1.", L36="3.2.2."), VLOOKUP(L36, Работы!$A$3:$D$184, 4, 0), 0)</f>
        <v>0</v>
      </c>
      <c r="Z36" s="247">
        <f>IF(OR(L36="3.4.1.", L36="3.4.2."), VLOOKUP(L36, Работы!$A$3:$D$184, 4, 0), 0)</f>
        <v>0</v>
      </c>
      <c r="AA36" s="68">
        <f>P36*O36+Q36*T36+R36*T36+S36*T36+U36+V36+W36*Y36+X36*Y36+Z36</f>
        <v>3956</v>
      </c>
      <c r="AB36" s="299"/>
      <c r="AC36" s="300"/>
      <c r="AD36" s="300"/>
      <c r="AE36" s="69">
        <f>AC36*AD36</f>
        <v>0</v>
      </c>
      <c r="AF36" s="71">
        <f>C36*Работы!$D$180</f>
        <v>3766.7000000000003</v>
      </c>
      <c r="AG36" s="68">
        <f>AA36+AE36+AF36+AL36+AM36</f>
        <v>7722.7000000000007</v>
      </c>
      <c r="AH36" s="72"/>
      <c r="AI36" s="73"/>
      <c r="AJ36" s="245">
        <f>AG36-AA36*AI36</f>
        <v>7722.7000000000007</v>
      </c>
      <c r="AK36" s="251"/>
      <c r="AL36" s="302">
        <f>IF(OR(E36="да"), 4040, 0)</f>
        <v>0</v>
      </c>
      <c r="AM36" s="365">
        <f>IF(OR(D36="доп."), AA36*0.1, 0)</f>
        <v>0</v>
      </c>
      <c r="AN36" s="1287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</row>
    <row r="37" spans="1:95" s="75" customFormat="1" ht="102" x14ac:dyDescent="0.25">
      <c r="A37" s="241">
        <f>ROW(A37)-10</f>
        <v>27</v>
      </c>
      <c r="B37" s="361" t="s">
        <v>2162</v>
      </c>
      <c r="C37" s="241">
        <f>VLOOKUP(B37, Расстояния!B:J, 9, 0)</f>
        <v>69</v>
      </c>
      <c r="D37" s="242" t="str">
        <f>VLOOKUP(B37, Расстояния!B:K, 10, 0)</f>
        <v>осн.</v>
      </c>
      <c r="E37" s="242" t="str">
        <f>VLOOKUP(B37, Расстояния!B:F, 5, 0)</f>
        <v>нет</v>
      </c>
      <c r="F37" s="290" t="s">
        <v>4140</v>
      </c>
      <c r="G37" s="305">
        <v>46100.369444444441</v>
      </c>
      <c r="H37" s="345">
        <v>46100.406944444447</v>
      </c>
      <c r="I37" s="345">
        <v>46100.548611111109</v>
      </c>
      <c r="J37" s="304" t="s">
        <v>3883</v>
      </c>
      <c r="K37" s="332"/>
      <c r="L37" s="250" t="s">
        <v>367</v>
      </c>
      <c r="M37" s="241" t="str">
        <f>VLOOKUP(L37,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37" s="348" t="s">
        <v>3843</v>
      </c>
      <c r="O37" s="298"/>
      <c r="P37" s="248">
        <f>IF(OR(L37="3.3.1.", L37="3.3.2.", L37="3.3.3.", L37="3.1.1.", L37="3.1.2.", L37="3.4.1.", L37="3.4.2."), 0, VLOOKUP(L37, Работы!$A$3:$D$184, 4, 0))</f>
        <v>0</v>
      </c>
      <c r="Q37" s="243">
        <f>ROUNDUP((I37-H37)*24, 0)</f>
        <v>4</v>
      </c>
      <c r="R37" s="243"/>
      <c r="S37" s="243"/>
      <c r="T37" s="244">
        <f>IF(OR(L37="3.3.1.", L37="3.3.2.", L37="3.3.3."), VLOOKUP(L37, Работы!$A$3:$D$184, 4, 0), 0)</f>
        <v>903</v>
      </c>
      <c r="U37" s="246">
        <f>IF(OR(L37="3.1.1."), VLOOKUP(L37, Работы!$A$3:$D$184, 4, 0), 0)</f>
        <v>0</v>
      </c>
      <c r="V37" s="246">
        <f>IF(OR(L37="3.1.2."), VLOOKUP(L37, Работы!$A$3:$D$184, 4, 0), 0)</f>
        <v>0</v>
      </c>
      <c r="W37" s="246"/>
      <c r="X37" s="246"/>
      <c r="Y37" s="247">
        <f>IF(OR(L37="3.2.1.", L37="3.2.2."), VLOOKUP(L37, Работы!$A$3:$D$184, 4, 0), 0)</f>
        <v>0</v>
      </c>
      <c r="Z37" s="247">
        <f>IF(OR(L37="3.4.1.", L37="3.4.2."), VLOOKUP(L37, Работы!$A$3:$D$184, 4, 0), 0)</f>
        <v>0</v>
      </c>
      <c r="AA37" s="68">
        <f>P37*O37+Q37*T37+R37*T37+S37*T37+U37+V37+W37*Y37+X37*Y37+Z37</f>
        <v>3612</v>
      </c>
      <c r="AB37" s="299"/>
      <c r="AC37" s="300"/>
      <c r="AD37" s="300"/>
      <c r="AE37" s="69">
        <f>AC37*AD37</f>
        <v>0</v>
      </c>
      <c r="AF37" s="71">
        <f>C37*Работы!$D$180</f>
        <v>3712.8900000000003</v>
      </c>
      <c r="AG37" s="68">
        <f>AA37+AE37+AF37+AL37+AM37</f>
        <v>7324.89</v>
      </c>
      <c r="AH37" s="72"/>
      <c r="AI37" s="73"/>
      <c r="AJ37" s="245">
        <f>AG37-AA37*AI37</f>
        <v>7324.89</v>
      </c>
      <c r="AK37" s="251"/>
      <c r="AL37" s="302">
        <f>IF(OR(E37="да"), 4040, 0)</f>
        <v>0</v>
      </c>
      <c r="AM37" s="365">
        <f>IF(OR(D37="доп."), AA37*0.1, 0)</f>
        <v>0</v>
      </c>
      <c r="AN37" s="251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</row>
    <row r="38" spans="1:95" s="75" customFormat="1" ht="51" x14ac:dyDescent="0.25">
      <c r="A38" s="241">
        <f>ROW(A38)-10</f>
        <v>28</v>
      </c>
      <c r="B38" s="361" t="s">
        <v>2034</v>
      </c>
      <c r="C38" s="241">
        <f>VLOOKUP(B38, Расстояния!B:J, 9, 0)</f>
        <v>63</v>
      </c>
      <c r="D38" s="242" t="str">
        <f>VLOOKUP(B38, Расстояния!B:K, 10, 0)</f>
        <v>осн.</v>
      </c>
      <c r="E38" s="242" t="str">
        <f>VLOOKUP(B38, Расстояния!B:F, 5, 0)</f>
        <v>нет</v>
      </c>
      <c r="F38" s="290" t="s">
        <v>4283</v>
      </c>
      <c r="G38" s="305">
        <v>46098.474999999999</v>
      </c>
      <c r="H38" s="345">
        <v>46098.571527777778</v>
      </c>
      <c r="I38" s="345">
        <v>46098.636805555558</v>
      </c>
      <c r="J38" s="303" t="s">
        <v>4282</v>
      </c>
      <c r="K38" s="332"/>
      <c r="L38" s="292" t="s">
        <v>321</v>
      </c>
      <c r="M38" s="241" t="str">
        <f>VLOOKUP(L38, Работы!A:B, 2, 0)</f>
        <v>Стоимость аварийно-восстановительных работ, заявка по которым получена в течение рабочего времени</v>
      </c>
      <c r="N38" s="348" t="s">
        <v>4284</v>
      </c>
      <c r="O38" s="298"/>
      <c r="P38" s="248">
        <f>IF(OR(L38="3.3.1.", L38="3.3.2.", L38="3.3.3.", L38="3.1.1.", L38="3.1.2.", L38="3.4.1.", L38="3.4.2."), 0, VLOOKUP(L38, Работы!$A$3:$D$184, 4, 0))</f>
        <v>0</v>
      </c>
      <c r="Q38" s="243"/>
      <c r="R38" s="243"/>
      <c r="S38" s="243"/>
      <c r="T38" s="244">
        <f>IF(OR(L38="3.3.1.", L38="3.3.2.", L38="3.3.3."), VLOOKUP(L38, Работы!$A$3:$D$184, 4, 0), 0)</f>
        <v>0</v>
      </c>
      <c r="U38" s="246">
        <f>IF(OR(L38="3.1.1."), VLOOKUP(L38, Работы!$A$3:$D$184, 4, 0), 0)</f>
        <v>3956</v>
      </c>
      <c r="V38" s="246">
        <f>IF(OR(L38="3.1.2."), VLOOKUP(L38, Работы!$A$3:$D$184, 4, 0), 0)</f>
        <v>0</v>
      </c>
      <c r="W38" s="246"/>
      <c r="X38" s="246"/>
      <c r="Y38" s="247">
        <f>IF(OR(L38="3.2.1.", L38="3.2.2."), VLOOKUP(L38, Работы!$A$3:$D$184, 4, 0), 0)</f>
        <v>0</v>
      </c>
      <c r="Z38" s="247">
        <f>IF(OR(L38="3.4.1.", L38="3.4.2."), VLOOKUP(L38, Работы!$A$3:$D$184, 4, 0), 0)</f>
        <v>0</v>
      </c>
      <c r="AA38" s="68">
        <f>P38*O38+Q38*T38+R38*T38+S38*T38+U38+V38+W38*Y38+X38*Y38+Z38</f>
        <v>3956</v>
      </c>
      <c r="AB38" s="69"/>
      <c r="AC38" s="70"/>
      <c r="AD38" s="70"/>
      <c r="AE38" s="69">
        <f>AC38*AD38</f>
        <v>0</v>
      </c>
      <c r="AF38" s="71">
        <f>C38*Работы!$D$180</f>
        <v>3390.03</v>
      </c>
      <c r="AG38" s="68">
        <f>AA38+AE38+AF38+AL38+AM38</f>
        <v>7346.0300000000007</v>
      </c>
      <c r="AH38" s="72"/>
      <c r="AI38" s="73"/>
      <c r="AJ38" s="245">
        <f>AG38-AA38*AI38</f>
        <v>7346.0300000000007</v>
      </c>
      <c r="AK38" s="251"/>
      <c r="AL38" s="302">
        <f>IF(OR(E38="да"), 4040, 0)</f>
        <v>0</v>
      </c>
      <c r="AM38" s="365">
        <f>IF(OR(D38="доп."), AA38*0.1, 0)</f>
        <v>0</v>
      </c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</row>
    <row r="39" spans="1:95" s="75" customFormat="1" ht="102" x14ac:dyDescent="0.25">
      <c r="A39" s="241">
        <f>ROW(A39)-10</f>
        <v>29</v>
      </c>
      <c r="B39" s="335" t="s">
        <v>2050</v>
      </c>
      <c r="C39" s="241">
        <f>VLOOKUP(B39, Расстояния!B:J, 9, 0)</f>
        <v>64</v>
      </c>
      <c r="D39" s="242" t="str">
        <f>VLOOKUP(B39, Расстояния!B:K, 10, 0)</f>
        <v>осн.</v>
      </c>
      <c r="E39" s="242" t="str">
        <f>VLOOKUP(B39, Расстояния!B:F, 5, 0)</f>
        <v>нет</v>
      </c>
      <c r="F39" s="290" t="s">
        <v>4186</v>
      </c>
      <c r="G39" s="305">
        <v>46111.407638888886</v>
      </c>
      <c r="H39" s="345">
        <v>46111.632638888892</v>
      </c>
      <c r="I39" s="345">
        <v>46111.8</v>
      </c>
      <c r="J39" s="349" t="s">
        <v>4164</v>
      </c>
      <c r="K39" s="306"/>
      <c r="L39" s="250" t="s">
        <v>99</v>
      </c>
      <c r="M39" s="241" t="str">
        <f>VLOOKUP(L39, Работы!A:B, 2, 0)</f>
        <v>Диагностика и замена модуля передатчиков БС на АМС, включая монтаж всех крепёжных элементов и кабелей, переключение джамперов и созданием логических объектов на стороне БС</v>
      </c>
      <c r="N39" s="348" t="s">
        <v>4250</v>
      </c>
      <c r="O39" s="298">
        <v>1</v>
      </c>
      <c r="P39" s="248">
        <f>IF(OR(L39="3.3.1.", L39="3.3.2.", L39="3.3.3.", L39="3.1.1.", L39="3.1.2.", L39="3.4.1.", L39="3.4.2."), 0, VLOOKUP(L39, Работы!$A$3:$D$184, 4, 0))</f>
        <v>2830</v>
      </c>
      <c r="Q39" s="243"/>
      <c r="R39" s="243"/>
      <c r="S39" s="243"/>
      <c r="T39" s="244">
        <f>IF(OR(L39="3.3.1.", L39="3.3.2.", L39="3.3.3."), VLOOKUP(L39, Работы!$A$3:$D$184, 4, 0), 0)</f>
        <v>0</v>
      </c>
      <c r="U39" s="246">
        <f>IF(OR(L39="3.1.1."), VLOOKUP(L39, Работы!$A$3:$D$184, 4, 0), 0)</f>
        <v>0</v>
      </c>
      <c r="V39" s="246">
        <f>IF(OR(L39="3.1.2."), VLOOKUP(L39, Работы!$A$3:$D$184, 4, 0), 0)</f>
        <v>0</v>
      </c>
      <c r="W39" s="246"/>
      <c r="X39" s="246"/>
      <c r="Y39" s="247">
        <f>IF(OR(L39="3.2.1.", L39="3.2.2."), VLOOKUP(L39, Работы!$A$3:$D$184, 4, 0), 0)</f>
        <v>0</v>
      </c>
      <c r="Z39" s="247">
        <f>IF(OR(L39="3.4.1.", L39="3.4.2."), VLOOKUP(L39, Работы!$A$3:$D$184, 4, 0), 0)</f>
        <v>0</v>
      </c>
      <c r="AA39" s="68">
        <f>P39*O39+Q39*T39+R39*T39+S39*T39+U39+V39+W39*Y39+X39*Y39+Z39</f>
        <v>2830</v>
      </c>
      <c r="AB39" s="69"/>
      <c r="AC39" s="70"/>
      <c r="AD39" s="70"/>
      <c r="AE39" s="69">
        <f>AC39*AD39</f>
        <v>0</v>
      </c>
      <c r="AF39" s="71">
        <f>C39*Работы!$D$180</f>
        <v>3443.84</v>
      </c>
      <c r="AG39" s="68">
        <f>AA39+AE39+AF39+AL39+AM39</f>
        <v>6273.84</v>
      </c>
      <c r="AH39" s="72"/>
      <c r="AI39" s="73"/>
      <c r="AJ39" s="245">
        <f>AG39-AA39*AI39</f>
        <v>6273.84</v>
      </c>
      <c r="AK39" s="301"/>
      <c r="AL39" s="302">
        <f>IF(OR(E39="да"), 4040, 0)</f>
        <v>0</v>
      </c>
      <c r="AM39" s="365">
        <f>IF(OR(D39="доп."), AA39*0.1, 0)</f>
        <v>0</v>
      </c>
      <c r="AN39" s="1287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</row>
    <row r="40" spans="1:95" s="75" customFormat="1" ht="38.25" x14ac:dyDescent="0.25">
      <c r="A40" s="241">
        <f>ROW(A40)-10</f>
        <v>30</v>
      </c>
      <c r="B40" s="335" t="s">
        <v>2067</v>
      </c>
      <c r="C40" s="241">
        <f>VLOOKUP(B40, Расстояния!B:J, 9, 0)</f>
        <v>63</v>
      </c>
      <c r="D40" s="242" t="str">
        <f>VLOOKUP(B40, Расстояния!B:K, 10, 0)</f>
        <v>осн.</v>
      </c>
      <c r="E40" s="242" t="str">
        <f>VLOOKUP(B40, Расстояния!B:F, 5, 0)</f>
        <v>нет</v>
      </c>
      <c r="F40" s="290"/>
      <c r="G40" s="305"/>
      <c r="H40" s="345">
        <v>46101.5625</v>
      </c>
      <c r="I40" s="345">
        <v>46101.645833333336</v>
      </c>
      <c r="J40" s="349" t="s">
        <v>4045</v>
      </c>
      <c r="K40" s="306"/>
      <c r="L40" s="292" t="s">
        <v>296</v>
      </c>
      <c r="M40" s="241" t="str">
        <f>VLOOKUP(L40, Работы!A:B, 2, 0)</f>
        <v>Техническое обслуживание БС</v>
      </c>
      <c r="N40" s="330" t="s">
        <v>298</v>
      </c>
      <c r="O40" s="298">
        <v>1</v>
      </c>
      <c r="P40" s="248">
        <f>IF(OR(L40="3.3.1.", L40="3.3.2.", L40="3.3.3.", L40="3.1.1.", L40="3.1.2.", L40="3.4.1.", L40="3.4.2."), 0, VLOOKUP(L40, Работы!$A$3:$D$184, 4, 0))</f>
        <v>4143</v>
      </c>
      <c r="Q40" s="243"/>
      <c r="R40" s="243"/>
      <c r="S40" s="243"/>
      <c r="T40" s="244">
        <f>IF(OR(L40="3.3.1.", L40="3.3.2.", L40="3.3.3."), VLOOKUP(L40, Работы!$A$3:$D$184, 4, 0), 0)</f>
        <v>0</v>
      </c>
      <c r="U40" s="246">
        <f>IF(OR(L40="3.1.1."), VLOOKUP(L40, Работы!$A$3:$D$184, 4, 0), 0)</f>
        <v>0</v>
      </c>
      <c r="V40" s="246">
        <f>IF(OR(L40="3.1.2."), VLOOKUP(L40, Работы!$A$3:$D$184, 4, 0), 0)</f>
        <v>0</v>
      </c>
      <c r="W40" s="246"/>
      <c r="X40" s="246"/>
      <c r="Y40" s="247">
        <f>IF(OR(L40="3.2.1.", L40="3.2.2."), VLOOKUP(L40, Работы!$A$3:$D$184, 4, 0), 0)</f>
        <v>0</v>
      </c>
      <c r="Z40" s="247">
        <f>IF(OR(L40="3.4.1.", L40="3.4.2."), VLOOKUP(L40, Работы!$A$3:$D$184, 4, 0), 0)</f>
        <v>0</v>
      </c>
      <c r="AA40" s="68">
        <f>P40*O40+Q40*T40+R40*T40+S40*T40+U40+V40+W40*Y40+X40*Y40+Z40</f>
        <v>4143</v>
      </c>
      <c r="AB40" s="69"/>
      <c r="AC40" s="70"/>
      <c r="AD40" s="70"/>
      <c r="AE40" s="69">
        <f>AC40*AD40</f>
        <v>0</v>
      </c>
      <c r="AF40" s="71">
        <f>C40*Работы!$D$180</f>
        <v>3390.03</v>
      </c>
      <c r="AG40" s="68">
        <f>AA40+AE40+AF40+AL40+AM40</f>
        <v>7533.0300000000007</v>
      </c>
      <c r="AH40" s="72"/>
      <c r="AI40" s="73"/>
      <c r="AJ40" s="245">
        <f>AG40-AA40*AI40</f>
        <v>7533.0300000000007</v>
      </c>
      <c r="AK40" s="251"/>
      <c r="AL40" s="302">
        <f>IF(OR(E40="да"), 4040, 0)</f>
        <v>0</v>
      </c>
      <c r="AM40" s="365">
        <f>IF(OR(D40="доп."), AA40*0.1, 0)</f>
        <v>0</v>
      </c>
      <c r="AN40" s="251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</row>
    <row r="41" spans="1:95" s="75" customFormat="1" ht="102" x14ac:dyDescent="0.25">
      <c r="A41" s="241">
        <f>ROW(A41)-10</f>
        <v>31</v>
      </c>
      <c r="B41" s="335" t="s">
        <v>2202</v>
      </c>
      <c r="C41" s="241">
        <f>VLOOKUP(B41, Расстояния!B:J, 9, 0)</f>
        <v>69</v>
      </c>
      <c r="D41" s="242" t="str">
        <f>VLOOKUP(B41, Расстояния!B:K, 10, 0)</f>
        <v>осн.</v>
      </c>
      <c r="E41" s="242" t="str">
        <f>VLOOKUP(B41, Расстояния!B:F, 5, 0)</f>
        <v>нет</v>
      </c>
      <c r="F41" s="290" t="s">
        <v>4141</v>
      </c>
      <c r="G41" s="305">
        <v>46100.426388888889</v>
      </c>
      <c r="H41" s="345">
        <v>46100.457638888889</v>
      </c>
      <c r="I41" s="345">
        <v>46100.540277777778</v>
      </c>
      <c r="J41" s="350" t="s">
        <v>3883</v>
      </c>
      <c r="K41" s="306"/>
      <c r="L41" s="250" t="s">
        <v>367</v>
      </c>
      <c r="M41" s="241" t="str">
        <f>VLOOKUP(L41,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41" s="330" t="s">
        <v>3843</v>
      </c>
      <c r="O41" s="298"/>
      <c r="P41" s="248">
        <f>IF(OR(L41="3.3.1.", L41="3.3.2.", L41="3.3.3.", L41="3.1.1.", L41="3.1.2.", L41="3.4.1.", L41="3.4.2."), 0, VLOOKUP(L41, Работы!$A$3:$D$184, 4, 0))</f>
        <v>0</v>
      </c>
      <c r="Q41" s="243">
        <f>ROUNDUP((I41-H41)*24, 0)</f>
        <v>2</v>
      </c>
      <c r="R41" s="243"/>
      <c r="S41" s="243"/>
      <c r="T41" s="244">
        <f>IF(OR(L41="3.3.1.", L41="3.3.2.", L41="3.3.3."), VLOOKUP(L41, Работы!$A$3:$D$184, 4, 0), 0)</f>
        <v>903</v>
      </c>
      <c r="U41" s="246">
        <f>IF(OR(L41="3.1.1."), VLOOKUP(L41, Работы!$A$3:$D$184, 4, 0), 0)</f>
        <v>0</v>
      </c>
      <c r="V41" s="246">
        <f>IF(OR(L41="3.1.2."), VLOOKUP(L41, Работы!$A$3:$D$184, 4, 0), 0)</f>
        <v>0</v>
      </c>
      <c r="W41" s="246"/>
      <c r="X41" s="246"/>
      <c r="Y41" s="247">
        <f>IF(OR(L41="3.2.1.", L41="3.2.2."), VLOOKUP(L41, Работы!$A$3:$D$184, 4, 0), 0)</f>
        <v>0</v>
      </c>
      <c r="Z41" s="247">
        <f>IF(OR(L41="3.4.1.", L41="3.4.2."), VLOOKUP(L41, Работы!$A$3:$D$184, 4, 0), 0)</f>
        <v>0</v>
      </c>
      <c r="AA41" s="68">
        <f>P41*O41+Q41*T41+R41*T41+S41*T41+U41+V41+W41*Y41+X41*Y41+Z41</f>
        <v>1806</v>
      </c>
      <c r="AB41" s="69"/>
      <c r="AC41" s="70"/>
      <c r="AD41" s="70"/>
      <c r="AE41" s="69">
        <f>AC41*AD41</f>
        <v>0</v>
      </c>
      <c r="AF41" s="71">
        <f>C41*Работы!$D$180</f>
        <v>3712.8900000000003</v>
      </c>
      <c r="AG41" s="68">
        <f>AA41+AE41+AF41+AL41+AM41</f>
        <v>5518.89</v>
      </c>
      <c r="AH41" s="72"/>
      <c r="AI41" s="73"/>
      <c r="AJ41" s="245">
        <f>AG41-AA41*AI41</f>
        <v>5518.89</v>
      </c>
      <c r="AK41" s="45"/>
      <c r="AL41" s="302">
        <f>IF(OR(E41="да"), 4040, 0)</f>
        <v>0</v>
      </c>
      <c r="AM41" s="365">
        <f>IF(OR(D41="доп."), AA41*0.1, 0)</f>
        <v>0</v>
      </c>
      <c r="AN41" s="251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</row>
    <row r="42" spans="1:95" s="75" customFormat="1" ht="102" x14ac:dyDescent="0.25">
      <c r="A42" s="241">
        <f>ROW(A42)-10</f>
        <v>32</v>
      </c>
      <c r="B42" s="335" t="s">
        <v>1717</v>
      </c>
      <c r="C42" s="241">
        <f>VLOOKUP(B42, Расстояния!B:J, 9, 0)</f>
        <v>124</v>
      </c>
      <c r="D42" s="242" t="str">
        <f>VLOOKUP(B42, Расстояния!B:K, 10, 0)</f>
        <v>осн.</v>
      </c>
      <c r="E42" s="242" t="str">
        <f>VLOOKUP(B42, Расстояния!B:F, 5, 0)</f>
        <v>нет</v>
      </c>
      <c r="F42" s="290" t="s">
        <v>4188</v>
      </c>
      <c r="G42" s="305">
        <v>46108.393055555556</v>
      </c>
      <c r="H42" s="345">
        <v>46112.615972222222</v>
      </c>
      <c r="I42" s="345">
        <v>46112.761111111111</v>
      </c>
      <c r="J42" s="349" t="s">
        <v>4047</v>
      </c>
      <c r="K42" s="306"/>
      <c r="L42" s="250" t="s">
        <v>99</v>
      </c>
      <c r="M42" s="241" t="str">
        <f>VLOOKUP(L42, Работы!A:B, 2, 0)</f>
        <v>Диагностика и замена модуля передатчиков БС на АМС, включая монтаж всех крепёжных элементов и кабелей, переключение джамперов и созданием логических объектов на стороне БС</v>
      </c>
      <c r="N42" s="359" t="s">
        <v>4250</v>
      </c>
      <c r="O42" s="298">
        <v>1</v>
      </c>
      <c r="P42" s="248">
        <f>IF(OR(L42="3.3.1.", L42="3.3.2.", L42="3.3.3.", L42="3.1.1.", L42="3.1.2.", L42="3.4.1.", L42="3.4.2."), 0, VLOOKUP(L42, Работы!$A$3:$D$184, 4, 0))</f>
        <v>2830</v>
      </c>
      <c r="Q42" s="243"/>
      <c r="R42" s="243"/>
      <c r="S42" s="243"/>
      <c r="T42" s="244">
        <f>IF(OR(L42="3.3.1.", L42="3.3.2.", L42="3.3.3."), VLOOKUP(L42, Работы!$A$3:$D$184, 4, 0), 0)</f>
        <v>0</v>
      </c>
      <c r="U42" s="246">
        <f>IF(OR(L42="3.1.1."), VLOOKUP(L42, Работы!$A$3:$D$184, 4, 0), 0)</f>
        <v>0</v>
      </c>
      <c r="V42" s="246">
        <f>IF(OR(L42="3.1.2."), VLOOKUP(L42, Работы!$A$3:$D$184, 4, 0), 0)</f>
        <v>0</v>
      </c>
      <c r="W42" s="246"/>
      <c r="X42" s="246"/>
      <c r="Y42" s="247">
        <f>IF(OR(L42="3.2.1.", L42="3.2.2."), VLOOKUP(L42, Работы!$A$3:$D$184, 4, 0), 0)</f>
        <v>0</v>
      </c>
      <c r="Z42" s="247">
        <f>IF(OR(L42="3.4.1.", L42="3.4.2."), VLOOKUP(L42, Работы!$A$3:$D$184, 4, 0), 0)</f>
        <v>0</v>
      </c>
      <c r="AA42" s="68">
        <f>P42*O42+Q42*T42+R42*T42+S42*T42+U42+V42+W42*Y42+X42*Y42+Z42</f>
        <v>2830</v>
      </c>
      <c r="AB42" s="69"/>
      <c r="AC42" s="70"/>
      <c r="AD42" s="70"/>
      <c r="AE42" s="69">
        <f>AC42*AD42</f>
        <v>0</v>
      </c>
      <c r="AF42" s="71">
        <f>C42*Работы!$D$180</f>
        <v>6672.4400000000005</v>
      </c>
      <c r="AG42" s="68">
        <f>AA42+AE42+AF42+AL42+AM42</f>
        <v>9502.44</v>
      </c>
      <c r="AH42" s="72"/>
      <c r="AI42" s="73"/>
      <c r="AJ42" s="245">
        <f>AG42-AA42*AI42</f>
        <v>9502.44</v>
      </c>
      <c r="AK42" s="73"/>
      <c r="AL42" s="302">
        <f>IF(OR(E42="да"), 4040, 0)</f>
        <v>0</v>
      </c>
      <c r="AM42" s="365">
        <f>IF(OR(D42="доп."), AA42*0.1, 0)</f>
        <v>0</v>
      </c>
      <c r="AN42" s="1287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</row>
    <row r="43" spans="1:95" s="75" customFormat="1" ht="102" x14ac:dyDescent="0.25">
      <c r="A43" s="241">
        <f>ROW(A43)-10</f>
        <v>33</v>
      </c>
      <c r="B43" s="335" t="s">
        <v>1717</v>
      </c>
      <c r="C43" s="241">
        <v>0</v>
      </c>
      <c r="D43" s="242" t="str">
        <f>VLOOKUP(B43, Расстояния!B:K, 10, 0)</f>
        <v>осн.</v>
      </c>
      <c r="E43" s="242" t="str">
        <f>VLOOKUP(B43, Расстояния!B:F, 5, 0)</f>
        <v>нет</v>
      </c>
      <c r="F43" s="290" t="s">
        <v>4188</v>
      </c>
      <c r="G43" s="305">
        <v>46108.393055555556</v>
      </c>
      <c r="H43" s="345">
        <v>46112.615972222222</v>
      </c>
      <c r="I43" s="345">
        <v>46112.761111111111</v>
      </c>
      <c r="J43" s="303" t="s">
        <v>4047</v>
      </c>
      <c r="K43" s="306"/>
      <c r="L43" s="250" t="s">
        <v>99</v>
      </c>
      <c r="M43" s="241" t="str">
        <f>VLOOKUP(L43, Работы!A:B, 2, 0)</f>
        <v>Диагностика и замена модуля передатчиков БС на АМС, включая монтаж всех крепёжных элементов и кабелей, переключение джамперов и созданием логических объектов на стороне БС</v>
      </c>
      <c r="N43" s="347" t="s">
        <v>4250</v>
      </c>
      <c r="O43" s="298">
        <v>1</v>
      </c>
      <c r="P43" s="248">
        <f>IF(OR(L43="3.3.1.", L43="3.3.2.", L43="3.3.3.", L43="3.1.1.", L43="3.1.2.", L43="3.4.1.", L43="3.4.2."), 0, VLOOKUP(L43, Работы!$A$3:$D$184, 4, 0))</f>
        <v>2830</v>
      </c>
      <c r="Q43" s="243"/>
      <c r="R43" s="243"/>
      <c r="S43" s="243"/>
      <c r="T43" s="244">
        <f>IF(OR(L43="3.3.1.", L43="3.3.2.", L43="3.3.3."), VLOOKUP(L43, Работы!$A$3:$D$184, 4, 0), 0)</f>
        <v>0</v>
      </c>
      <c r="U43" s="246">
        <f>IF(OR(L43="3.1.1."), VLOOKUP(L43, Работы!$A$3:$D$184, 4, 0), 0)</f>
        <v>0</v>
      </c>
      <c r="V43" s="246">
        <f>IF(OR(L43="3.1.2."), VLOOKUP(L43, Работы!$A$3:$D$184, 4, 0), 0)</f>
        <v>0</v>
      </c>
      <c r="W43" s="246"/>
      <c r="X43" s="246"/>
      <c r="Y43" s="247">
        <f>IF(OR(L43="3.2.1.", L43="3.2.2."), VLOOKUP(L43, Работы!$A$3:$D$184, 4, 0), 0)</f>
        <v>0</v>
      </c>
      <c r="Z43" s="247">
        <f>IF(OR(L43="3.4.1.", L43="3.4.2."), VLOOKUP(L43, Работы!$A$3:$D$184, 4, 0), 0)</f>
        <v>0</v>
      </c>
      <c r="AA43" s="68">
        <f>P43*O43+Q43*T43+R43*T43+S43*T43+U43+V43+W43*Y43+X43*Y43+Z43</f>
        <v>2830</v>
      </c>
      <c r="AB43" s="69"/>
      <c r="AC43" s="70"/>
      <c r="AD43" s="70"/>
      <c r="AE43" s="69">
        <f>AC43*AD43</f>
        <v>0</v>
      </c>
      <c r="AF43" s="71">
        <f>C43*Работы!$D$180</f>
        <v>0</v>
      </c>
      <c r="AG43" s="68">
        <f>AA43+AE43+AF43+AL43+AM43</f>
        <v>2830</v>
      </c>
      <c r="AH43" s="72"/>
      <c r="AI43" s="73"/>
      <c r="AJ43" s="245">
        <f>AG43-AA43*AI43</f>
        <v>2830</v>
      </c>
      <c r="AK43" s="301"/>
      <c r="AL43" s="302">
        <f>IF(OR(E43="да"), 4040, 0)</f>
        <v>0</v>
      </c>
      <c r="AM43" s="365">
        <f>IF(OR(D43="доп."), AA43*0.1, 0)</f>
        <v>0</v>
      </c>
      <c r="AN43" s="251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</row>
    <row r="44" spans="1:95" s="43" customFormat="1" ht="38.25" x14ac:dyDescent="0.25">
      <c r="A44" s="241">
        <f>ROW(A44)-10</f>
        <v>34</v>
      </c>
      <c r="B44" s="335" t="s">
        <v>407</v>
      </c>
      <c r="C44" s="241">
        <f>VLOOKUP(B44, Расстояния!B:J, 9, 0)</f>
        <v>14</v>
      </c>
      <c r="D44" s="242" t="str">
        <f>VLOOKUP(B44, Расстояния!B:K, 10, 0)</f>
        <v>осн.</v>
      </c>
      <c r="E44" s="242" t="str">
        <f>VLOOKUP(B44, Расстояния!B:F, 5, 0)</f>
        <v>нет</v>
      </c>
      <c r="F44" s="290"/>
      <c r="G44" s="305"/>
      <c r="H44" s="305">
        <v>46098.427777777775</v>
      </c>
      <c r="I44" s="305">
        <v>46098.556944444441</v>
      </c>
      <c r="J44" s="303" t="s">
        <v>4043</v>
      </c>
      <c r="K44" s="306"/>
      <c r="L44" s="250" t="s">
        <v>296</v>
      </c>
      <c r="M44" s="241" t="str">
        <f>VLOOKUP(L44, Работы!A:B, 2, 0)</f>
        <v>Техническое обслуживание БС</v>
      </c>
      <c r="N44" s="330" t="s">
        <v>298</v>
      </c>
      <c r="O44" s="298">
        <v>1</v>
      </c>
      <c r="P44" s="248">
        <f>IF(OR(L44="3.3.1.", L44="3.3.2.", L44="3.3.3.", L44="3.1.1.", L44="3.1.2.", L44="3.4.1.", L44="3.4.2."), 0, VLOOKUP(L44, Работы!$A$3:$D$184, 4, 0))</f>
        <v>4143</v>
      </c>
      <c r="Q44" s="243"/>
      <c r="R44" s="243"/>
      <c r="S44" s="243"/>
      <c r="T44" s="244">
        <f>IF(OR(L44="3.3.1.", L44="3.3.2.", L44="3.3.3."), VLOOKUP(L44, Работы!$A$3:$D$184, 4, 0), 0)</f>
        <v>0</v>
      </c>
      <c r="U44" s="246">
        <f>IF(OR(L44="3.1.1."), VLOOKUP(L44, Работы!$A$3:$D$184, 4, 0), 0)</f>
        <v>0</v>
      </c>
      <c r="V44" s="246">
        <f>IF(OR(L44="3.1.2."), VLOOKUP(L44, Работы!$A$3:$D$184, 4, 0), 0)</f>
        <v>0</v>
      </c>
      <c r="W44" s="246"/>
      <c r="X44" s="246"/>
      <c r="Y44" s="247">
        <f>IF(OR(L44="3.2.1.", L44="3.2.2."), VLOOKUP(L44, Работы!$A$3:$D$184, 4, 0), 0)</f>
        <v>0</v>
      </c>
      <c r="Z44" s="247">
        <f>IF(OR(L44="3.4.1.", L44="3.4.2."), VLOOKUP(L44, Работы!$A$3:$D$184, 4, 0), 0)</f>
        <v>0</v>
      </c>
      <c r="AA44" s="68">
        <f>P44*O44+Q44*T44+R44*T44+S44*T44+U44+V44+W44*Y44+X44*Y44+Z44</f>
        <v>4143</v>
      </c>
      <c r="AB44" s="69"/>
      <c r="AC44" s="70"/>
      <c r="AD44" s="70"/>
      <c r="AE44" s="69">
        <f>AC44*AD44</f>
        <v>0</v>
      </c>
      <c r="AF44" s="71">
        <f>C44*Работы!$D$180</f>
        <v>753.34</v>
      </c>
      <c r="AG44" s="68">
        <f>AA44+AE44+AF44+AL44+AM44</f>
        <v>4896.34</v>
      </c>
      <c r="AH44" s="72"/>
      <c r="AI44" s="73"/>
      <c r="AJ44" s="245">
        <f>AG44-AA44*AI44</f>
        <v>4896.34</v>
      </c>
      <c r="AK44" s="251"/>
      <c r="AL44" s="302">
        <f>IF(OR(E44="да"), 4040, 0)</f>
        <v>0</v>
      </c>
      <c r="AM44" s="365">
        <f>IF(OR(D44="доп."), AA44*0.1, 0)</f>
        <v>0</v>
      </c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</row>
    <row r="45" spans="1:95" s="43" customFormat="1" ht="25.5" x14ac:dyDescent="0.25">
      <c r="A45" s="241">
        <f>ROW(A45)-10</f>
        <v>35</v>
      </c>
      <c r="B45" s="335" t="s">
        <v>407</v>
      </c>
      <c r="C45" s="241">
        <v>0</v>
      </c>
      <c r="D45" s="242" t="str">
        <f>VLOOKUP(B45, Расстояния!B:K, 10, 0)</f>
        <v>осн.</v>
      </c>
      <c r="E45" s="242" t="str">
        <f>VLOOKUP(B45, Расстояния!B:F, 5, 0)</f>
        <v>нет</v>
      </c>
      <c r="F45" s="290"/>
      <c r="G45" s="305"/>
      <c r="H45" s="305">
        <v>46098.427777777775</v>
      </c>
      <c r="I45" s="305">
        <v>46098.556944444441</v>
      </c>
      <c r="J45" s="303" t="s">
        <v>4043</v>
      </c>
      <c r="K45" s="306"/>
      <c r="L45" s="250" t="s">
        <v>4013</v>
      </c>
      <c r="M45" s="241" t="str">
        <f>VLOOKUP(L45, Работы!A:B, 2, 0)</f>
        <v>Стоимость проведения инвентаризации Объекта.</v>
      </c>
      <c r="N45" s="330" t="s">
        <v>4304</v>
      </c>
      <c r="O45" s="298">
        <v>1</v>
      </c>
      <c r="P45" s="248">
        <f>IF(OR(L45="3.3.1.", L45="3.3.2.", L45="3.3.3.", L45="3.1.1.", L45="3.1.2.", L45="3.4.1.", L45="3.4.2."), 0, VLOOKUP(L45, Работы!$A$3:$D$184, 4, 0))</f>
        <v>735</v>
      </c>
      <c r="Q45" s="243"/>
      <c r="R45" s="243"/>
      <c r="S45" s="243"/>
      <c r="T45" s="244">
        <f>IF(OR(L45="3.3.1.", L45="3.3.2.", L45="3.3.3."), VLOOKUP(L45, Работы!$A$3:$D$184, 4, 0), 0)</f>
        <v>0</v>
      </c>
      <c r="U45" s="246">
        <f>IF(OR(L45="3.1.1."), VLOOKUP(L45, Работы!$A$3:$D$184, 4, 0), 0)</f>
        <v>0</v>
      </c>
      <c r="V45" s="246">
        <f>IF(OR(L45="3.1.2."), VLOOKUP(L45, Работы!$A$3:$D$184, 4, 0), 0)</f>
        <v>0</v>
      </c>
      <c r="W45" s="246"/>
      <c r="X45" s="246"/>
      <c r="Y45" s="247">
        <f>IF(OR(L45="3.2.1.", L45="3.2.2."), VLOOKUP(L45, Работы!$A$3:$D$184, 4, 0), 0)</f>
        <v>0</v>
      </c>
      <c r="Z45" s="247">
        <f>IF(OR(L45="3.4.1.", L45="3.4.2."), VLOOKUP(L45, Работы!$A$3:$D$184, 4, 0), 0)</f>
        <v>0</v>
      </c>
      <c r="AA45" s="68">
        <f>P45*O45+Q45*T45+R45*T45+S45*T45+U45+V45+W45*Y45+X45*Y45+Z45</f>
        <v>735</v>
      </c>
      <c r="AB45" s="69"/>
      <c r="AC45" s="70"/>
      <c r="AD45" s="70"/>
      <c r="AE45" s="69">
        <f>AC45*AD45</f>
        <v>0</v>
      </c>
      <c r="AF45" s="71">
        <f>C45*Работы!$D$180</f>
        <v>0</v>
      </c>
      <c r="AG45" s="68">
        <f>AA45+AE45+AF45+AL45+AM45</f>
        <v>735</v>
      </c>
      <c r="AH45" s="72"/>
      <c r="AI45" s="73"/>
      <c r="AJ45" s="245">
        <f>AG45-AA45*AI45</f>
        <v>735</v>
      </c>
      <c r="AK45" s="251"/>
      <c r="AL45" s="302">
        <f>IF(OR(E45="да"), 4040, 0)</f>
        <v>0</v>
      </c>
      <c r="AM45" s="365">
        <f>IF(OR(D45="доп."), AA45*0.1, 0)</f>
        <v>0</v>
      </c>
      <c r="AN45" s="251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</row>
    <row r="46" spans="1:95" s="43" customFormat="1" ht="114.75" x14ac:dyDescent="0.25">
      <c r="A46" s="241">
        <f>ROW(A46)-10</f>
        <v>36</v>
      </c>
      <c r="B46" s="335" t="s">
        <v>407</v>
      </c>
      <c r="C46" s="241">
        <v>0</v>
      </c>
      <c r="D46" s="242" t="str">
        <f>VLOOKUP(B46, Расстояния!B:K, 10, 0)</f>
        <v>осн.</v>
      </c>
      <c r="E46" s="242" t="str">
        <f>VLOOKUP(B46, Расстояния!B:F, 5, 0)</f>
        <v>нет</v>
      </c>
      <c r="F46" s="290"/>
      <c r="G46" s="305"/>
      <c r="H46" s="305">
        <v>46098.427777777775</v>
      </c>
      <c r="I46" s="305">
        <v>46098.556944444441</v>
      </c>
      <c r="J46" s="303" t="s">
        <v>4043</v>
      </c>
      <c r="K46" s="306"/>
      <c r="L46" s="292" t="s">
        <v>198</v>
      </c>
      <c r="M46" s="241" t="str">
        <f>VLOOKUP(L46, Работы!A:B, 2, 0)</f>
        <v>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</v>
      </c>
      <c r="N46" s="330" t="s">
        <v>4125</v>
      </c>
      <c r="O46" s="298">
        <v>1</v>
      </c>
      <c r="P46" s="248">
        <f>IF(OR(L46="3.3.1.", L46="3.3.2.", L46="3.3.3.", L46="3.1.1.", L46="3.1.2.", L46="3.4.1.", L46="3.4.2."), 0, VLOOKUP(L46, Работы!$A$3:$D$184, 4, 0))</f>
        <v>735</v>
      </c>
      <c r="Q46" s="243"/>
      <c r="R46" s="243"/>
      <c r="S46" s="243"/>
      <c r="T46" s="244">
        <f>IF(OR(L46="3.3.1.", L46="3.3.2.", L46="3.3.3."), VLOOKUP(L46, Работы!$A$3:$D$184, 4, 0), 0)</f>
        <v>0</v>
      </c>
      <c r="U46" s="246">
        <f>IF(OR(L46="3.1.1."), VLOOKUP(L46, Работы!$A$3:$D$184, 4, 0), 0)</f>
        <v>0</v>
      </c>
      <c r="V46" s="246">
        <f>IF(OR(L46="3.1.2."), VLOOKUP(L46, Работы!$A$3:$D$184, 4, 0), 0)</f>
        <v>0</v>
      </c>
      <c r="W46" s="246"/>
      <c r="X46" s="246"/>
      <c r="Y46" s="247">
        <f>IF(OR(L46="3.2.1.", L46="3.2.2."), VLOOKUP(L46, Работы!$A$3:$D$184, 4, 0), 0)</f>
        <v>0</v>
      </c>
      <c r="Z46" s="247">
        <f>IF(OR(L46="3.4.1.", L46="3.4.2."), VLOOKUP(L46, Работы!$A$3:$D$184, 4, 0), 0)</f>
        <v>0</v>
      </c>
      <c r="AA46" s="68">
        <f>P46*O46+Q46*T46+R46*T46+S46*T46+U46+V46+W46*Y46+X46*Y46+Z46</f>
        <v>735</v>
      </c>
      <c r="AB46" s="69"/>
      <c r="AC46" s="70"/>
      <c r="AD46" s="70"/>
      <c r="AE46" s="69">
        <f>AC46*AD46</f>
        <v>0</v>
      </c>
      <c r="AF46" s="71">
        <f>C46*Работы!$D$180</f>
        <v>0</v>
      </c>
      <c r="AG46" s="68">
        <f>AA46+AE46+AF46+AL46+AM46</f>
        <v>735</v>
      </c>
      <c r="AH46" s="72"/>
      <c r="AI46" s="73"/>
      <c r="AJ46" s="245">
        <f>AG46-AA46*AI46</f>
        <v>735</v>
      </c>
      <c r="AK46" s="251"/>
      <c r="AL46" s="302">
        <f>IF(OR(E46="да"), 4040, 0)</f>
        <v>0</v>
      </c>
      <c r="AM46" s="365">
        <f>IF(OR(D46="доп."), AA46*0.1, 0)</f>
        <v>0</v>
      </c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</row>
    <row r="47" spans="1:95" s="75" customFormat="1" ht="63.75" x14ac:dyDescent="0.25">
      <c r="A47" s="241">
        <f>ROW(A47)-10</f>
        <v>37</v>
      </c>
      <c r="B47" s="335" t="s">
        <v>1725</v>
      </c>
      <c r="C47" s="241">
        <v>40</v>
      </c>
      <c r="D47" s="242" t="str">
        <f>VLOOKUP(B47, Расстояния!B:K, 10, 0)</f>
        <v>осн.</v>
      </c>
      <c r="E47" s="242" t="str">
        <f>VLOOKUP(B47, Расстояния!B:F, 5, 0)</f>
        <v>нет</v>
      </c>
      <c r="F47" s="290" t="s">
        <v>4208</v>
      </c>
      <c r="G47" s="305">
        <v>46098.456284722219</v>
      </c>
      <c r="H47" s="345">
        <v>46098.490972222222</v>
      </c>
      <c r="I47" s="345">
        <v>46098.490972222222</v>
      </c>
      <c r="J47" s="303" t="s">
        <v>4207</v>
      </c>
      <c r="K47" s="306"/>
      <c r="L47" s="340" t="s">
        <v>368</v>
      </c>
      <c r="M47" s="241" t="str">
        <f>VLOOKUP(L47, Работы!A:B, 2, 0)</f>
        <v>Стоимость отменённого вызова на Аварийно-восстановительные работы, заявка по которым получена в рабочее время</v>
      </c>
      <c r="N47" s="346" t="s">
        <v>3882</v>
      </c>
      <c r="O47" s="298"/>
      <c r="P47" s="248">
        <f>IF(OR(L47="3.3.1.", L47="3.3.2.", L47="3.3.3.", L47="3.1.1.", L47="3.1.2.", L47="3.4.1.", L47="3.4.2."), 0, VLOOKUP(L47, Работы!$A$3:$D$184, 4, 0))</f>
        <v>0</v>
      </c>
      <c r="Q47" s="243"/>
      <c r="R47" s="243"/>
      <c r="S47" s="243"/>
      <c r="T47" s="244">
        <f>IF(OR(L47="3.3.1.", L47="3.3.2.", L47="3.3.3."), VLOOKUP(L47, Работы!$A$3:$D$184, 4, 0), 0)</f>
        <v>0</v>
      </c>
      <c r="U47" s="246">
        <f>IF(OR(L47="3.1.1."), VLOOKUP(L47, Работы!$A$3:$D$184, 4, 0), 0)</f>
        <v>0</v>
      </c>
      <c r="V47" s="246">
        <f>IF(OR(L47="3.1.2."), VLOOKUP(L47, Работы!$A$3:$D$184, 4, 0), 0)</f>
        <v>0</v>
      </c>
      <c r="W47" s="246"/>
      <c r="X47" s="246"/>
      <c r="Y47" s="247">
        <f>IF(OR(L47="3.2.1.", L47="3.2.2."), VLOOKUP(L47, Работы!$A$3:$D$184, 4, 0), 0)</f>
        <v>0</v>
      </c>
      <c r="Z47" s="247">
        <f>IF(OR(L47="3.4.1.", L47="3.4.2."), VLOOKUP(L47, Работы!$A$3:$D$184, 4, 0), 0)</f>
        <v>922</v>
      </c>
      <c r="AA47" s="68">
        <f>P47*O47+Q47*T47+R47*T47+S47*T47+U47+V47+W47*Y47+X47*Y47+Z47</f>
        <v>922</v>
      </c>
      <c r="AB47" s="69"/>
      <c r="AC47" s="70"/>
      <c r="AD47" s="70"/>
      <c r="AE47" s="69">
        <f>AC47*AD47</f>
        <v>0</v>
      </c>
      <c r="AF47" s="71">
        <f>C47*Работы!$D$180</f>
        <v>2152.4</v>
      </c>
      <c r="AG47" s="68">
        <f>AA47+AE47+AF47+AL47+AM47</f>
        <v>3074.4</v>
      </c>
      <c r="AH47" s="72"/>
      <c r="AI47" s="73"/>
      <c r="AJ47" s="245">
        <f>AG47-AA47*AI47</f>
        <v>3074.4</v>
      </c>
      <c r="AK47" s="251"/>
      <c r="AL47" s="302">
        <f>IF(OR(E47="да"), 4040, 0)</f>
        <v>0</v>
      </c>
      <c r="AM47" s="365">
        <f>IF(OR(D47="доп."), AA47*0.1, 0)</f>
        <v>0</v>
      </c>
      <c r="AN47" s="1287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</row>
    <row r="48" spans="1:95" s="75" customFormat="1" ht="102" x14ac:dyDescent="0.25">
      <c r="A48" s="241">
        <f>ROW(A48)-10</f>
        <v>38</v>
      </c>
      <c r="B48" s="335" t="s">
        <v>427</v>
      </c>
      <c r="C48" s="241">
        <f>VLOOKUP(B48, Расстояния!B:J, 9, 0)</f>
        <v>11</v>
      </c>
      <c r="D48" s="242" t="str">
        <f>VLOOKUP(B48, Расстояния!B:K, 10, 0)</f>
        <v>осн.</v>
      </c>
      <c r="E48" s="242" t="str">
        <f>VLOOKUP(B48, Расстояния!B:F, 5, 0)</f>
        <v>нет</v>
      </c>
      <c r="F48" s="290" t="s">
        <v>4161</v>
      </c>
      <c r="G48" s="305">
        <v>46108.214328703703</v>
      </c>
      <c r="H48" s="305">
        <v>46108.272222222222</v>
      </c>
      <c r="I48" s="305">
        <v>46108.291666666664</v>
      </c>
      <c r="J48" s="303" t="s">
        <v>4263</v>
      </c>
      <c r="K48" s="306"/>
      <c r="L48" s="250" t="s">
        <v>367</v>
      </c>
      <c r="M48" s="241" t="str">
        <f>VLOOKUP(L48,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48" s="330" t="s">
        <v>3843</v>
      </c>
      <c r="O48" s="298"/>
      <c r="P48" s="248">
        <f>IF(OR(L48="3.3.1.", L48="3.3.2.", L48="3.3.3.", L48="3.1.1.", L48="3.1.2.", L48="3.4.1.", L48="3.4.2."), 0, VLOOKUP(L48, Работы!$A$3:$D$184, 4, 0))</f>
        <v>0</v>
      </c>
      <c r="Q48" s="243">
        <f>ROUNDUP((I48-H48)*24, 0)</f>
        <v>1</v>
      </c>
      <c r="R48" s="243"/>
      <c r="S48" s="243"/>
      <c r="T48" s="244">
        <f>IF(OR(L48="3.3.1.", L48="3.3.2.", L48="3.3.3."), VLOOKUP(L48, Работы!$A$3:$D$184, 4, 0), 0)</f>
        <v>903</v>
      </c>
      <c r="U48" s="246">
        <f>IF(OR(L48="3.1.1."), VLOOKUP(L48, Работы!$A$3:$D$184, 4, 0), 0)</f>
        <v>0</v>
      </c>
      <c r="V48" s="246">
        <f>IF(OR(L48="3.1.2."), VLOOKUP(L48, Работы!$A$3:$D$184, 4, 0), 0)</f>
        <v>0</v>
      </c>
      <c r="W48" s="246"/>
      <c r="X48" s="246"/>
      <c r="Y48" s="247">
        <f>IF(OR(L48="3.2.1.", L48="3.2.2."), VLOOKUP(L48, Работы!$A$3:$D$184, 4, 0), 0)</f>
        <v>0</v>
      </c>
      <c r="Z48" s="247">
        <f>IF(OR(L48="3.4.1.", L48="3.4.2."), VLOOKUP(L48, Работы!$A$3:$D$184, 4, 0), 0)</f>
        <v>0</v>
      </c>
      <c r="AA48" s="68">
        <f>P48*O48+Q48*T48+R48*T48+S48*T48+U48+V48+W48*Y48+X48*Y48+Z48</f>
        <v>903</v>
      </c>
      <c r="AB48" s="69"/>
      <c r="AC48" s="70"/>
      <c r="AD48" s="70"/>
      <c r="AE48" s="69">
        <f>AC48*AD48</f>
        <v>0</v>
      </c>
      <c r="AF48" s="71">
        <f>C48*Работы!$D$180</f>
        <v>591.91000000000008</v>
      </c>
      <c r="AG48" s="68">
        <f>AA48+AE48+AF48+AL48+AM48</f>
        <v>1494.91</v>
      </c>
      <c r="AH48" s="72"/>
      <c r="AI48" s="73"/>
      <c r="AJ48" s="245">
        <f>AG48-AA48*AI48</f>
        <v>1494.91</v>
      </c>
      <c r="AK48" s="301"/>
      <c r="AL48" s="302">
        <f>IF(OR(E48="да"), 4040, 0)</f>
        <v>0</v>
      </c>
      <c r="AM48" s="365">
        <f>IF(OR(D48="доп."), AA48*0.1, 0)</f>
        <v>0</v>
      </c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</row>
    <row r="49" spans="1:95" s="75" customFormat="1" ht="89.25" x14ac:dyDescent="0.25">
      <c r="A49" s="241">
        <f>ROW(A49)-10</f>
        <v>39</v>
      </c>
      <c r="B49" s="335" t="s">
        <v>439</v>
      </c>
      <c r="C49" s="241">
        <f>VLOOKUP(B49, Расстояния!B:J, 9, 0)</f>
        <v>25</v>
      </c>
      <c r="D49" s="242" t="str">
        <f>VLOOKUP(B49, Расстояния!B:K, 10, 0)</f>
        <v>осн.</v>
      </c>
      <c r="E49" s="242" t="str">
        <f>VLOOKUP(B49, Расстояния!B:F, 5, 0)</f>
        <v>нет</v>
      </c>
      <c r="F49" s="290" t="s">
        <v>4121</v>
      </c>
      <c r="G49" s="305">
        <v>46105.507638888892</v>
      </c>
      <c r="H49" s="305">
        <v>46108.493750000001</v>
      </c>
      <c r="I49" s="305">
        <v>46108.65</v>
      </c>
      <c r="J49" s="303" t="s">
        <v>4043</v>
      </c>
      <c r="K49" s="306"/>
      <c r="L49" s="292" t="s">
        <v>35</v>
      </c>
      <c r="M49" s="241" t="str">
        <f>VLOOKUP(L49, Работы!A:B, 2, 0)</f>
        <v>Диагностика и устранение дефектов АФУ сектора БС (локализация неисправности или перепуток Net Monitor'ом, проверка/ремонт разъёмов, соединительных джемперов, проверка КСВ)</v>
      </c>
      <c r="N49" s="330" t="s">
        <v>4258</v>
      </c>
      <c r="O49" s="298">
        <v>1</v>
      </c>
      <c r="P49" s="248">
        <f>IF(OR(L49="3.3.1.", L49="3.3.2.", L49="3.3.3.", L49="3.1.1.", L49="3.1.2.", L49="3.4.1.", L49="3.4.2."), 0, VLOOKUP(L49, Работы!$A$3:$D$184, 4, 0))</f>
        <v>4180</v>
      </c>
      <c r="Q49" s="243"/>
      <c r="R49" s="243"/>
      <c r="S49" s="243"/>
      <c r="T49" s="244">
        <f>IF(OR(L49="3.3.1.", L49="3.3.2.", L49="3.3.3."), VLOOKUP(L49, Работы!$A$3:$D$184, 4, 0), 0)</f>
        <v>0</v>
      </c>
      <c r="U49" s="246">
        <f>IF(OR(L49="3.1.1."), VLOOKUP(L49, Работы!$A$3:$D$184, 4, 0), 0)</f>
        <v>0</v>
      </c>
      <c r="V49" s="246">
        <f>IF(OR(L49="3.1.2."), VLOOKUP(L49, Работы!$A$3:$D$184, 4, 0), 0)</f>
        <v>0</v>
      </c>
      <c r="W49" s="246"/>
      <c r="X49" s="246"/>
      <c r="Y49" s="247">
        <f>IF(OR(L49="3.2.1.", L49="3.2.2."), VLOOKUP(L49, Работы!$A$3:$D$184, 4, 0), 0)</f>
        <v>0</v>
      </c>
      <c r="Z49" s="247">
        <f>IF(OR(L49="3.4.1.", L49="3.4.2."), VLOOKUP(L49, Работы!$A$3:$D$184, 4, 0), 0)</f>
        <v>0</v>
      </c>
      <c r="AA49" s="68">
        <f>P49*O49+Q49*T49+R49*T49+S49*T49+U49+V49+W49*Y49+X49*Y49+Z49</f>
        <v>4180</v>
      </c>
      <c r="AB49" s="69"/>
      <c r="AC49" s="70"/>
      <c r="AD49" s="70"/>
      <c r="AE49" s="69">
        <f>AC49*AD49</f>
        <v>0</v>
      </c>
      <c r="AF49" s="71">
        <f>C49*Работы!$D$180</f>
        <v>1345.25</v>
      </c>
      <c r="AG49" s="68">
        <f>AA49+AE49+AF49+AL49+AM49</f>
        <v>5525.25</v>
      </c>
      <c r="AH49" s="72"/>
      <c r="AI49" s="73"/>
      <c r="AJ49" s="245">
        <f>AG49-AA49*AI49</f>
        <v>5525.25</v>
      </c>
      <c r="AK49" s="251"/>
      <c r="AL49" s="302">
        <f>IF(OR(E49="да"), 4040, 0)</f>
        <v>0</v>
      </c>
      <c r="AM49" s="365">
        <f>IF(OR(D49="доп."), AA49*0.1, 0)</f>
        <v>0</v>
      </c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</row>
    <row r="50" spans="1:95" s="75" customFormat="1" ht="38.25" x14ac:dyDescent="0.25">
      <c r="A50" s="241">
        <f>ROW(A50)-10</f>
        <v>40</v>
      </c>
      <c r="B50" s="335" t="s">
        <v>439</v>
      </c>
      <c r="C50" s="241">
        <v>0</v>
      </c>
      <c r="D50" s="242" t="str">
        <f>VLOOKUP(B50, Расстояния!B:K, 10, 0)</f>
        <v>осн.</v>
      </c>
      <c r="E50" s="242" t="str">
        <f>VLOOKUP(B50, Расстояния!B:F, 5, 0)</f>
        <v>нет</v>
      </c>
      <c r="F50" s="290"/>
      <c r="G50" s="305"/>
      <c r="H50" s="305">
        <v>46108.607638888891</v>
      </c>
      <c r="I50" s="305">
        <v>46108.65</v>
      </c>
      <c r="J50" s="303" t="s">
        <v>4043</v>
      </c>
      <c r="K50" s="306"/>
      <c r="L50" s="250" t="s">
        <v>296</v>
      </c>
      <c r="M50" s="327" t="str">
        <f>VLOOKUP(L50, Работы!A:B, 2, 0)</f>
        <v>Техническое обслуживание БС</v>
      </c>
      <c r="N50" s="330" t="s">
        <v>298</v>
      </c>
      <c r="O50" s="298">
        <v>1</v>
      </c>
      <c r="P50" s="248">
        <f>IF(OR(L50="3.3.1.", L50="3.3.2.", L50="3.3.3.", L50="3.1.1.", L50="3.1.2.", L50="3.4.1.", L50="3.4.2."), 0, VLOOKUP(L50, Работы!$A$3:$D$184, 4, 0))</f>
        <v>4143</v>
      </c>
      <c r="Q50" s="243"/>
      <c r="R50" s="293"/>
      <c r="S50" s="293"/>
      <c r="T50" s="244">
        <f>IF(OR(L50="3.3.1.", L50="3.3.2.", L50="3.3.3."), VLOOKUP(L50, Работы!$A$3:$D$184, 4, 0), 0)</f>
        <v>0</v>
      </c>
      <c r="U50" s="246">
        <f>IF(OR(L50="3.1.1."), VLOOKUP(L50, Работы!$A$3:$D$184, 4, 0), 0)</f>
        <v>0</v>
      </c>
      <c r="V50" s="246">
        <f>IF(OR(L50="3.1.2."), VLOOKUP(L50, Работы!$A$3:$D$184, 4, 0), 0)</f>
        <v>0</v>
      </c>
      <c r="W50" s="294"/>
      <c r="X50" s="294"/>
      <c r="Y50" s="247">
        <f>IF(OR(L50="3.2.1.", L50="3.2.2."), VLOOKUP(L50, Работы!$A$3:$D$184, 4, 0), 0)</f>
        <v>0</v>
      </c>
      <c r="Z50" s="247">
        <f>IF(OR(L50="3.4.1.", L50="3.4.2."), VLOOKUP(L50, Работы!$A$3:$D$184, 4, 0), 0)</f>
        <v>0</v>
      </c>
      <c r="AA50" s="68">
        <f>P50*O50+Q50*T50+R50*T50+S50*T50+U50+V50+W50*Y50+X50*Y50+Z50</f>
        <v>4143</v>
      </c>
      <c r="AB50" s="295"/>
      <c r="AC50" s="296"/>
      <c r="AD50" s="296"/>
      <c r="AE50" s="69">
        <f>AC50*AD50</f>
        <v>0</v>
      </c>
      <c r="AF50" s="71">
        <f>C50*Работы!$D$180</f>
        <v>0</v>
      </c>
      <c r="AG50" s="68">
        <f>AA50+AE50+AF50+AL50+AM50</f>
        <v>4143</v>
      </c>
      <c r="AH50" s="72"/>
      <c r="AI50" s="73"/>
      <c r="AJ50" s="245">
        <f>AG50-AA50*AI50</f>
        <v>4143</v>
      </c>
      <c r="AK50" s="251"/>
      <c r="AL50" s="302">
        <f>IF(OR(E50="да"), 4040, 0)</f>
        <v>0</v>
      </c>
      <c r="AM50" s="365">
        <f>IF(OR(D50="доп."), AA50*0.1, 0)</f>
        <v>0</v>
      </c>
      <c r="AN50" s="251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43"/>
      <c r="BW50" s="43"/>
      <c r="BX50" s="43"/>
      <c r="BY50" s="43"/>
      <c r="BZ50" s="43"/>
      <c r="CA50" s="43"/>
      <c r="CB50" s="43"/>
      <c r="CC50" s="43"/>
      <c r="CD50" s="43"/>
      <c r="CE50" s="43"/>
      <c r="CF50" s="43"/>
      <c r="CG50" s="43"/>
      <c r="CH50" s="43"/>
      <c r="CI50" s="43"/>
      <c r="CJ50" s="43"/>
      <c r="CK50" s="43"/>
      <c r="CL50" s="43"/>
      <c r="CM50" s="43"/>
      <c r="CN50" s="43"/>
      <c r="CO50" s="43"/>
      <c r="CP50" s="43"/>
      <c r="CQ50" s="43"/>
    </row>
    <row r="51" spans="1:95" s="43" customFormat="1" ht="114.75" x14ac:dyDescent="0.25">
      <c r="A51" s="241">
        <f>ROW(A51)-10</f>
        <v>41</v>
      </c>
      <c r="B51" s="335" t="s">
        <v>439</v>
      </c>
      <c r="C51" s="241">
        <v>0</v>
      </c>
      <c r="D51" s="242" t="str">
        <f>VLOOKUP(B51, Расстояния!B:K, 10, 0)</f>
        <v>осн.</v>
      </c>
      <c r="E51" s="242" t="str">
        <f>VLOOKUP(B51, Расстояния!B:F, 5, 0)</f>
        <v>нет</v>
      </c>
      <c r="F51" s="290"/>
      <c r="G51" s="305"/>
      <c r="H51" s="305">
        <v>46108.607638888891</v>
      </c>
      <c r="I51" s="305">
        <v>46108.65</v>
      </c>
      <c r="J51" s="303" t="s">
        <v>4043</v>
      </c>
      <c r="K51" s="306"/>
      <c r="L51" s="292" t="s">
        <v>198</v>
      </c>
      <c r="M51" s="241" t="str">
        <f>VLOOKUP(L51, Работы!A:B, 2, 0)</f>
        <v>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</v>
      </c>
      <c r="N51" s="330" t="s">
        <v>4259</v>
      </c>
      <c r="O51" s="298">
        <v>1</v>
      </c>
      <c r="P51" s="248">
        <f>IF(OR(L51="3.3.1.", L51="3.3.2.", L51="3.3.3.", L51="3.1.1.", L51="3.1.2.", L51="3.4.1.", L51="3.4.2."), 0, VLOOKUP(L51, Работы!$A$3:$D$184, 4, 0))</f>
        <v>735</v>
      </c>
      <c r="Q51" s="243"/>
      <c r="R51" s="243"/>
      <c r="S51" s="243"/>
      <c r="T51" s="244">
        <f>IF(OR(L51="3.3.1.", L51="3.3.2.", L51="3.3.3."), VLOOKUP(L51, Работы!$A$3:$D$184, 4, 0), 0)</f>
        <v>0</v>
      </c>
      <c r="U51" s="246">
        <f>IF(OR(L51="3.1.1."), VLOOKUP(L51, Работы!$A$3:$D$184, 4, 0), 0)</f>
        <v>0</v>
      </c>
      <c r="V51" s="246">
        <f>IF(OR(L51="3.1.2."), VLOOKUP(L51, Работы!$A$3:$D$184, 4, 0), 0)</f>
        <v>0</v>
      </c>
      <c r="W51" s="246"/>
      <c r="X51" s="246"/>
      <c r="Y51" s="247">
        <f>IF(OR(L51="3.2.1.", L51="3.2.2."), VLOOKUP(L51, Работы!$A$3:$D$184, 4, 0), 0)</f>
        <v>0</v>
      </c>
      <c r="Z51" s="247">
        <f>IF(OR(L51="3.4.1.", L51="3.4.2."), VLOOKUP(L51, Работы!$A$3:$D$184, 4, 0), 0)</f>
        <v>0</v>
      </c>
      <c r="AA51" s="68">
        <f>P51*O51+Q51*T51+R51*T51+S51*T51+U51+V51+W51*Y51+X51*Y51+Z51</f>
        <v>735</v>
      </c>
      <c r="AB51" s="69"/>
      <c r="AC51" s="70"/>
      <c r="AD51" s="70"/>
      <c r="AE51" s="69">
        <f>AC51*AD51</f>
        <v>0</v>
      </c>
      <c r="AF51" s="71">
        <f>C51*Работы!$D$180</f>
        <v>0</v>
      </c>
      <c r="AG51" s="68">
        <f>AA51+AE51+AF51+AL51+AM51</f>
        <v>735</v>
      </c>
      <c r="AH51" s="72"/>
      <c r="AI51" s="73"/>
      <c r="AJ51" s="245">
        <f>AG51-AA51*AI51</f>
        <v>735</v>
      </c>
      <c r="AK51" s="251"/>
      <c r="AL51" s="302">
        <f>IF(OR(E51="да"), 4040, 0)</f>
        <v>0</v>
      </c>
      <c r="AM51" s="365">
        <f>IF(OR(D51="доп."), AA51*0.1, 0)</f>
        <v>0</v>
      </c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</row>
    <row r="52" spans="1:95" s="43" customFormat="1" ht="51" x14ac:dyDescent="0.25">
      <c r="A52" s="241">
        <f>ROW(A52)-10</f>
        <v>42</v>
      </c>
      <c r="B52" s="335" t="s">
        <v>1733</v>
      </c>
      <c r="C52" s="241">
        <f>VLOOKUP(B52, Расстояния!B:J, 9, 0)</f>
        <v>107</v>
      </c>
      <c r="D52" s="242" t="str">
        <f>VLOOKUP(B52, Расстояния!B:K, 10, 0)</f>
        <v>осн.</v>
      </c>
      <c r="E52" s="242" t="str">
        <f>VLOOKUP(B52, Расстояния!B:F, 5, 0)</f>
        <v>нет</v>
      </c>
      <c r="F52" s="290" t="s">
        <v>4170</v>
      </c>
      <c r="G52" s="305">
        <v>46101.402777777781</v>
      </c>
      <c r="H52" s="345">
        <v>46101.479166666664</v>
      </c>
      <c r="I52" s="345">
        <v>46101.515277777777</v>
      </c>
      <c r="J52" s="331" t="s">
        <v>4164</v>
      </c>
      <c r="K52" s="306"/>
      <c r="L52" s="250" t="s">
        <v>321</v>
      </c>
      <c r="M52" s="241" t="str">
        <f>VLOOKUP(L52, Работы!A:B, 2, 0)</f>
        <v>Стоимость аварийно-восстановительных работ, заявка по которым получена в течение рабочего времени</v>
      </c>
      <c r="N52" s="347" t="s">
        <v>4267</v>
      </c>
      <c r="O52" s="298"/>
      <c r="P52" s="248">
        <f>IF(OR(L52="3.3.1.", L52="3.3.2.", L52="3.3.3.", L52="3.1.1.", L52="3.1.2.", L52="3.4.1.", L52="3.4.2."), 0, VLOOKUP(L52, Работы!$A$3:$D$184, 4, 0))</f>
        <v>0</v>
      </c>
      <c r="Q52" s="243"/>
      <c r="R52" s="243"/>
      <c r="S52" s="243"/>
      <c r="T52" s="244">
        <f>IF(OR(L52="3.3.1.", L52="3.3.2.", L52="3.3.3."), VLOOKUP(L52, Работы!$A$3:$D$184, 4, 0), 0)</f>
        <v>0</v>
      </c>
      <c r="U52" s="246">
        <f>IF(OR(L52="3.1.1."), VLOOKUP(L52, Работы!$A$3:$D$184, 4, 0), 0)</f>
        <v>3956</v>
      </c>
      <c r="V52" s="246">
        <f>IF(OR(L52="3.1.2."), VLOOKUP(L52, Работы!$A$3:$D$184, 4, 0), 0)</f>
        <v>0</v>
      </c>
      <c r="W52" s="246"/>
      <c r="X52" s="246"/>
      <c r="Y52" s="247">
        <f>IF(OR(L52="3.2.1.", L52="3.2.2."), VLOOKUP(L52, Работы!$A$3:$D$184, 4, 0), 0)</f>
        <v>0</v>
      </c>
      <c r="Z52" s="247">
        <f>IF(OR(L52="3.4.1.", L52="3.4.2."), VLOOKUP(L52, Работы!$A$3:$D$184, 4, 0), 0)</f>
        <v>0</v>
      </c>
      <c r="AA52" s="68">
        <f>P52*O52+Q52*T52+R52*T52+S52*T52+U52+V52+W52*Y52+X52*Y52+Z52</f>
        <v>3956</v>
      </c>
      <c r="AB52" s="69"/>
      <c r="AC52" s="70"/>
      <c r="AD52" s="70"/>
      <c r="AE52" s="69">
        <f>AC52*AD52</f>
        <v>0</v>
      </c>
      <c r="AF52" s="71">
        <f>C52*Работы!$D$180</f>
        <v>5757.67</v>
      </c>
      <c r="AG52" s="68">
        <f>AA52+AE52+AF52+AL52+AM52</f>
        <v>9713.67</v>
      </c>
      <c r="AH52" s="72"/>
      <c r="AI52" s="73"/>
      <c r="AJ52" s="245">
        <f>AG52-AA52*AI52</f>
        <v>9713.67</v>
      </c>
      <c r="AK52" s="301"/>
      <c r="AL52" s="302">
        <f>IF(OR(E52="да"), 4040, 0)</f>
        <v>0</v>
      </c>
      <c r="AM52" s="365">
        <f>IF(OR(D52="доп."), AA52*0.1, 0)</f>
        <v>0</v>
      </c>
      <c r="AN52" s="1287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</row>
    <row r="53" spans="1:95" s="43" customFormat="1" ht="102" x14ac:dyDescent="0.25">
      <c r="A53" s="241">
        <f>ROW(A53)-10</f>
        <v>43</v>
      </c>
      <c r="B53" s="335" t="s">
        <v>448</v>
      </c>
      <c r="C53" s="241">
        <f>VLOOKUP(B53, Расстояния!B:J, 9, 0)</f>
        <v>23</v>
      </c>
      <c r="D53" s="242" t="str">
        <f>VLOOKUP(B53, Расстояния!B:K, 10, 0)</f>
        <v>осн.</v>
      </c>
      <c r="E53" s="242" t="str">
        <f>VLOOKUP(B53, Расстояния!B:F, 5, 0)</f>
        <v>нет</v>
      </c>
      <c r="F53" s="290" t="s">
        <v>4111</v>
      </c>
      <c r="G53" s="305">
        <v>46100.475694444445</v>
      </c>
      <c r="H53" s="305">
        <v>46100.531944444447</v>
      </c>
      <c r="I53" s="305">
        <v>46100.626388888886</v>
      </c>
      <c r="J53" s="303" t="s">
        <v>4043</v>
      </c>
      <c r="K53" s="306"/>
      <c r="L53" s="250" t="s">
        <v>367</v>
      </c>
      <c r="M53" s="241" t="str">
        <f>VLOOKUP(L53,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53" s="330" t="s">
        <v>3843</v>
      </c>
      <c r="O53" s="298"/>
      <c r="P53" s="248">
        <f>IF(OR(L53="3.3.1.", L53="3.3.2.", L53="3.3.3.", L53="3.1.1.", L53="3.1.2.", L53="3.4.1.", L53="3.4.2."), 0, VLOOKUP(L53, Работы!$A$3:$D$184, 4, 0))</f>
        <v>0</v>
      </c>
      <c r="Q53" s="243">
        <f>ROUNDUP((I53-H53)*24, 0)</f>
        <v>3</v>
      </c>
      <c r="R53" s="243"/>
      <c r="S53" s="243"/>
      <c r="T53" s="244">
        <f>IF(OR(L53="3.3.1.", L53="3.3.2.", L53="3.3.3."), VLOOKUP(L53, Работы!$A$3:$D$184, 4, 0), 0)</f>
        <v>903</v>
      </c>
      <c r="U53" s="246">
        <f>IF(OR(L53="3.1.1."), VLOOKUP(L53, Работы!$A$3:$D$184, 4, 0), 0)</f>
        <v>0</v>
      </c>
      <c r="V53" s="246">
        <f>IF(OR(L53="3.1.2."), VLOOKUP(L53, Работы!$A$3:$D$184, 4, 0), 0)</f>
        <v>0</v>
      </c>
      <c r="W53" s="246"/>
      <c r="X53" s="246"/>
      <c r="Y53" s="247">
        <f>IF(OR(L53="3.2.1.", L53="3.2.2."), VLOOKUP(L53, Работы!$A$3:$D$184, 4, 0), 0)</f>
        <v>0</v>
      </c>
      <c r="Z53" s="247">
        <f>IF(OR(L53="3.4.1.", L53="3.4.2."), VLOOKUP(L53, Работы!$A$3:$D$184, 4, 0), 0)</f>
        <v>0</v>
      </c>
      <c r="AA53" s="68">
        <f>P53*O53+Q53*T53+R53*T53+S53*T53+U53+V53+W53*Y53+X53*Y53+Z53</f>
        <v>2709</v>
      </c>
      <c r="AB53" s="69"/>
      <c r="AC53" s="70"/>
      <c r="AD53" s="70"/>
      <c r="AE53" s="69">
        <f>AC53*AD53</f>
        <v>0</v>
      </c>
      <c r="AF53" s="71">
        <f>C53*Работы!$D$180</f>
        <v>1237.6300000000001</v>
      </c>
      <c r="AG53" s="68">
        <f>AA53+AE53+AF53+AL53+AM53</f>
        <v>3946.63</v>
      </c>
      <c r="AH53" s="72"/>
      <c r="AI53" s="73"/>
      <c r="AJ53" s="245">
        <f>AG53-AA53*AI53</f>
        <v>3946.63</v>
      </c>
      <c r="AK53" s="251"/>
      <c r="AL53" s="302">
        <f>IF(OR(E53="да"), 4040, 0)</f>
        <v>0</v>
      </c>
      <c r="AM53" s="365">
        <f>IF(OR(D53="доп."), AA53*0.1, 0)</f>
        <v>0</v>
      </c>
      <c r="AN53" s="251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</row>
    <row r="54" spans="1:95" s="75" customFormat="1" ht="38.25" x14ac:dyDescent="0.25">
      <c r="A54" s="241">
        <f>ROW(A54)-10</f>
        <v>44</v>
      </c>
      <c r="B54" s="335" t="s">
        <v>448</v>
      </c>
      <c r="C54" s="241">
        <v>0</v>
      </c>
      <c r="D54" s="242" t="str">
        <f>VLOOKUP(B54, Расстояния!B:K, 10, 0)</f>
        <v>осн.</v>
      </c>
      <c r="E54" s="242" t="str">
        <f>VLOOKUP(B54, Расстояния!B:F, 5, 0)</f>
        <v>нет</v>
      </c>
      <c r="F54" s="290" t="s">
        <v>4112</v>
      </c>
      <c r="G54" s="305">
        <v>46100.55972222222</v>
      </c>
      <c r="H54" s="305">
        <v>46100.531944444447</v>
      </c>
      <c r="I54" s="305">
        <v>46100.626388888886</v>
      </c>
      <c r="J54" s="303" t="s">
        <v>4043</v>
      </c>
      <c r="K54" s="306"/>
      <c r="L54" s="292" t="s">
        <v>268</v>
      </c>
      <c r="M54" s="241" t="str">
        <f>VLOOKUP(L54, Работы!A:B, 2, 0)</f>
        <v xml:space="preserve">Замена вводного автоматического выключателя, рубильника </v>
      </c>
      <c r="N54" s="330" t="s">
        <v>4126</v>
      </c>
      <c r="O54" s="298">
        <v>1</v>
      </c>
      <c r="P54" s="248">
        <f>IF(OR(L54="3.3.1.", L54="3.3.2.", L54="3.3.3.", L54="3.1.1.", L54="3.1.2.", L54="3.4.1.", L54="3.4.2."), 0, VLOOKUP(L54, Работы!$A$3:$D$184, 4, 0))</f>
        <v>987</v>
      </c>
      <c r="Q54" s="243"/>
      <c r="R54" s="243"/>
      <c r="S54" s="243"/>
      <c r="T54" s="244">
        <f>IF(OR(L54="3.3.1.", L54="3.3.2.", L54="3.3.3."), VLOOKUP(L54, Работы!$A$3:$D$184, 4, 0), 0)</f>
        <v>0</v>
      </c>
      <c r="U54" s="246">
        <f>IF(OR(L54="3.1.1."), VLOOKUP(L54, Работы!$A$3:$D$184, 4, 0), 0)</f>
        <v>0</v>
      </c>
      <c r="V54" s="246">
        <f>IF(OR(L54="3.1.2."), VLOOKUP(L54, Работы!$A$3:$D$184, 4, 0), 0)</f>
        <v>0</v>
      </c>
      <c r="W54" s="246"/>
      <c r="X54" s="246"/>
      <c r="Y54" s="247">
        <f>IF(OR(L54="3.2.1.", L54="3.2.2."), VLOOKUP(L54, Работы!$A$3:$D$184, 4, 0), 0)</f>
        <v>0</v>
      </c>
      <c r="Z54" s="247">
        <f>IF(OR(L54="3.4.1.", L54="3.4.2."), VLOOKUP(L54, Работы!$A$3:$D$184, 4, 0), 0)</f>
        <v>0</v>
      </c>
      <c r="AA54" s="68">
        <f>P54*O54+Q54*T54+R54*T54+S54*T54+U54+V54+W54*Y54+X54*Y54+Z54</f>
        <v>987</v>
      </c>
      <c r="AB54" s="307"/>
      <c r="AC54" s="308"/>
      <c r="AD54" s="308"/>
      <c r="AE54" s="69">
        <f>AC54*AD54</f>
        <v>0</v>
      </c>
      <c r="AF54" s="71">
        <f>C54*Работы!$D$180</f>
        <v>0</v>
      </c>
      <c r="AG54" s="68">
        <f>AA54+AE54+AF54+AL54+AM54</f>
        <v>987</v>
      </c>
      <c r="AH54" s="72"/>
      <c r="AI54" s="73"/>
      <c r="AJ54" s="245">
        <f>AG54-AA54*AI54</f>
        <v>987</v>
      </c>
      <c r="AK54" s="251"/>
      <c r="AL54" s="302">
        <f>IF(OR(E54="да"), 4040, 0)</f>
        <v>0</v>
      </c>
      <c r="AM54" s="365">
        <f>IF(OR(D54="доп."), AA54*0.1, 0)</f>
        <v>0</v>
      </c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</row>
    <row r="55" spans="1:95" s="43" customFormat="1" ht="76.5" x14ac:dyDescent="0.25">
      <c r="A55" s="241">
        <f>ROW(A55)-10</f>
        <v>45</v>
      </c>
      <c r="B55" s="335" t="s">
        <v>448</v>
      </c>
      <c r="C55" s="241">
        <v>0</v>
      </c>
      <c r="D55" s="242" t="str">
        <f>VLOOKUP(B55, Расстояния!B:K, 10, 0)</f>
        <v>осн.</v>
      </c>
      <c r="E55" s="242" t="str">
        <f>VLOOKUP(B55, Расстояния!B:F, 5, 0)</f>
        <v>нет</v>
      </c>
      <c r="F55" s="290" t="s">
        <v>4112</v>
      </c>
      <c r="G55" s="305">
        <v>46100.55972222222</v>
      </c>
      <c r="H55" s="305">
        <v>46100.531944444447</v>
      </c>
      <c r="I55" s="305">
        <v>46100.626388888886</v>
      </c>
      <c r="J55" s="303" t="s">
        <v>4043</v>
      </c>
      <c r="K55" s="332"/>
      <c r="L55" s="292"/>
      <c r="M55" s="241"/>
      <c r="N55" s="330"/>
      <c r="O55" s="298"/>
      <c r="P55" s="248"/>
      <c r="Q55" s="243"/>
      <c r="R55" s="243"/>
      <c r="S55" s="243"/>
      <c r="T55" s="244">
        <f>IF(OR(L55="3.3.1.", L55="3.3.2.", L55="3.3.3."), VLOOKUP(L55, Работы!$A$3:$D$184, 4, 0), 0)</f>
        <v>0</v>
      </c>
      <c r="U55" s="246">
        <f>IF(OR(L55="3.1.1."), VLOOKUP(L55, Работы!$A$3:$D$184, 4, 0), 0)</f>
        <v>0</v>
      </c>
      <c r="V55" s="246">
        <f>IF(OR(L55="3.1.2."), VLOOKUP(L55, Работы!$A$3:$D$184, 4, 0), 0)</f>
        <v>0</v>
      </c>
      <c r="W55" s="246"/>
      <c r="X55" s="246"/>
      <c r="Y55" s="247">
        <f>IF(OR(L55="3.2.1.", L55="3.2.2."), VLOOKUP(L55, Работы!$A$3:$D$184, 4, 0), 0)</f>
        <v>0</v>
      </c>
      <c r="Z55" s="247">
        <f>IF(OR(L55="3.4.1.", L55="3.4.2."), VLOOKUP(L55, Работы!$A$3:$D$184, 4, 0), 0)</f>
        <v>0</v>
      </c>
      <c r="AA55" s="68">
        <f>P55*O55+Q55*T55+R55*T55+S55*T55+U55+V55+W55*Y55+X55*Y55+Z55</f>
        <v>0</v>
      </c>
      <c r="AB55" s="307" t="s">
        <v>4127</v>
      </c>
      <c r="AC55" s="308">
        <v>1</v>
      </c>
      <c r="AD55" s="308">
        <v>1650</v>
      </c>
      <c r="AE55" s="69">
        <f>AC55*AD55</f>
        <v>1650</v>
      </c>
      <c r="AF55" s="71">
        <f>C55*Работы!$D$180</f>
        <v>0</v>
      </c>
      <c r="AG55" s="68">
        <f>AA55+AE55+AF55+AL55+AM55</f>
        <v>1650</v>
      </c>
      <c r="AH55" s="72"/>
      <c r="AI55" s="73"/>
      <c r="AJ55" s="245">
        <f>AG55-AA55*AI55</f>
        <v>1650</v>
      </c>
      <c r="AK55" s="251"/>
      <c r="AL55" s="302">
        <f>IF(OR(E55="да"), 4040, 0)</f>
        <v>0</v>
      </c>
      <c r="AM55" s="365">
        <f>IF(OR(D55="доп."), AA55*0.1, 0)</f>
        <v>0</v>
      </c>
      <c r="AN55" s="1287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</row>
    <row r="56" spans="1:95" s="43" customFormat="1" ht="38.25" x14ac:dyDescent="0.25">
      <c r="A56" s="241">
        <f>ROW(A56)-10</f>
        <v>46</v>
      </c>
      <c r="B56" s="335" t="s">
        <v>468</v>
      </c>
      <c r="C56" s="241">
        <f>VLOOKUP(B56, Расстояния!B:J, 9, 0)</f>
        <v>10</v>
      </c>
      <c r="D56" s="242" t="str">
        <f>VLOOKUP(B56, Расстояния!B:K, 10, 0)</f>
        <v>осн.</v>
      </c>
      <c r="E56" s="242" t="str">
        <f>VLOOKUP(B56, Расстояния!B:F, 5, 0)</f>
        <v>нет</v>
      </c>
      <c r="F56" s="290"/>
      <c r="G56" s="305"/>
      <c r="H56" s="305">
        <v>46104.589583333334</v>
      </c>
      <c r="I56" s="305">
        <v>46104.664583333331</v>
      </c>
      <c r="J56" s="303" t="s">
        <v>4043</v>
      </c>
      <c r="K56" s="306"/>
      <c r="L56" s="250" t="s">
        <v>296</v>
      </c>
      <c r="M56" s="241" t="str">
        <f>VLOOKUP(L56, Работы!A:B, 2, 0)</f>
        <v>Техническое обслуживание БС</v>
      </c>
      <c r="N56" s="330" t="s">
        <v>298</v>
      </c>
      <c r="O56" s="298">
        <v>1</v>
      </c>
      <c r="P56" s="248">
        <f>IF(OR(L56="3.3.1.", L56="3.3.2.", L56="3.3.3.", L56="3.1.1.", L56="3.1.2.", L56="3.4.1.", L56="3.4.2."), 0, VLOOKUP(L56, Работы!$A$3:$D$184, 4, 0))</f>
        <v>4143</v>
      </c>
      <c r="Q56" s="243"/>
      <c r="R56" s="243"/>
      <c r="S56" s="243"/>
      <c r="T56" s="244">
        <f>IF(OR(L56="3.3.1.", L56="3.3.2.", L56="3.3.3."), VLOOKUP(L56, Работы!$A$3:$D$184, 4, 0), 0)</f>
        <v>0</v>
      </c>
      <c r="U56" s="246">
        <f>IF(OR(L56="3.1.1."), VLOOKUP(L56, Работы!$A$3:$D$184, 4, 0), 0)</f>
        <v>0</v>
      </c>
      <c r="V56" s="246">
        <f>IF(OR(L56="3.1.2."), VLOOKUP(L56, Работы!$A$3:$D$184, 4, 0), 0)</f>
        <v>0</v>
      </c>
      <c r="W56" s="246"/>
      <c r="X56" s="246"/>
      <c r="Y56" s="247">
        <f>IF(OR(L56="3.2.1.", L56="3.2.2."), VLOOKUP(L56, Работы!$A$3:$D$184, 4, 0), 0)</f>
        <v>0</v>
      </c>
      <c r="Z56" s="247">
        <f>IF(OR(L56="3.4.1.", L56="3.4.2."), VLOOKUP(L56, Работы!$A$3:$D$184, 4, 0), 0)</f>
        <v>0</v>
      </c>
      <c r="AA56" s="68">
        <f>P56*O56+Q56*T56+R56*T56+S56*T56+U56+V56+W56*Y56+X56*Y56+Z56</f>
        <v>4143</v>
      </c>
      <c r="AB56" s="69"/>
      <c r="AC56" s="70"/>
      <c r="AD56" s="70"/>
      <c r="AE56" s="69">
        <f>AC56*AD56</f>
        <v>0</v>
      </c>
      <c r="AF56" s="71">
        <f>C56*Работы!$D$180</f>
        <v>538.1</v>
      </c>
      <c r="AG56" s="68">
        <f>AA56+AE56+AF56+AL56+AM56</f>
        <v>4681.1000000000004</v>
      </c>
      <c r="AH56" s="72"/>
      <c r="AI56" s="73"/>
      <c r="AJ56" s="245">
        <f>AG56-AA56*AI56</f>
        <v>4681.1000000000004</v>
      </c>
      <c r="AK56" s="251"/>
      <c r="AL56" s="302">
        <f>IF(OR(E56="да"), 4040, 0)</f>
        <v>0</v>
      </c>
      <c r="AM56" s="365">
        <f>IF(OR(D56="доп."), AA56*0.1, 0)</f>
        <v>0</v>
      </c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</row>
    <row r="57" spans="1:95" s="75" customFormat="1" ht="38.25" x14ac:dyDescent="0.25">
      <c r="A57" s="241">
        <f>ROW(A57)-10</f>
        <v>47</v>
      </c>
      <c r="B57" s="335" t="s">
        <v>470</v>
      </c>
      <c r="C57" s="241">
        <f>VLOOKUP(B57, Расстояния!B:J, 9, 0)</f>
        <v>9</v>
      </c>
      <c r="D57" s="242" t="str">
        <f>VLOOKUP(B57, Расстояния!B:K, 10, 0)</f>
        <v>осн.</v>
      </c>
      <c r="E57" s="242" t="str">
        <f>VLOOKUP(B57, Расстояния!B:F, 5, 0)</f>
        <v>нет</v>
      </c>
      <c r="F57" s="290"/>
      <c r="G57" s="305"/>
      <c r="H57" s="305">
        <v>46099.543055555558</v>
      </c>
      <c r="I57" s="305">
        <v>46099.654861111114</v>
      </c>
      <c r="J57" s="303" t="s">
        <v>4043</v>
      </c>
      <c r="K57" s="306"/>
      <c r="L57" s="250" t="s">
        <v>296</v>
      </c>
      <c r="M57" s="241" t="str">
        <f>VLOOKUP(L57, Работы!A:B, 2, 0)</f>
        <v>Техническое обслуживание БС</v>
      </c>
      <c r="N57" s="330" t="s">
        <v>298</v>
      </c>
      <c r="O57" s="298">
        <v>1</v>
      </c>
      <c r="P57" s="248">
        <f>IF(OR(L57="3.3.1.", L57="3.3.2.", L57="3.3.3.", L57="3.1.1.", L57="3.1.2.", L57="3.4.1.", L57="3.4.2."), 0, VLOOKUP(L57, Работы!$A$3:$D$184, 4, 0))</f>
        <v>4143</v>
      </c>
      <c r="Q57" s="243"/>
      <c r="R57" s="243"/>
      <c r="S57" s="243"/>
      <c r="T57" s="244">
        <f>IF(OR(L57="3.3.1.", L57="3.3.2.", L57="3.3.3."), VLOOKUP(L57, Работы!$A$3:$D$184, 4, 0), 0)</f>
        <v>0</v>
      </c>
      <c r="U57" s="246">
        <f>IF(OR(L57="3.1.1."), VLOOKUP(L57, Работы!$A$3:$D$184, 4, 0), 0)</f>
        <v>0</v>
      </c>
      <c r="V57" s="246">
        <f>IF(OR(L57="3.1.2."), VLOOKUP(L57, Работы!$A$3:$D$184, 4, 0), 0)</f>
        <v>0</v>
      </c>
      <c r="W57" s="246"/>
      <c r="X57" s="246"/>
      <c r="Y57" s="247">
        <f>IF(OR(L57="3.2.1.", L57="3.2.2."), VLOOKUP(L57, Работы!$A$3:$D$184, 4, 0), 0)</f>
        <v>0</v>
      </c>
      <c r="Z57" s="247">
        <f>IF(OR(L57="3.4.1.", L57="3.4.2."), VLOOKUP(L57, Работы!$A$3:$D$184, 4, 0), 0)</f>
        <v>0</v>
      </c>
      <c r="AA57" s="68">
        <f>P57*O57+Q57*T57+R57*T57+S57*T57+U57+V57+W57*Y57+X57*Y57+Z57</f>
        <v>4143</v>
      </c>
      <c r="AB57" s="69"/>
      <c r="AC57" s="70"/>
      <c r="AD57" s="70"/>
      <c r="AE57" s="69">
        <f>AC57*AD57</f>
        <v>0</v>
      </c>
      <c r="AF57" s="71">
        <f>C57*Работы!$D$180</f>
        <v>484.29</v>
      </c>
      <c r="AG57" s="68">
        <f>AA57+AE57+AF57+AL57+AM57</f>
        <v>4627.29</v>
      </c>
      <c r="AH57" s="72"/>
      <c r="AI57" s="73"/>
      <c r="AJ57" s="245">
        <f>AG57-AA57*AI57</f>
        <v>4627.29</v>
      </c>
      <c r="AK57" s="251"/>
      <c r="AL57" s="302">
        <f>IF(OR(E57="да"), 4040, 0)</f>
        <v>0</v>
      </c>
      <c r="AM57" s="365">
        <f>IF(OR(D57="доп."), AA57*0.1, 0)</f>
        <v>0</v>
      </c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</row>
    <row r="58" spans="1:95" s="43" customFormat="1" ht="114.75" x14ac:dyDescent="0.25">
      <c r="A58" s="241">
        <f>ROW(A58)-10</f>
        <v>48</v>
      </c>
      <c r="B58" s="335" t="s">
        <v>470</v>
      </c>
      <c r="C58" s="241">
        <v>0</v>
      </c>
      <c r="D58" s="242" t="str">
        <f>VLOOKUP(B58, Расстояния!B:K, 10, 0)</f>
        <v>осн.</v>
      </c>
      <c r="E58" s="242" t="str">
        <f>VLOOKUP(B58, Расстояния!B:F, 5, 0)</f>
        <v>нет</v>
      </c>
      <c r="F58" s="290" t="s">
        <v>4110</v>
      </c>
      <c r="G58" s="305">
        <v>46099.625694444447</v>
      </c>
      <c r="H58" s="305">
        <v>46099.543055555558</v>
      </c>
      <c r="I58" s="305">
        <v>46099.654861111114</v>
      </c>
      <c r="J58" s="303" t="s">
        <v>4043</v>
      </c>
      <c r="K58" s="306"/>
      <c r="L58" s="292" t="s">
        <v>201</v>
      </c>
      <c r="M58" s="241" t="str">
        <f>VLOOKUP(L58, Работы!A:B, 2, 0)</f>
        <v>Восстановление крепления кабелей РРЛ, оптических кабелей, цифровых кабелей (1xAlarm, 1xLMP, 4xE1, 2xEthernet), кабелей питания DC (СИП 4*35, 4*50, ВБбШв2*25) по кабельному мосту, АМС включая зажимы, стяжки</v>
      </c>
      <c r="N58" s="330" t="s">
        <v>4253</v>
      </c>
      <c r="O58" s="298">
        <v>20</v>
      </c>
      <c r="P58" s="248">
        <f>IF(OR(L58="3.3.1.", L58="3.3.2.", L58="3.3.3.", L58="3.1.1.", L58="3.1.2.", L58="3.4.1.", L58="3.4.2."), 0, VLOOKUP(L58, Работы!$A$3:$D$184, 4, 0))</f>
        <v>158</v>
      </c>
      <c r="Q58" s="243"/>
      <c r="R58" s="243"/>
      <c r="S58" s="243"/>
      <c r="T58" s="244">
        <f>IF(OR(L58="3.3.1.", L58="3.3.2.", L58="3.3.3."), VLOOKUP(L58, Работы!$A$3:$D$184, 4, 0), 0)</f>
        <v>0</v>
      </c>
      <c r="U58" s="246">
        <f>IF(OR(L58="3.1.1."), VLOOKUP(L58, Работы!$A$3:$D$184, 4, 0), 0)</f>
        <v>0</v>
      </c>
      <c r="V58" s="246">
        <f>IF(OR(L58="3.1.2."), VLOOKUP(L58, Работы!$A$3:$D$184, 4, 0), 0)</f>
        <v>0</v>
      </c>
      <c r="W58" s="246"/>
      <c r="X58" s="246"/>
      <c r="Y58" s="247">
        <f>IF(OR(L58="3.2.1.", L58="3.2.2."), VLOOKUP(L58, Работы!$A$3:$D$184, 4, 0), 0)</f>
        <v>0</v>
      </c>
      <c r="Z58" s="247">
        <f>IF(OR(L58="3.4.1.", L58="3.4.2."), VLOOKUP(L58, Работы!$A$3:$D$184, 4, 0), 0)</f>
        <v>0</v>
      </c>
      <c r="AA58" s="68">
        <f>P58*O58+Q58*T58+R58*T58+S58*T58+U58+V58+W58*Y58+X58*Y58+Z58</f>
        <v>3160</v>
      </c>
      <c r="AB58" s="69"/>
      <c r="AC58" s="70"/>
      <c r="AD58" s="70"/>
      <c r="AE58" s="69">
        <f>AC58*AD58</f>
        <v>0</v>
      </c>
      <c r="AF58" s="71">
        <f>C58*Работы!$D$180</f>
        <v>0</v>
      </c>
      <c r="AG58" s="68">
        <f>AA58+AE58+AF58+AL58+AM58</f>
        <v>3160</v>
      </c>
      <c r="AH58" s="72"/>
      <c r="AI58" s="73"/>
      <c r="AJ58" s="245">
        <f>AG58-AA58*AI58</f>
        <v>3160</v>
      </c>
      <c r="AK58" s="251"/>
      <c r="AL58" s="302">
        <f>IF(OR(E58="да"), 4040, 0)</f>
        <v>0</v>
      </c>
      <c r="AM58" s="365">
        <f>IF(OR(D58="доп."), AA58*0.1, 0)</f>
        <v>0</v>
      </c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</row>
    <row r="59" spans="1:95" s="43" customFormat="1" ht="102" x14ac:dyDescent="0.25">
      <c r="A59" s="241">
        <f>ROW(A59)-10</f>
        <v>49</v>
      </c>
      <c r="B59" s="335" t="s">
        <v>490</v>
      </c>
      <c r="C59" s="241">
        <f>VLOOKUP(B59, Расстояния!B:J, 9, 0)</f>
        <v>107</v>
      </c>
      <c r="D59" s="242" t="str">
        <f>VLOOKUP(B59, Расстояния!B:K, 10, 0)</f>
        <v>осн.</v>
      </c>
      <c r="E59" s="242" t="str">
        <f>VLOOKUP(B59, Расстояния!B:F, 5, 0)</f>
        <v>нет</v>
      </c>
      <c r="F59" s="290" t="s">
        <v>4116</v>
      </c>
      <c r="G59" s="305">
        <v>46105.489583333336</v>
      </c>
      <c r="H59" s="305">
        <v>46105.606944444444</v>
      </c>
      <c r="I59" s="305">
        <v>46105.708333333336</v>
      </c>
      <c r="J59" s="303" t="s">
        <v>4043</v>
      </c>
      <c r="K59" s="306"/>
      <c r="L59" s="250" t="s">
        <v>367</v>
      </c>
      <c r="M59" s="241" t="str">
        <f>VLOOKUP(L59,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59" s="330" t="s">
        <v>3843</v>
      </c>
      <c r="O59" s="298"/>
      <c r="P59" s="248">
        <f>IF(OR(L59="3.3.1.", L59="3.3.2.", L59="3.3.3.", L59="3.1.1.", L59="3.1.2.", L59="3.4.1.", L59="3.4.2."), 0, VLOOKUP(L59, Работы!$A$3:$D$184, 4, 0))</f>
        <v>0</v>
      </c>
      <c r="Q59" s="243">
        <f>ROUNDUP((I59-H59)*24, 0)</f>
        <v>3</v>
      </c>
      <c r="R59" s="243"/>
      <c r="S59" s="243"/>
      <c r="T59" s="244">
        <f>IF(OR(L59="3.3.1.", L59="3.3.2.", L59="3.3.3."), VLOOKUP(L59, Работы!$A$3:$D$184, 4, 0), 0)</f>
        <v>903</v>
      </c>
      <c r="U59" s="246">
        <f>IF(OR(L59="3.1.1."), VLOOKUP(L59, Работы!$A$3:$D$184, 4, 0), 0)</f>
        <v>0</v>
      </c>
      <c r="V59" s="246">
        <f>IF(OR(L59="3.1.2."), VLOOKUP(L59, Работы!$A$3:$D$184, 4, 0), 0)</f>
        <v>0</v>
      </c>
      <c r="W59" s="246"/>
      <c r="X59" s="246"/>
      <c r="Y59" s="247">
        <f>IF(OR(L59="3.2.1.", L59="3.2.2."), VLOOKUP(L59, Работы!$A$3:$D$184, 4, 0), 0)</f>
        <v>0</v>
      </c>
      <c r="Z59" s="247">
        <f>IF(OR(L59="3.4.1.", L59="3.4.2."), VLOOKUP(L59, Работы!$A$3:$D$184, 4, 0), 0)</f>
        <v>0</v>
      </c>
      <c r="AA59" s="68">
        <f>P59*O59+Q59*T59+R59*T59+S59*T59+U59+V59+W59*Y59+X59*Y59+Z59</f>
        <v>2709</v>
      </c>
      <c r="AB59" s="299"/>
      <c r="AC59" s="300"/>
      <c r="AD59" s="300"/>
      <c r="AE59" s="69">
        <f>AC59*AD59</f>
        <v>0</v>
      </c>
      <c r="AF59" s="71">
        <f>C59*Работы!$D$180</f>
        <v>5757.67</v>
      </c>
      <c r="AG59" s="68">
        <f>AA59+AE59+AF59+AL59+AM59</f>
        <v>8466.67</v>
      </c>
      <c r="AH59" s="72"/>
      <c r="AI59" s="73"/>
      <c r="AJ59" s="245">
        <f>AG59-AA59*AI59</f>
        <v>8466.67</v>
      </c>
      <c r="AK59" s="251"/>
      <c r="AL59" s="302">
        <f>IF(OR(E59="да"), 4040, 0)</f>
        <v>0</v>
      </c>
      <c r="AM59" s="365">
        <f>IF(OR(D59="доп."), AA59*0.1, 0)</f>
        <v>0</v>
      </c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</row>
    <row r="60" spans="1:95" s="46" customFormat="1" ht="99.75" customHeight="1" x14ac:dyDescent="0.25">
      <c r="A60" s="241">
        <f>ROW(A60)-10</f>
        <v>50</v>
      </c>
      <c r="B60" s="335" t="s">
        <v>490</v>
      </c>
      <c r="C60" s="241">
        <v>0</v>
      </c>
      <c r="D60" s="242" t="str">
        <f>VLOOKUP(B60, Расстояния!B:K, 10, 0)</f>
        <v>осн.</v>
      </c>
      <c r="E60" s="242" t="str">
        <f>VLOOKUP(B60, Расстояния!B:F, 5, 0)</f>
        <v>нет</v>
      </c>
      <c r="F60" s="290"/>
      <c r="G60" s="305"/>
      <c r="H60" s="305">
        <v>46105.652083333334</v>
      </c>
      <c r="I60" s="305">
        <v>46105.708333333336</v>
      </c>
      <c r="J60" s="303" t="s">
        <v>4043</v>
      </c>
      <c r="K60" s="332"/>
      <c r="L60" s="250" t="s">
        <v>296</v>
      </c>
      <c r="M60" s="241" t="str">
        <f>VLOOKUP(L60, Работы!A:B, 2, 0)</f>
        <v>Техническое обслуживание БС</v>
      </c>
      <c r="N60" s="330" t="s">
        <v>298</v>
      </c>
      <c r="O60" s="298">
        <v>1</v>
      </c>
      <c r="P60" s="248">
        <f>IF(OR(L60="3.3.1.", L60="3.3.2.", L60="3.3.3.", L60="3.1.1.", L60="3.1.2.", L60="3.4.1.", L60="3.4.2."), 0, VLOOKUP(L60, Работы!$A$3:$D$184, 4, 0))</f>
        <v>4143</v>
      </c>
      <c r="Q60" s="243"/>
      <c r="R60" s="243"/>
      <c r="S60" s="243"/>
      <c r="T60" s="244">
        <f>IF(OR(L60="3.3.1.", L60="3.3.2.", L60="3.3.3."), VLOOKUP(L60, Работы!$A$3:$D$184, 4, 0), 0)</f>
        <v>0</v>
      </c>
      <c r="U60" s="246">
        <f>IF(OR(L60="3.1.1."), VLOOKUP(L60, Работы!$A$3:$D$184, 4, 0), 0)</f>
        <v>0</v>
      </c>
      <c r="V60" s="246">
        <f>IF(OR(L60="3.1.2."), VLOOKUP(L60, Работы!$A$3:$D$184, 4, 0), 0)</f>
        <v>0</v>
      </c>
      <c r="W60" s="246"/>
      <c r="X60" s="246"/>
      <c r="Y60" s="247">
        <f>IF(OR(L60="3.2.1.", L60="3.2.2."), VLOOKUP(L60, Работы!$A$3:$D$184, 4, 0), 0)</f>
        <v>0</v>
      </c>
      <c r="Z60" s="247">
        <f>IF(OR(L60="3.4.1.", L60="3.4.2."), VLOOKUP(L60, Работы!$A$3:$D$184, 4, 0), 0)</f>
        <v>0</v>
      </c>
      <c r="AA60" s="68">
        <f>P60*O60+Q60*T60+R60*T60+S60*T60+U60+V60+W60*Y60+X60*Y60+Z60</f>
        <v>4143</v>
      </c>
      <c r="AB60" s="69"/>
      <c r="AC60" s="70"/>
      <c r="AD60" s="70"/>
      <c r="AE60" s="69">
        <f>AC60*AD60</f>
        <v>0</v>
      </c>
      <c r="AF60" s="71">
        <f>C60*Работы!$D$180</f>
        <v>0</v>
      </c>
      <c r="AG60" s="68">
        <f>AA60+AE60+AF60+AL60+AM60</f>
        <v>4143</v>
      </c>
      <c r="AH60" s="72"/>
      <c r="AI60" s="73"/>
      <c r="AJ60" s="245">
        <f>AG60-AA60*AI60</f>
        <v>4143</v>
      </c>
      <c r="AK60" s="251"/>
      <c r="AL60" s="302">
        <f>IF(OR(E60="да"), 4040, 0)</f>
        <v>0</v>
      </c>
      <c r="AM60" s="365">
        <f>IF(OR(D60="доп."), AA60*0.1, 0)</f>
        <v>0</v>
      </c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</row>
    <row r="61" spans="1:95" s="46" customFormat="1" ht="25.5" x14ac:dyDescent="0.25">
      <c r="A61" s="241">
        <f>ROW(A61)-10</f>
        <v>51</v>
      </c>
      <c r="B61" s="335" t="s">
        <v>490</v>
      </c>
      <c r="C61" s="241">
        <v>0</v>
      </c>
      <c r="D61" s="242" t="str">
        <f>VLOOKUP(B61, Расстояния!B:K, 10, 0)</f>
        <v>осн.</v>
      </c>
      <c r="E61" s="242" t="str">
        <f>VLOOKUP(B61, Расстояния!B:F, 5, 0)</f>
        <v>нет</v>
      </c>
      <c r="F61" s="290"/>
      <c r="G61" s="305"/>
      <c r="H61" s="305">
        <v>46105.652083333334</v>
      </c>
      <c r="I61" s="305">
        <v>46105.708333333336</v>
      </c>
      <c r="J61" s="303" t="s">
        <v>4043</v>
      </c>
      <c r="K61" s="332"/>
      <c r="L61" s="250" t="s">
        <v>4013</v>
      </c>
      <c r="M61" s="241" t="str">
        <f>VLOOKUP(L61, Работы!A:B, 2, 0)</f>
        <v>Стоимость проведения инвентаризации Объекта.</v>
      </c>
      <c r="N61" s="330" t="s">
        <v>4304</v>
      </c>
      <c r="O61" s="298">
        <v>1</v>
      </c>
      <c r="P61" s="248">
        <f>IF(OR(L61="3.3.1.", L61="3.3.2.", L61="3.3.3.", L61="3.1.1.", L61="3.1.2.", L61="3.4.1.", L61="3.4.2."), 0, VLOOKUP(L61, Работы!$A$3:$D$184, 4, 0))</f>
        <v>735</v>
      </c>
      <c r="Q61" s="243"/>
      <c r="R61" s="243"/>
      <c r="S61" s="243"/>
      <c r="T61" s="244">
        <f>IF(OR(L61="3.3.1.", L61="3.3.2.", L61="3.3.3."), VLOOKUP(L61, Работы!$A$3:$D$184, 4, 0), 0)</f>
        <v>0</v>
      </c>
      <c r="U61" s="246">
        <f>IF(OR(L61="3.1.1."), VLOOKUP(L61, Работы!$A$3:$D$184, 4, 0), 0)</f>
        <v>0</v>
      </c>
      <c r="V61" s="246">
        <f>IF(OR(L61="3.1.2."), VLOOKUP(L61, Работы!$A$3:$D$184, 4, 0), 0)</f>
        <v>0</v>
      </c>
      <c r="W61" s="246"/>
      <c r="X61" s="246"/>
      <c r="Y61" s="247">
        <f>IF(OR(L61="3.2.1.", L61="3.2.2."), VLOOKUP(L61, Работы!$A$3:$D$184, 4, 0), 0)</f>
        <v>0</v>
      </c>
      <c r="Z61" s="247">
        <f>IF(OR(L61="3.4.1.", L61="3.4.2."), VLOOKUP(L61, Работы!$A$3:$D$184, 4, 0), 0)</f>
        <v>0</v>
      </c>
      <c r="AA61" s="68">
        <f>P61*O61+Q61*T61+R61*T61+S61*T61+U61+V61+W61*Y61+X61*Y61+Z61</f>
        <v>735</v>
      </c>
      <c r="AB61" s="69"/>
      <c r="AC61" s="70"/>
      <c r="AD61" s="70"/>
      <c r="AE61" s="69">
        <f>AC61*AD61</f>
        <v>0</v>
      </c>
      <c r="AF61" s="71">
        <f>C61*Работы!$D$180</f>
        <v>0</v>
      </c>
      <c r="AG61" s="68">
        <f>AA61+AE61+AF61+AL61+AM61</f>
        <v>735</v>
      </c>
      <c r="AH61" s="72"/>
      <c r="AI61" s="73"/>
      <c r="AJ61" s="245">
        <f>AG61-AA61*AI61</f>
        <v>735</v>
      </c>
      <c r="AK61" s="251"/>
      <c r="AL61" s="302">
        <f>IF(OR(E61="да"), 4040, 0)</f>
        <v>0</v>
      </c>
      <c r="AM61" s="365">
        <f>IF(OR(D61="доп."), AA61*0.1, 0)</f>
        <v>0</v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</row>
    <row r="62" spans="1:95" s="46" customFormat="1" ht="66.599999999999994" customHeight="1" x14ac:dyDescent="0.25">
      <c r="A62" s="241">
        <f>ROW(A62)-10</f>
        <v>52</v>
      </c>
      <c r="B62" s="335" t="s">
        <v>492</v>
      </c>
      <c r="C62" s="241">
        <f>VLOOKUP(B62, Расстояния!B:J, 9, 0)</f>
        <v>52</v>
      </c>
      <c r="D62" s="242" t="str">
        <f>VLOOKUP(B62, Расстояния!B:K, 10, 0)</f>
        <v>осн.</v>
      </c>
      <c r="E62" s="242" t="str">
        <f>VLOOKUP(B62, Расстояния!B:F, 5, 0)</f>
        <v>нет</v>
      </c>
      <c r="F62" s="290" t="s">
        <v>4157</v>
      </c>
      <c r="G62" s="305">
        <v>46105.456064814818</v>
      </c>
      <c r="H62" s="305">
        <v>46105.535416666666</v>
      </c>
      <c r="I62" s="305">
        <v>46105.740277777775</v>
      </c>
      <c r="J62" s="303" t="s">
        <v>4263</v>
      </c>
      <c r="K62" s="332"/>
      <c r="L62" s="250" t="s">
        <v>367</v>
      </c>
      <c r="M62" s="241" t="str">
        <f>VLOOKUP(L62,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62" s="330" t="s">
        <v>3843</v>
      </c>
      <c r="O62" s="298"/>
      <c r="P62" s="248">
        <f>IF(OR(L62="3.3.1.", L62="3.3.2.", L62="3.3.3.", L62="3.1.1.", L62="3.1.2.", L62="3.4.1.", L62="3.4.2."), 0, VLOOKUP(L62, Работы!$A$3:$D$184, 4, 0))</f>
        <v>0</v>
      </c>
      <c r="Q62" s="243">
        <f>ROUNDUP((I62-H62)*24, 0)</f>
        <v>5</v>
      </c>
      <c r="R62" s="243"/>
      <c r="S62" s="243"/>
      <c r="T62" s="244">
        <f>IF(OR(L62="3.3.1.", L62="3.3.2.", L62="3.3.3."), VLOOKUP(L62, Работы!$A$3:$D$184, 4, 0), 0)</f>
        <v>903</v>
      </c>
      <c r="U62" s="246">
        <f>IF(OR(L62="3.1.1."), VLOOKUP(L62, Работы!$A$3:$D$184, 4, 0), 0)</f>
        <v>0</v>
      </c>
      <c r="V62" s="246">
        <f>IF(OR(L62="3.1.2."), VLOOKUP(L62, Работы!$A$3:$D$184, 4, 0), 0)</f>
        <v>0</v>
      </c>
      <c r="W62" s="246"/>
      <c r="X62" s="246"/>
      <c r="Y62" s="247">
        <f>IF(OR(L62="3.2.1.", L62="3.2.2."), VLOOKUP(L62, Работы!$A$3:$D$184, 4, 0), 0)</f>
        <v>0</v>
      </c>
      <c r="Z62" s="247">
        <f>IF(OR(L62="3.4.1.", L62="3.4.2."), VLOOKUP(L62, Работы!$A$3:$D$184, 4, 0), 0)</f>
        <v>0</v>
      </c>
      <c r="AA62" s="68">
        <f>P62*O62+Q62*T62+R62*T62+S62*T62+U62+V62+W62*Y62+X62*Y62+Z62</f>
        <v>4515</v>
      </c>
      <c r="AB62" s="69"/>
      <c r="AC62" s="70"/>
      <c r="AD62" s="70"/>
      <c r="AE62" s="69">
        <f>AC62*AD62</f>
        <v>0</v>
      </c>
      <c r="AF62" s="71">
        <f>C62*Работы!$D$180</f>
        <v>2798.12</v>
      </c>
      <c r="AG62" s="68">
        <f>AA62+AE62+AF62+AL62+AM62</f>
        <v>7313.12</v>
      </c>
      <c r="AH62" s="72"/>
      <c r="AI62" s="73"/>
      <c r="AJ62" s="245">
        <f>AG62-AA62*AI62</f>
        <v>7313.12</v>
      </c>
      <c r="AK62" s="251"/>
      <c r="AL62" s="302">
        <f>IF(OR(E62="да"), 4040, 0)</f>
        <v>0</v>
      </c>
      <c r="AM62" s="365">
        <f>IF(OR(D62="доп."), AA62*0.1, 0)</f>
        <v>0</v>
      </c>
      <c r="AN62" s="251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</row>
    <row r="63" spans="1:95" s="46" customFormat="1" ht="102" x14ac:dyDescent="0.25">
      <c r="A63" s="241">
        <f>ROW(A63)-10</f>
        <v>53</v>
      </c>
      <c r="B63" s="335" t="s">
        <v>505</v>
      </c>
      <c r="C63" s="241">
        <f>VLOOKUP(B63, Расстояния!B:J, 9, 0)</f>
        <v>68</v>
      </c>
      <c r="D63" s="242" t="str">
        <f>VLOOKUP(B63, Расстояния!B:K, 10, 0)</f>
        <v>осн.</v>
      </c>
      <c r="E63" s="242" t="str">
        <f>VLOOKUP(B63, Расстояния!B:F, 5, 0)</f>
        <v>нет</v>
      </c>
      <c r="F63" s="290" t="s">
        <v>4308</v>
      </c>
      <c r="G63" s="305">
        <v>46106.54179398148</v>
      </c>
      <c r="H63" s="305">
        <v>46106.6875</v>
      </c>
      <c r="I63" s="305">
        <v>46106.784722222219</v>
      </c>
      <c r="J63" s="303" t="s">
        <v>4263</v>
      </c>
      <c r="K63" s="332"/>
      <c r="L63" s="250" t="s">
        <v>367</v>
      </c>
      <c r="M63" s="241" t="str">
        <f>VLOOKUP(L63,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63" s="330" t="s">
        <v>3843</v>
      </c>
      <c r="O63" s="298"/>
      <c r="P63" s="248">
        <f>IF(OR(L63="3.3.1.", L63="3.3.2.", L63="3.3.3.", L63="3.1.1.", L63="3.1.2.", L63="3.4.1.", L63="3.4.2."), 0, VLOOKUP(L63, Работы!$A$3:$D$184, 4, 0))</f>
        <v>0</v>
      </c>
      <c r="Q63" s="243">
        <f>ROUNDUP((I63-H63)*24, 0)</f>
        <v>3</v>
      </c>
      <c r="R63" s="243"/>
      <c r="S63" s="243"/>
      <c r="T63" s="244">
        <f>IF(OR(L63="3.3.1.", L63="3.3.2.", L63="3.3.3."), VLOOKUP(L63, Работы!$A$3:$D$184, 4, 0), 0)</f>
        <v>903</v>
      </c>
      <c r="U63" s="246">
        <f>IF(OR(L63="3.1.1."), VLOOKUP(L63, Работы!$A$3:$D$184, 4, 0), 0)</f>
        <v>0</v>
      </c>
      <c r="V63" s="246">
        <f>IF(OR(L63="3.1.2."), VLOOKUP(L63, Работы!$A$3:$D$184, 4, 0), 0)</f>
        <v>0</v>
      </c>
      <c r="W63" s="246"/>
      <c r="X63" s="246"/>
      <c r="Y63" s="247">
        <f>IF(OR(L63="3.2.1.", L63="3.2.2."), VLOOKUP(L63, Работы!$A$3:$D$184, 4, 0), 0)</f>
        <v>0</v>
      </c>
      <c r="Z63" s="247">
        <f>IF(OR(L63="3.4.1.", L63="3.4.2."), VLOOKUP(L63, Работы!$A$3:$D$184, 4, 0), 0)</f>
        <v>0</v>
      </c>
      <c r="AA63" s="68">
        <f>P63*O63+Q63*T63+R63*T63+S63*T63+U63+V63+W63*Y63+X63*Y63+Z63</f>
        <v>2709</v>
      </c>
      <c r="AB63" s="69"/>
      <c r="AC63" s="70"/>
      <c r="AD63" s="70"/>
      <c r="AE63" s="69">
        <f>AC63*AD63</f>
        <v>0</v>
      </c>
      <c r="AF63" s="71">
        <f>C63*Работы!$D$180</f>
        <v>3659.08</v>
      </c>
      <c r="AG63" s="68">
        <f>AA63+AE63+AF63+AL63+AM63</f>
        <v>6368.08</v>
      </c>
      <c r="AH63" s="72"/>
      <c r="AI63" s="73"/>
      <c r="AJ63" s="245">
        <f>AG63-AA63*AI63</f>
        <v>6368.08</v>
      </c>
      <c r="AK63" s="251"/>
      <c r="AL63" s="302">
        <f>IF(OR(E63="да"), 4040, 0)</f>
        <v>0</v>
      </c>
      <c r="AM63" s="365">
        <f>IF(OR(D63="доп."), AA63*0.1, 0)</f>
        <v>0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</row>
    <row r="64" spans="1:95" s="46" customFormat="1" ht="38.25" x14ac:dyDescent="0.25">
      <c r="A64" s="241">
        <f>ROW(A64)-10</f>
        <v>54</v>
      </c>
      <c r="B64" s="362" t="s">
        <v>2092</v>
      </c>
      <c r="C64" s="241">
        <f>VLOOKUP(B64, Расстояния!B:J, 9, 0)</f>
        <v>66</v>
      </c>
      <c r="D64" s="242" t="str">
        <f>VLOOKUP(B64, Расстояния!B:K, 10, 0)</f>
        <v>осн.</v>
      </c>
      <c r="E64" s="242" t="str">
        <f>VLOOKUP(B64, Расстояния!B:F, 5, 0)</f>
        <v>нет</v>
      </c>
      <c r="F64" s="336" t="s">
        <v>4184</v>
      </c>
      <c r="G64" s="305">
        <v>46108.590277777781</v>
      </c>
      <c r="H64" s="345">
        <v>46111.447222222225</v>
      </c>
      <c r="I64" s="345">
        <v>46111.493055555555</v>
      </c>
      <c r="J64" s="331" t="s">
        <v>4164</v>
      </c>
      <c r="K64" s="332"/>
      <c r="L64" s="250" t="s">
        <v>66</v>
      </c>
      <c r="M64" s="241" t="str">
        <f>VLOOKUP(L64, Работы!A:B, 2, 0)</f>
        <v>Изменение механического угла наклона или азимута одной антенны</v>
      </c>
      <c r="N64" s="346" t="s">
        <v>4275</v>
      </c>
      <c r="O64" s="298">
        <v>1</v>
      </c>
      <c r="P64" s="248">
        <f>IF(OR(L64="3.3.1.", L64="3.3.2.", L64="3.3.3.", L64="3.1.1.", L64="3.1.2.", L64="3.4.1.", L64="3.4.2."), 0, VLOOKUP(L64, Работы!$A$3:$D$184, 4, 0))</f>
        <v>2085</v>
      </c>
      <c r="Q64" s="243"/>
      <c r="R64" s="243"/>
      <c r="S64" s="243"/>
      <c r="T64" s="244">
        <f>IF(OR(L64="3.3.1.", L64="3.3.2.", L64="3.3.3."), VLOOKUP(L64, Работы!$A$3:$D$184, 4, 0), 0)</f>
        <v>0</v>
      </c>
      <c r="U64" s="246">
        <f>IF(OR(L64="3.1.1."), VLOOKUP(L64, Работы!$A$3:$D$184, 4, 0), 0)</f>
        <v>0</v>
      </c>
      <c r="V64" s="246">
        <f>IF(OR(L64="3.1.2."), VLOOKUP(L64, Работы!$A$3:$D$184, 4, 0), 0)</f>
        <v>0</v>
      </c>
      <c r="W64" s="246"/>
      <c r="X64" s="246"/>
      <c r="Y64" s="247">
        <f>IF(OR(L64="3.2.1.", L64="3.2.2."), VLOOKUP(L64, Работы!$A$3:$D$184, 4, 0), 0)</f>
        <v>0</v>
      </c>
      <c r="Z64" s="247">
        <f>IF(OR(L64="3.4.1.", L64="3.4.2."), VLOOKUP(L64, Работы!$A$3:$D$184, 4, 0), 0)</f>
        <v>0</v>
      </c>
      <c r="AA64" s="68">
        <f>P64*O64+Q64*T64+R64*T64+S64*T64+U64+V64+W64*Y64+X64*Y64+Z64</f>
        <v>2085</v>
      </c>
      <c r="AB64" s="69"/>
      <c r="AC64" s="70"/>
      <c r="AD64" s="70"/>
      <c r="AE64" s="69">
        <f>AC64*AD64</f>
        <v>0</v>
      </c>
      <c r="AF64" s="71">
        <f>C64*Работы!$D$180</f>
        <v>3551.46</v>
      </c>
      <c r="AG64" s="68">
        <f>AA64+AE64+AF64+AL64+AM64</f>
        <v>5636.46</v>
      </c>
      <c r="AH64" s="72"/>
      <c r="AI64" s="73"/>
      <c r="AJ64" s="245">
        <f>AG64-AA64*AI64</f>
        <v>5636.46</v>
      </c>
      <c r="AK64" s="251"/>
      <c r="AL64" s="302">
        <f>IF(OR(E64="да"), 4040, 0)</f>
        <v>0</v>
      </c>
      <c r="AM64" s="365">
        <f>IF(OR(D64="доп."), AA64*0.1, 0)</f>
        <v>0</v>
      </c>
      <c r="AN64" s="1287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</row>
    <row r="65" spans="1:95" s="46" customFormat="1" ht="38.25" x14ac:dyDescent="0.25">
      <c r="A65" s="241">
        <f>ROW(A65)-10</f>
        <v>55</v>
      </c>
      <c r="B65" s="1284" t="s">
        <v>1041</v>
      </c>
      <c r="C65" s="241">
        <f>VLOOKUP(B65, Расстояния!B:J, 9, 0)</f>
        <v>6</v>
      </c>
      <c r="D65" s="242" t="str">
        <f>VLOOKUP(B65, Расстояния!B:K, 10, 0)</f>
        <v>осн.</v>
      </c>
      <c r="E65" s="242" t="str">
        <f>VLOOKUP(B65, Расстояния!B:F, 5, 0)</f>
        <v>нет</v>
      </c>
      <c r="F65" s="336"/>
      <c r="G65" s="305"/>
      <c r="H65" s="345">
        <v>46108.423611111109</v>
      </c>
      <c r="I65" s="345">
        <v>46108.520833333336</v>
      </c>
      <c r="J65" s="331" t="s">
        <v>4046</v>
      </c>
      <c r="K65" s="332"/>
      <c r="L65" s="250" t="s">
        <v>296</v>
      </c>
      <c r="M65" s="241" t="str">
        <f>VLOOKUP(L65, Работы!A:B, 2, 0)</f>
        <v>Техническое обслуживание БС</v>
      </c>
      <c r="N65" s="330" t="s">
        <v>298</v>
      </c>
      <c r="O65" s="298">
        <v>1</v>
      </c>
      <c r="P65" s="248">
        <f>IF(OR(L65="3.3.1.", L65="3.3.2.", L65="3.3.3.", L65="3.1.1.", L65="3.1.2.", L65="3.4.1.", L65="3.4.2."), 0, VLOOKUP(L65, Работы!$A$3:$D$184, 4, 0))</f>
        <v>4143</v>
      </c>
      <c r="Q65" s="243"/>
      <c r="R65" s="243"/>
      <c r="S65" s="243"/>
      <c r="T65" s="244">
        <f>IF(OR(L65="3.3.1.", L65="3.3.2.", L65="3.3.3."), VLOOKUP(L65, Работы!$A$3:$D$184, 4, 0), 0)</f>
        <v>0</v>
      </c>
      <c r="U65" s="246">
        <f>IF(OR(L65="3.1.1."), VLOOKUP(L65, Работы!$A$3:$D$184, 4, 0), 0)</f>
        <v>0</v>
      </c>
      <c r="V65" s="246">
        <f>IF(OR(L65="3.1.2."), VLOOKUP(L65, Работы!$A$3:$D$184, 4, 0), 0)</f>
        <v>0</v>
      </c>
      <c r="W65" s="246"/>
      <c r="X65" s="246"/>
      <c r="Y65" s="247">
        <f>IF(OR(L65="3.2.1.", L65="3.2.2."), VLOOKUP(L65, Работы!$A$3:$D$184, 4, 0), 0)</f>
        <v>0</v>
      </c>
      <c r="Z65" s="247">
        <f>IF(OR(L65="3.4.1.", L65="3.4.2."), VLOOKUP(L65, Работы!$A$3:$D$184, 4, 0), 0)</f>
        <v>0</v>
      </c>
      <c r="AA65" s="68">
        <f>P65*O65+Q65*T65+R65*T65+S65*T65+U65+V65+W65*Y65+X65*Y65+Z65</f>
        <v>4143</v>
      </c>
      <c r="AB65" s="69"/>
      <c r="AC65" s="70"/>
      <c r="AD65" s="70"/>
      <c r="AE65" s="69">
        <f>AC65*AD65</f>
        <v>0</v>
      </c>
      <c r="AF65" s="71">
        <f>C65*Работы!$D$180</f>
        <v>322.86</v>
      </c>
      <c r="AG65" s="68">
        <f>AA65+AE65+AF65+AL65+AM65</f>
        <v>4465.8599999999997</v>
      </c>
      <c r="AH65" s="72"/>
      <c r="AI65" s="73"/>
      <c r="AJ65" s="245">
        <f>AG65-AA65*AI65</f>
        <v>4465.8599999999997</v>
      </c>
      <c r="AK65" s="251"/>
      <c r="AL65" s="302">
        <f>IF(OR(E65="да"), 4040, 0)</f>
        <v>0</v>
      </c>
      <c r="AM65" s="365">
        <f>IF(OR(D65="доп."), AA65*0.1, 0)</f>
        <v>0</v>
      </c>
      <c r="AN65" s="370"/>
      <c r="AO65" s="34"/>
      <c r="AP65" s="34"/>
      <c r="AQ65" s="34"/>
      <c r="AR65" s="34"/>
      <c r="AS65" s="34"/>
      <c r="AT65" s="370"/>
      <c r="AU65" s="370"/>
      <c r="AV65" s="370"/>
      <c r="AW65" s="370"/>
      <c r="AX65" s="370"/>
      <c r="AY65" s="370"/>
      <c r="AZ65" s="370"/>
      <c r="BA65" s="370"/>
      <c r="BB65" s="370"/>
      <c r="BC65" s="370"/>
      <c r="BD65" s="370"/>
      <c r="BE65" s="370"/>
      <c r="BF65" s="370"/>
      <c r="BG65" s="370"/>
      <c r="BH65" s="370"/>
      <c r="BI65" s="370"/>
      <c r="BJ65" s="370"/>
      <c r="BK65" s="370"/>
      <c r="BL65" s="370"/>
      <c r="BM65" s="370"/>
      <c r="BN65" s="370"/>
      <c r="BO65" s="370"/>
      <c r="BP65" s="370"/>
      <c r="BQ65" s="370"/>
      <c r="BR65" s="370"/>
      <c r="BS65" s="370"/>
      <c r="BT65" s="370"/>
      <c r="BU65" s="370"/>
      <c r="BV65" s="370"/>
      <c r="BW65" s="370"/>
      <c r="BX65" s="370"/>
      <c r="BY65" s="370"/>
      <c r="BZ65" s="370"/>
      <c r="CA65" s="370"/>
      <c r="CB65" s="370"/>
      <c r="CC65" s="370"/>
      <c r="CD65" s="370"/>
      <c r="CE65" s="370"/>
      <c r="CF65" s="370"/>
      <c r="CG65" s="370"/>
      <c r="CH65" s="370"/>
      <c r="CI65" s="370"/>
      <c r="CJ65" s="370"/>
      <c r="CK65" s="370"/>
      <c r="CL65" s="370"/>
      <c r="CM65" s="370"/>
      <c r="CN65" s="370"/>
      <c r="CO65" s="370"/>
      <c r="CP65" s="370"/>
      <c r="CQ65" s="370"/>
    </row>
    <row r="66" spans="1:95" s="46" customFormat="1" ht="38.25" x14ac:dyDescent="0.25">
      <c r="A66" s="241">
        <f>ROW(A66)-10</f>
        <v>56</v>
      </c>
      <c r="B66" s="361" t="s">
        <v>1045</v>
      </c>
      <c r="C66" s="241">
        <f>VLOOKUP(B66, Расстояния!B:J, 9, 0)</f>
        <v>5</v>
      </c>
      <c r="D66" s="242" t="str">
        <f>VLOOKUP(B66, Расстояния!B:K, 10, 0)</f>
        <v>осн.</v>
      </c>
      <c r="E66" s="242" t="str">
        <f>VLOOKUP(B66, Расстояния!B:F, 5, 0)</f>
        <v>нет</v>
      </c>
      <c r="F66" s="290"/>
      <c r="G66" s="305"/>
      <c r="H66" s="345">
        <v>46100.436111111114</v>
      </c>
      <c r="I66" s="345">
        <v>46100.527777777781</v>
      </c>
      <c r="J66" s="304" t="s">
        <v>4046</v>
      </c>
      <c r="K66" s="332"/>
      <c r="L66" s="250" t="s">
        <v>296</v>
      </c>
      <c r="M66" s="241" t="str">
        <f>VLOOKUP(L66, Работы!A:B, 2, 0)</f>
        <v>Техническое обслуживание БС</v>
      </c>
      <c r="N66" s="330" t="s">
        <v>298</v>
      </c>
      <c r="O66" s="298">
        <v>1</v>
      </c>
      <c r="P66" s="248">
        <f>IF(OR(L66="3.3.1.", L66="3.3.2.", L66="3.3.3.", L66="3.1.1.", L66="3.1.2.", L66="3.4.1.", L66="3.4.2."), 0, VLOOKUP(L66, Работы!$A$3:$D$184, 4, 0))</f>
        <v>4143</v>
      </c>
      <c r="Q66" s="243"/>
      <c r="R66" s="243"/>
      <c r="S66" s="243"/>
      <c r="T66" s="244">
        <f>IF(OR(L66="3.3.1.", L66="3.3.2.", L66="3.3.3."), VLOOKUP(L66, Работы!$A$3:$D$184, 4, 0), 0)</f>
        <v>0</v>
      </c>
      <c r="U66" s="246">
        <f>IF(OR(L66="3.1.1."), VLOOKUP(L66, Работы!$A$3:$D$184, 4, 0), 0)</f>
        <v>0</v>
      </c>
      <c r="V66" s="246">
        <f>IF(OR(L66="3.1.2."), VLOOKUP(L66, Работы!$A$3:$D$184, 4, 0), 0)</f>
        <v>0</v>
      </c>
      <c r="W66" s="246"/>
      <c r="X66" s="246"/>
      <c r="Y66" s="247">
        <f>IF(OR(L66="3.2.1.", L66="3.2.2."), VLOOKUP(L66, Работы!$A$3:$D$184, 4, 0), 0)</f>
        <v>0</v>
      </c>
      <c r="Z66" s="247">
        <f>IF(OR(L66="3.4.1.", L66="3.4.2."), VLOOKUP(L66, Работы!$A$3:$D$184, 4, 0), 0)</f>
        <v>0</v>
      </c>
      <c r="AA66" s="68">
        <f>P66*O66+Q66*T66+R66*T66+S66*T66+U66+V66+W66*Y66+X66*Y66+Z66</f>
        <v>4143</v>
      </c>
      <c r="AB66" s="69"/>
      <c r="AC66" s="70"/>
      <c r="AD66" s="70"/>
      <c r="AE66" s="69">
        <f>AC66*AD66</f>
        <v>0</v>
      </c>
      <c r="AF66" s="71">
        <f>C66*Работы!$D$180</f>
        <v>269.05</v>
      </c>
      <c r="AG66" s="68">
        <f>AA66+AE66+AF66+AL66+AM66</f>
        <v>4412.05</v>
      </c>
      <c r="AH66" s="72"/>
      <c r="AI66" s="73"/>
      <c r="AJ66" s="245">
        <f>AG66-AA66*AI66</f>
        <v>4412.05</v>
      </c>
      <c r="AK66" s="251"/>
      <c r="AL66" s="302">
        <f>IF(OR(E66="да"), 4040, 0)</f>
        <v>0</v>
      </c>
      <c r="AM66" s="365">
        <f>IF(OR(D66="доп."), AA66*0.1, 0)</f>
        <v>0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</row>
    <row r="67" spans="1:95" s="46" customFormat="1" ht="25.5" x14ac:dyDescent="0.25">
      <c r="A67" s="241">
        <f>ROW(A67)-10</f>
        <v>57</v>
      </c>
      <c r="B67" s="361" t="s">
        <v>1045</v>
      </c>
      <c r="C67" s="241">
        <v>0</v>
      </c>
      <c r="D67" s="242" t="str">
        <f>VLOOKUP(B67, Расстояния!B:K, 10, 0)</f>
        <v>осн.</v>
      </c>
      <c r="E67" s="242" t="str">
        <f>VLOOKUP(B67, Расстояния!B:F, 5, 0)</f>
        <v>нет</v>
      </c>
      <c r="F67" s="290"/>
      <c r="G67" s="305"/>
      <c r="H67" s="345">
        <v>46100.436111111114</v>
      </c>
      <c r="I67" s="345">
        <v>46100.527777777781</v>
      </c>
      <c r="J67" s="304" t="s">
        <v>4046</v>
      </c>
      <c r="K67" s="332"/>
      <c r="L67" s="250" t="s">
        <v>4013</v>
      </c>
      <c r="M67" s="241" t="str">
        <f>VLOOKUP(L67, Работы!A:B, 2, 0)</f>
        <v>Стоимость проведения инвентаризации Объекта.</v>
      </c>
      <c r="N67" s="330" t="s">
        <v>4304</v>
      </c>
      <c r="O67" s="298">
        <v>1</v>
      </c>
      <c r="P67" s="248">
        <f>IF(OR(L67="3.3.1.", L67="3.3.2.", L67="3.3.3.", L67="3.1.1.", L67="3.1.2.", L67="3.4.1.", L67="3.4.2."), 0, VLOOKUP(L67, Работы!$A$3:$D$184, 4, 0))</f>
        <v>735</v>
      </c>
      <c r="Q67" s="243"/>
      <c r="R67" s="243"/>
      <c r="S67" s="243"/>
      <c r="T67" s="244">
        <f>IF(OR(L67="3.3.1.", L67="3.3.2.", L67="3.3.3."), VLOOKUP(L67, Работы!$A$3:$D$184, 4, 0), 0)</f>
        <v>0</v>
      </c>
      <c r="U67" s="246">
        <f>IF(OR(L67="3.1.1."), VLOOKUP(L67, Работы!$A$3:$D$184, 4, 0), 0)</f>
        <v>0</v>
      </c>
      <c r="V67" s="246">
        <f>IF(OR(L67="3.1.2."), VLOOKUP(L67, Работы!$A$3:$D$184, 4, 0), 0)</f>
        <v>0</v>
      </c>
      <c r="W67" s="246"/>
      <c r="X67" s="246"/>
      <c r="Y67" s="247">
        <f>IF(OR(L67="3.2.1.", L67="3.2.2."), VLOOKUP(L67, Работы!$A$3:$D$184, 4, 0), 0)</f>
        <v>0</v>
      </c>
      <c r="Z67" s="247">
        <f>IF(OR(L67="3.4.1.", L67="3.4.2."), VLOOKUP(L67, Работы!$A$3:$D$184, 4, 0), 0)</f>
        <v>0</v>
      </c>
      <c r="AA67" s="68">
        <f>P67*O67+Q67*T67+R67*T67+S67*T67+U67+V67+W67*Y67+X67*Y67+Z67</f>
        <v>735</v>
      </c>
      <c r="AB67" s="69"/>
      <c r="AC67" s="70"/>
      <c r="AD67" s="70"/>
      <c r="AE67" s="69">
        <f>AC67*AD67</f>
        <v>0</v>
      </c>
      <c r="AF67" s="71">
        <f>C67*Работы!$D$180</f>
        <v>0</v>
      </c>
      <c r="AG67" s="68">
        <f>AA67+AE67+AF67+AL67+AM67</f>
        <v>735</v>
      </c>
      <c r="AH67" s="72"/>
      <c r="AI67" s="73"/>
      <c r="AJ67" s="245">
        <f>AG67-AA67*AI67</f>
        <v>735</v>
      </c>
      <c r="AK67" s="251"/>
      <c r="AL67" s="302">
        <f>IF(OR(E67="да"), 4040, 0)</f>
        <v>0</v>
      </c>
      <c r="AM67" s="365">
        <f>IF(OR(D67="доп."), AA67*0.1, 0)</f>
        <v>0</v>
      </c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</row>
    <row r="68" spans="1:95" s="46" customFormat="1" ht="38.25" x14ac:dyDescent="0.25">
      <c r="A68" s="241">
        <f>ROW(A68)-10</f>
        <v>58</v>
      </c>
      <c r="B68" s="361" t="s">
        <v>1053</v>
      </c>
      <c r="C68" s="241">
        <f>VLOOKUP(B68, Расстояния!B:J, 9, 0)</f>
        <v>5</v>
      </c>
      <c r="D68" s="242" t="str">
        <f>VLOOKUP(B68, Расстояния!B:K, 10, 0)</f>
        <v>осн.</v>
      </c>
      <c r="E68" s="242" t="str">
        <f>VLOOKUP(B68, Расстояния!B:F, 5, 0)</f>
        <v>нет</v>
      </c>
      <c r="F68" s="290"/>
      <c r="G68" s="305"/>
      <c r="H68" s="345">
        <v>46101.531944444447</v>
      </c>
      <c r="I68" s="345">
        <v>46101.589583333334</v>
      </c>
      <c r="J68" s="303" t="s">
        <v>4046</v>
      </c>
      <c r="K68" s="332"/>
      <c r="L68" s="250" t="s">
        <v>296</v>
      </c>
      <c r="M68" s="241" t="str">
        <f>VLOOKUP(L68, Работы!A:B, 2, 0)</f>
        <v>Техническое обслуживание БС</v>
      </c>
      <c r="N68" s="330" t="s">
        <v>298</v>
      </c>
      <c r="O68" s="298">
        <v>1</v>
      </c>
      <c r="P68" s="248">
        <f>IF(OR(L68="3.3.1.", L68="3.3.2.", L68="3.3.3.", L68="3.1.1.", L68="3.1.2.", L68="3.4.1.", L68="3.4.2."), 0, VLOOKUP(L68, Работы!$A$3:$D$184, 4, 0))</f>
        <v>4143</v>
      </c>
      <c r="Q68" s="243"/>
      <c r="R68" s="243"/>
      <c r="S68" s="243"/>
      <c r="T68" s="244">
        <f>IF(OR(L68="3.3.1.", L68="3.3.2.", L68="3.3.3."), VLOOKUP(L68, Работы!$A$3:$D$184, 4, 0), 0)</f>
        <v>0</v>
      </c>
      <c r="U68" s="246">
        <f>IF(OR(L68="3.1.1."), VLOOKUP(L68, Работы!$A$3:$D$184, 4, 0), 0)</f>
        <v>0</v>
      </c>
      <c r="V68" s="246">
        <f>IF(OR(L68="3.1.2."), VLOOKUP(L68, Работы!$A$3:$D$184, 4, 0), 0)</f>
        <v>0</v>
      </c>
      <c r="W68" s="246"/>
      <c r="X68" s="246"/>
      <c r="Y68" s="247">
        <f>IF(OR(L68="3.2.1.", L68="3.2.2."), VLOOKUP(L68, Работы!$A$3:$D$184, 4, 0), 0)</f>
        <v>0</v>
      </c>
      <c r="Z68" s="247">
        <f>IF(OR(L68="3.4.1.", L68="3.4.2."), VLOOKUP(L68, Работы!$A$3:$D$184, 4, 0), 0)</f>
        <v>0</v>
      </c>
      <c r="AA68" s="68">
        <f>P68*O68+Q68*T68+R68*T68+S68*T68+U68+V68+W68*Y68+X68*Y68+Z68</f>
        <v>4143</v>
      </c>
      <c r="AB68" s="69"/>
      <c r="AC68" s="70"/>
      <c r="AD68" s="70"/>
      <c r="AE68" s="69">
        <f>AC68*AD68</f>
        <v>0</v>
      </c>
      <c r="AF68" s="71">
        <f>C68*Работы!$D$180</f>
        <v>269.05</v>
      </c>
      <c r="AG68" s="68">
        <f>AA68+AE68+AF68+AL68+AM68</f>
        <v>4412.05</v>
      </c>
      <c r="AH68" s="72"/>
      <c r="AI68" s="73"/>
      <c r="AJ68" s="245">
        <f>AG68-AA68*AI68</f>
        <v>4412.05</v>
      </c>
      <c r="AK68" s="301"/>
      <c r="AL68" s="302">
        <f>IF(OR(E68="да"), 4040, 0)</f>
        <v>0</v>
      </c>
      <c r="AM68" s="365">
        <f>IF(OR(D68="доп."), AA68*0.1, 0)</f>
        <v>0</v>
      </c>
      <c r="AN68" s="251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</row>
    <row r="69" spans="1:95" s="46" customFormat="1" ht="25.5" x14ac:dyDescent="0.25">
      <c r="A69" s="241">
        <f>ROW(A69)-10</f>
        <v>59</v>
      </c>
      <c r="B69" s="335" t="s">
        <v>1053</v>
      </c>
      <c r="C69" s="241">
        <v>0</v>
      </c>
      <c r="D69" s="242" t="str">
        <f>VLOOKUP(B69, Расстояния!B:K, 10, 0)</f>
        <v>осн.</v>
      </c>
      <c r="E69" s="242" t="str">
        <f>VLOOKUP(B69, Расстояния!B:F, 5, 0)</f>
        <v>нет</v>
      </c>
      <c r="F69" s="290"/>
      <c r="G69" s="305"/>
      <c r="H69" s="345">
        <v>46101.531944444447</v>
      </c>
      <c r="I69" s="345">
        <v>46101.589583333334</v>
      </c>
      <c r="J69" s="349" t="s">
        <v>4046</v>
      </c>
      <c r="K69" s="332"/>
      <c r="L69" s="250" t="s">
        <v>4013</v>
      </c>
      <c r="M69" s="241" t="str">
        <f>VLOOKUP(L69, Работы!A:B, 2, 0)</f>
        <v>Стоимость проведения инвентаризации Объекта.</v>
      </c>
      <c r="N69" s="330" t="s">
        <v>4304</v>
      </c>
      <c r="O69" s="298">
        <v>1</v>
      </c>
      <c r="P69" s="248">
        <f>IF(OR(L69="3.3.1.", L69="3.3.2.", L69="3.3.3.", L69="3.1.1.", L69="3.1.2.", L69="3.4.1.", L69="3.4.2."), 0, VLOOKUP(L69, Работы!$A$3:$D$184, 4, 0))</f>
        <v>735</v>
      </c>
      <c r="Q69" s="243"/>
      <c r="R69" s="243"/>
      <c r="S69" s="243"/>
      <c r="T69" s="244">
        <f>IF(OR(L69="3.3.1.", L69="3.3.2.", L69="3.3.3."), VLOOKUP(L69, Работы!$A$3:$D$184, 4, 0), 0)</f>
        <v>0</v>
      </c>
      <c r="U69" s="246">
        <f>IF(OR(L69="3.1.1."), VLOOKUP(L69, Работы!$A$3:$D$184, 4, 0), 0)</f>
        <v>0</v>
      </c>
      <c r="V69" s="246">
        <f>IF(OR(L69="3.1.2."), VLOOKUP(L69, Работы!$A$3:$D$184, 4, 0), 0)</f>
        <v>0</v>
      </c>
      <c r="W69" s="246"/>
      <c r="X69" s="246"/>
      <c r="Y69" s="247">
        <f>IF(OR(L69="3.2.1.", L69="3.2.2."), VLOOKUP(L69, Работы!$A$3:$D$184, 4, 0), 0)</f>
        <v>0</v>
      </c>
      <c r="Z69" s="247">
        <f>IF(OR(L69="3.4.1.", L69="3.4.2."), VLOOKUP(L69, Работы!$A$3:$D$184, 4, 0), 0)</f>
        <v>0</v>
      </c>
      <c r="AA69" s="68">
        <f>P69*O69+Q69*T69+R69*T69+S69*T69+U69+V69+W69*Y69+X69*Y69+Z69</f>
        <v>735</v>
      </c>
      <c r="AB69" s="69"/>
      <c r="AC69" s="70"/>
      <c r="AD69" s="70"/>
      <c r="AE69" s="69">
        <f>AC69*AD69</f>
        <v>0</v>
      </c>
      <c r="AF69" s="71">
        <f>C69*Работы!$D$180</f>
        <v>0</v>
      </c>
      <c r="AG69" s="68">
        <f>AA69+AE69+AF69+AL69+AM69</f>
        <v>735</v>
      </c>
      <c r="AH69" s="72"/>
      <c r="AI69" s="73"/>
      <c r="AJ69" s="245">
        <f>AG69-AA69*AI69</f>
        <v>735</v>
      </c>
      <c r="AK69" s="301"/>
      <c r="AL69" s="302">
        <f>IF(OR(E69="да"), 4040, 0)</f>
        <v>0</v>
      </c>
      <c r="AM69" s="365">
        <f>IF(OR(D69="доп."), AA69*0.1, 0)</f>
        <v>0</v>
      </c>
      <c r="AN69" s="370"/>
      <c r="AO69" s="34"/>
      <c r="AP69" s="34"/>
      <c r="AQ69" s="34"/>
      <c r="AR69" s="34"/>
      <c r="AS69" s="34"/>
      <c r="AT69" s="370"/>
      <c r="AU69" s="370"/>
      <c r="AV69" s="370"/>
      <c r="AW69" s="370"/>
      <c r="AX69" s="370"/>
      <c r="AY69" s="370"/>
      <c r="AZ69" s="370"/>
      <c r="BA69" s="370"/>
      <c r="BB69" s="370"/>
      <c r="BC69" s="370"/>
      <c r="BD69" s="370"/>
      <c r="BE69" s="370"/>
      <c r="BF69" s="370"/>
      <c r="BG69" s="370"/>
      <c r="BH69" s="370"/>
      <c r="BI69" s="370"/>
      <c r="BJ69" s="370"/>
      <c r="BK69" s="370"/>
      <c r="BL69" s="370"/>
      <c r="BM69" s="370"/>
      <c r="BN69" s="370"/>
      <c r="BO69" s="370"/>
      <c r="BP69" s="370"/>
      <c r="BQ69" s="370"/>
      <c r="BR69" s="370"/>
      <c r="BS69" s="370"/>
      <c r="BT69" s="370"/>
      <c r="BU69" s="370"/>
      <c r="BV69" s="370"/>
      <c r="BW69" s="370"/>
      <c r="BX69" s="370"/>
      <c r="BY69" s="370"/>
      <c r="BZ69" s="370"/>
      <c r="CA69" s="370"/>
      <c r="CB69" s="370"/>
      <c r="CC69" s="370"/>
      <c r="CD69" s="370"/>
      <c r="CE69" s="370"/>
      <c r="CF69" s="370"/>
      <c r="CG69" s="370"/>
      <c r="CH69" s="370"/>
      <c r="CI69" s="370"/>
      <c r="CJ69" s="370"/>
      <c r="CK69" s="370"/>
      <c r="CL69" s="370"/>
      <c r="CM69" s="370"/>
      <c r="CN69" s="370"/>
      <c r="CO69" s="370"/>
      <c r="CP69" s="370"/>
      <c r="CQ69" s="370"/>
    </row>
    <row r="70" spans="1:95" s="46" customFormat="1" ht="38.25" x14ac:dyDescent="0.25">
      <c r="A70" s="241">
        <f>ROW(A70)-10</f>
        <v>60</v>
      </c>
      <c r="B70" s="360" t="s">
        <v>1057</v>
      </c>
      <c r="C70" s="241">
        <f>VLOOKUP(B70, Расстояния!B:J, 9, 0)</f>
        <v>6</v>
      </c>
      <c r="D70" s="242" t="str">
        <f>VLOOKUP(B70, Расстояния!B:K, 10, 0)</f>
        <v>осн.</v>
      </c>
      <c r="E70" s="242" t="str">
        <f>VLOOKUP(B70, Расстояния!B:F, 5, 0)</f>
        <v>нет</v>
      </c>
      <c r="F70" s="328"/>
      <c r="G70" s="305"/>
      <c r="H70" s="345">
        <v>46100.612500000003</v>
      </c>
      <c r="I70" s="345">
        <v>46100.668749999997</v>
      </c>
      <c r="J70" s="350" t="s">
        <v>4046</v>
      </c>
      <c r="K70" s="306"/>
      <c r="L70" s="250" t="s">
        <v>296</v>
      </c>
      <c r="M70" s="241" t="str">
        <f>VLOOKUP(L70, Работы!A:B, 2, 0)</f>
        <v>Техническое обслуживание БС</v>
      </c>
      <c r="N70" s="330" t="s">
        <v>298</v>
      </c>
      <c r="O70" s="298">
        <v>1</v>
      </c>
      <c r="P70" s="248">
        <f>IF(OR(L70="3.3.1.", L70="3.3.2.", L70="3.3.3.", L70="3.1.1.", L70="3.1.2.", L70="3.4.1.", L70="3.4.2."), 0, VLOOKUP(L70, Работы!$A$3:$D$184, 4, 0))</f>
        <v>4143</v>
      </c>
      <c r="Q70" s="243"/>
      <c r="R70" s="243"/>
      <c r="S70" s="243"/>
      <c r="T70" s="244">
        <f>IF(OR(L70="3.3.1.", L70="3.3.2.", L70="3.3.3."), VLOOKUP(L70, Работы!$A$3:$D$184, 4, 0), 0)</f>
        <v>0</v>
      </c>
      <c r="U70" s="246">
        <f>IF(OR(L70="3.1.1."), VLOOKUP(L70, Работы!$A$3:$D$184, 4, 0), 0)</f>
        <v>0</v>
      </c>
      <c r="V70" s="246">
        <f>IF(OR(L70="3.1.2."), VLOOKUP(L70, Работы!$A$3:$D$184, 4, 0), 0)</f>
        <v>0</v>
      </c>
      <c r="W70" s="246"/>
      <c r="X70" s="246"/>
      <c r="Y70" s="247">
        <f>IF(OR(L70="3.2.1.", L70="3.2.2."), VLOOKUP(L70, Работы!$A$3:$D$184, 4, 0), 0)</f>
        <v>0</v>
      </c>
      <c r="Z70" s="247">
        <f>IF(OR(L70="3.4.1.", L70="3.4.2."), VLOOKUP(L70, Работы!$A$3:$D$184, 4, 0), 0)</f>
        <v>0</v>
      </c>
      <c r="AA70" s="68">
        <f>P70*O70+Q70*T70+R70*T70+S70*T70+U70+V70+W70*Y70+X70*Y70+Z70</f>
        <v>4143</v>
      </c>
      <c r="AB70" s="69"/>
      <c r="AC70" s="70"/>
      <c r="AD70" s="70"/>
      <c r="AE70" s="69">
        <f>AC70*AD70</f>
        <v>0</v>
      </c>
      <c r="AF70" s="71">
        <f>C70*Работы!$D$180</f>
        <v>322.86</v>
      </c>
      <c r="AG70" s="68">
        <f>AA70+AE70+AF70+AL70+AM70</f>
        <v>4465.8599999999997</v>
      </c>
      <c r="AH70" s="72"/>
      <c r="AI70" s="73"/>
      <c r="AJ70" s="245">
        <f>AG70-AA70*AI70</f>
        <v>4465.8599999999997</v>
      </c>
      <c r="AK70" s="301"/>
      <c r="AL70" s="302">
        <f>IF(OR(E70="да"), 4040, 0)</f>
        <v>0</v>
      </c>
      <c r="AM70" s="365">
        <f>IF(OR(D70="доп."), AA70*0.1, 0)</f>
        <v>0</v>
      </c>
      <c r="AN70" s="1287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  <c r="CO70" s="34"/>
      <c r="CP70" s="34"/>
      <c r="CQ70" s="34"/>
    </row>
    <row r="71" spans="1:95" s="46" customFormat="1" ht="25.5" x14ac:dyDescent="0.25">
      <c r="A71" s="241">
        <f>ROW(A71)-10</f>
        <v>61</v>
      </c>
      <c r="B71" s="360" t="s">
        <v>1057</v>
      </c>
      <c r="C71" s="241">
        <v>0</v>
      </c>
      <c r="D71" s="242" t="str">
        <f>VLOOKUP(B71, Расстояния!B:K, 10, 0)</f>
        <v>осн.</v>
      </c>
      <c r="E71" s="242" t="str">
        <f>VLOOKUP(B71, Расстояния!B:F, 5, 0)</f>
        <v>нет</v>
      </c>
      <c r="F71" s="290"/>
      <c r="G71" s="305"/>
      <c r="H71" s="345">
        <v>46100.612500000003</v>
      </c>
      <c r="I71" s="345">
        <v>46100.668749999997</v>
      </c>
      <c r="J71" s="351" t="s">
        <v>4046</v>
      </c>
      <c r="K71" s="306"/>
      <c r="L71" s="250" t="s">
        <v>4013</v>
      </c>
      <c r="M71" s="241" t="str">
        <f>VLOOKUP(L71, Работы!A:B, 2, 0)</f>
        <v>Стоимость проведения инвентаризации Объекта.</v>
      </c>
      <c r="N71" s="330" t="s">
        <v>4304</v>
      </c>
      <c r="O71" s="298">
        <v>1</v>
      </c>
      <c r="P71" s="248">
        <f>IF(OR(L71="3.3.1.", L71="3.3.2.", L71="3.3.3.", L71="3.1.1.", L71="3.1.2.", L71="3.4.1.", L71="3.4.2."), 0, VLOOKUP(L71, Работы!$A$3:$D$184, 4, 0))</f>
        <v>735</v>
      </c>
      <c r="Q71" s="243"/>
      <c r="R71" s="243"/>
      <c r="S71" s="243"/>
      <c r="T71" s="244">
        <f>IF(OR(L71="3.3.1.", L71="3.3.2.", L71="3.3.3."), VLOOKUP(L71, Работы!$A$3:$D$184, 4, 0), 0)</f>
        <v>0</v>
      </c>
      <c r="U71" s="246">
        <f>IF(OR(L71="3.1.1."), VLOOKUP(L71, Работы!$A$3:$D$184, 4, 0), 0)</f>
        <v>0</v>
      </c>
      <c r="V71" s="246">
        <f>IF(OR(L71="3.1.2."), VLOOKUP(L71, Работы!$A$3:$D$184, 4, 0), 0)</f>
        <v>0</v>
      </c>
      <c r="W71" s="246"/>
      <c r="X71" s="246"/>
      <c r="Y71" s="247">
        <f>IF(OR(L71="3.2.1.", L71="3.2.2."), VLOOKUP(L71, Работы!$A$3:$D$184, 4, 0), 0)</f>
        <v>0</v>
      </c>
      <c r="Z71" s="247">
        <f>IF(OR(L71="3.4.1.", L71="3.4.2."), VLOOKUP(L71, Работы!$A$3:$D$184, 4, 0), 0)</f>
        <v>0</v>
      </c>
      <c r="AA71" s="68">
        <f>P71*O71+Q71*T71+R71*T71+S71*T71+U71+V71+W71*Y71+X71*Y71+Z71</f>
        <v>735</v>
      </c>
      <c r="AB71" s="69"/>
      <c r="AC71" s="70"/>
      <c r="AD71" s="70"/>
      <c r="AE71" s="69">
        <f>AC71*AD71</f>
        <v>0</v>
      </c>
      <c r="AF71" s="71">
        <f>C71*Работы!$D$180</f>
        <v>0</v>
      </c>
      <c r="AG71" s="68">
        <f>AA71+AE71+AF71+AL71+AM71</f>
        <v>735</v>
      </c>
      <c r="AH71" s="72"/>
      <c r="AI71" s="73"/>
      <c r="AJ71" s="245">
        <f>AG71-AA71*AI71</f>
        <v>735</v>
      </c>
      <c r="AK71" s="73"/>
      <c r="AL71" s="302">
        <f>IF(OR(E71="да"), 4040, 0)</f>
        <v>0</v>
      </c>
      <c r="AM71" s="365">
        <f>IF(OR(D71="доп."), AA71*0.1, 0)</f>
        <v>0</v>
      </c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  <c r="CO71" s="34"/>
      <c r="CP71" s="34"/>
      <c r="CQ71" s="34"/>
    </row>
    <row r="72" spans="1:95" s="46" customFormat="1" ht="38.25" x14ac:dyDescent="0.25">
      <c r="A72" s="241">
        <f>ROW(A72)-10</f>
        <v>62</v>
      </c>
      <c r="B72" s="335" t="s">
        <v>1061</v>
      </c>
      <c r="C72" s="241">
        <f>VLOOKUP(B72, Расстояния!B:J, 9, 0)</f>
        <v>2</v>
      </c>
      <c r="D72" s="242" t="str">
        <f>VLOOKUP(B72, Расстояния!B:K, 10, 0)</f>
        <v>осн.</v>
      </c>
      <c r="E72" s="242" t="str">
        <f>VLOOKUP(B72, Расстояния!B:F, 5, 0)</f>
        <v>нет</v>
      </c>
      <c r="F72" s="290"/>
      <c r="G72" s="305"/>
      <c r="H72" s="345">
        <v>46101.419444444444</v>
      </c>
      <c r="I72" s="345">
        <v>46101.504166666666</v>
      </c>
      <c r="J72" s="350" t="s">
        <v>4046</v>
      </c>
      <c r="K72" s="306"/>
      <c r="L72" s="250" t="s">
        <v>296</v>
      </c>
      <c r="M72" s="241" t="str">
        <f>VLOOKUP(L72, Работы!A:B, 2, 0)</f>
        <v>Техническое обслуживание БС</v>
      </c>
      <c r="N72" s="330" t="s">
        <v>298</v>
      </c>
      <c r="O72" s="298">
        <v>1</v>
      </c>
      <c r="P72" s="248">
        <f>IF(OR(L72="3.3.1.", L72="3.3.2.", L72="3.3.3.", L72="3.1.1.", L72="3.1.2.", L72="3.4.1.", L72="3.4.2."), 0, VLOOKUP(L72, Работы!$A$3:$D$184, 4, 0))</f>
        <v>4143</v>
      </c>
      <c r="Q72" s="243"/>
      <c r="R72" s="243"/>
      <c r="S72" s="243"/>
      <c r="T72" s="244">
        <f>IF(OR(L72="3.3.1.", L72="3.3.2.", L72="3.3.3."), VLOOKUP(L72, Работы!$A$3:$D$184, 4, 0), 0)</f>
        <v>0</v>
      </c>
      <c r="U72" s="246">
        <f>IF(OR(L72="3.1.1."), VLOOKUP(L72, Работы!$A$3:$D$184, 4, 0), 0)</f>
        <v>0</v>
      </c>
      <c r="V72" s="246">
        <f>IF(OR(L72="3.1.2."), VLOOKUP(L72, Работы!$A$3:$D$184, 4, 0), 0)</f>
        <v>0</v>
      </c>
      <c r="W72" s="246"/>
      <c r="X72" s="246"/>
      <c r="Y72" s="247">
        <f>IF(OR(L72="3.2.1.", L72="3.2.2."), VLOOKUP(L72, Работы!$A$3:$D$184, 4, 0), 0)</f>
        <v>0</v>
      </c>
      <c r="Z72" s="247">
        <f>IF(OR(L72="3.4.1.", L72="3.4.2."), VLOOKUP(L72, Работы!$A$3:$D$184, 4, 0), 0)</f>
        <v>0</v>
      </c>
      <c r="AA72" s="68">
        <f>P72*O72+Q72*T72+R72*T72+S72*T72+U72+V72+W72*Y72+X72*Y72+Z72</f>
        <v>4143</v>
      </c>
      <c r="AB72" s="69"/>
      <c r="AC72" s="70"/>
      <c r="AD72" s="70"/>
      <c r="AE72" s="69">
        <f>AC72*AD72</f>
        <v>0</v>
      </c>
      <c r="AF72" s="71">
        <f>C72*Работы!$D$180</f>
        <v>107.62</v>
      </c>
      <c r="AG72" s="68">
        <f>AA72+AE72+AF72+AL72+AM72</f>
        <v>4250.62</v>
      </c>
      <c r="AH72" s="72"/>
      <c r="AI72" s="73"/>
      <c r="AJ72" s="245">
        <f>AG72-AA72*AI72</f>
        <v>4250.62</v>
      </c>
      <c r="AK72" s="73"/>
      <c r="AL72" s="302">
        <f>IF(OR(E72="да"), 4040, 0)</f>
        <v>0</v>
      </c>
      <c r="AM72" s="365">
        <f>IF(OR(D72="доп."), AA72*0.1, 0)</f>
        <v>0</v>
      </c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</row>
    <row r="73" spans="1:95" s="46" customFormat="1" ht="25.5" x14ac:dyDescent="0.25">
      <c r="A73" s="241">
        <f>ROW(A73)-10</f>
        <v>63</v>
      </c>
      <c r="B73" s="335" t="s">
        <v>1061</v>
      </c>
      <c r="C73" s="241">
        <v>0</v>
      </c>
      <c r="D73" s="242" t="str">
        <f>VLOOKUP(B73, Расстояния!B:K, 10, 0)</f>
        <v>осн.</v>
      </c>
      <c r="E73" s="242" t="str">
        <f>VLOOKUP(B73, Расстояния!B:F, 5, 0)</f>
        <v>нет</v>
      </c>
      <c r="F73" s="290"/>
      <c r="G73" s="305"/>
      <c r="H73" s="345">
        <v>46101.419444444444</v>
      </c>
      <c r="I73" s="345">
        <v>46101.504166666666</v>
      </c>
      <c r="J73" s="349" t="s">
        <v>4046</v>
      </c>
      <c r="K73" s="306"/>
      <c r="L73" s="250" t="s">
        <v>4013</v>
      </c>
      <c r="M73" s="241" t="str">
        <f>VLOOKUP(L73, Работы!A:B, 2, 0)</f>
        <v>Стоимость проведения инвентаризации Объекта.</v>
      </c>
      <c r="N73" s="348" t="s">
        <v>4304</v>
      </c>
      <c r="O73" s="298">
        <v>1</v>
      </c>
      <c r="P73" s="248">
        <f>IF(OR(L73="3.3.1.", L73="3.3.2.", L73="3.3.3.", L73="3.1.1.", L73="3.1.2.", L73="3.4.1.", L73="3.4.2."), 0, VLOOKUP(L73, Работы!$A$3:$D$184, 4, 0))</f>
        <v>735</v>
      </c>
      <c r="Q73" s="243"/>
      <c r="R73" s="243"/>
      <c r="S73" s="243"/>
      <c r="T73" s="244">
        <f>IF(OR(L73="3.3.1.", L73="3.3.2.", L73="3.3.3."), VLOOKUP(L73, Работы!$A$3:$D$184, 4, 0), 0)</f>
        <v>0</v>
      </c>
      <c r="U73" s="246">
        <f>IF(OR(L73="3.1.1."), VLOOKUP(L73, Работы!$A$3:$D$184, 4, 0), 0)</f>
        <v>0</v>
      </c>
      <c r="V73" s="246">
        <f>IF(OR(L73="3.1.2."), VLOOKUP(L73, Работы!$A$3:$D$184, 4, 0), 0)</f>
        <v>0</v>
      </c>
      <c r="W73" s="246"/>
      <c r="X73" s="246"/>
      <c r="Y73" s="247">
        <f>IF(OR(L73="3.2.1.", L73="3.2.2."), VLOOKUP(L73, Работы!$A$3:$D$184, 4, 0), 0)</f>
        <v>0</v>
      </c>
      <c r="Z73" s="247">
        <f>IF(OR(L73="3.4.1.", L73="3.4.2."), VLOOKUP(L73, Работы!$A$3:$D$184, 4, 0), 0)</f>
        <v>0</v>
      </c>
      <c r="AA73" s="68">
        <f>P73*O73+Q73*T73+R73*T73+S73*T73+U73+V73+W73*Y73+X73*Y73+Z73</f>
        <v>735</v>
      </c>
      <c r="AB73" s="69"/>
      <c r="AC73" s="70"/>
      <c r="AD73" s="70"/>
      <c r="AE73" s="69">
        <f>AC73*AD73</f>
        <v>0</v>
      </c>
      <c r="AF73" s="71">
        <f>C73*Работы!$D$180</f>
        <v>0</v>
      </c>
      <c r="AG73" s="68">
        <f>AA73+AE73+AF73+AL73+AM73</f>
        <v>735</v>
      </c>
      <c r="AH73" s="72"/>
      <c r="AI73" s="73"/>
      <c r="AJ73" s="245">
        <f>AG73-AA73*AI73</f>
        <v>735</v>
      </c>
      <c r="AK73" s="45"/>
      <c r="AL73" s="302">
        <f>IF(OR(E73="да"), 4040, 0)</f>
        <v>0</v>
      </c>
      <c r="AM73" s="365">
        <f>IF(OR(D73="доп."), AA73*0.1, 0)</f>
        <v>0</v>
      </c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</row>
    <row r="74" spans="1:95" s="46" customFormat="1" ht="89.25" x14ac:dyDescent="0.25">
      <c r="A74" s="241">
        <f>ROW(A74)-10</f>
        <v>64</v>
      </c>
      <c r="B74" s="335" t="s">
        <v>1065</v>
      </c>
      <c r="C74" s="241">
        <f>VLOOKUP(B74, Расстояния!B:J, 9, 0)</f>
        <v>7</v>
      </c>
      <c r="D74" s="242" t="str">
        <f>VLOOKUP(B74, Расстояния!B:K, 10, 0)</f>
        <v>осн.</v>
      </c>
      <c r="E74" s="242" t="str">
        <f>VLOOKUP(B74, Расстояния!B:F, 5, 0)</f>
        <v>нет</v>
      </c>
      <c r="F74" s="290" t="s">
        <v>4087</v>
      </c>
      <c r="G74" s="305">
        <v>46099.445138888892</v>
      </c>
      <c r="H74" s="345">
        <v>46104.400694444441</v>
      </c>
      <c r="I74" s="345">
        <v>46104.5</v>
      </c>
      <c r="J74" s="349" t="s">
        <v>4046</v>
      </c>
      <c r="K74" s="306"/>
      <c r="L74" s="292" t="s">
        <v>218</v>
      </c>
      <c r="M74" s="241" t="str">
        <f>VLOOKUP(L74, Работы!A:B, 2, 0)</f>
        <v>Замена корзины РРЛ, внутренних блоков РРЛ, узла доступа, узла агрегации, включая перенос блоков, монтаж всех крепежных элементов, кабелей и интеграцию</v>
      </c>
      <c r="N74" s="348" t="s">
        <v>4247</v>
      </c>
      <c r="O74" s="298">
        <v>1</v>
      </c>
      <c r="P74" s="248">
        <f>IF(OR(L74="3.3.1.", L74="3.3.2.", L74="3.3.3.", L74="3.1.1.", L74="3.1.2.", L74="3.4.1.", L74="3.4.2."), 0, VLOOKUP(L74, Работы!$A$3:$D$184, 4, 0))</f>
        <v>1238</v>
      </c>
      <c r="Q74" s="243"/>
      <c r="R74" s="243"/>
      <c r="S74" s="243"/>
      <c r="T74" s="244">
        <f>IF(OR(L74="3.3.1.", L74="3.3.2.", L74="3.3.3."), VLOOKUP(L74, Работы!$A$3:$D$184, 4, 0), 0)</f>
        <v>0</v>
      </c>
      <c r="U74" s="246">
        <f>IF(OR(L74="3.1.1."), VLOOKUP(L74, Работы!$A$3:$D$184, 4, 0), 0)</f>
        <v>0</v>
      </c>
      <c r="V74" s="246">
        <f>IF(OR(L74="3.1.2."), VLOOKUP(L74, Работы!$A$3:$D$184, 4, 0), 0)</f>
        <v>0</v>
      </c>
      <c r="W74" s="246"/>
      <c r="X74" s="246"/>
      <c r="Y74" s="247">
        <f>IF(OR(L74="3.2.1.", L74="3.2.2."), VLOOKUP(L74, Работы!$A$3:$D$184, 4, 0), 0)</f>
        <v>0</v>
      </c>
      <c r="Z74" s="247">
        <f>IF(OR(L74="3.4.1.", L74="3.4.2."), VLOOKUP(L74, Работы!$A$3:$D$184, 4, 0), 0)</f>
        <v>0</v>
      </c>
      <c r="AA74" s="68">
        <f>P74*O74+Q74*T74+R74*T74+S74*T74+U74+V74+W74*Y74+X74*Y74+Z74</f>
        <v>1238</v>
      </c>
      <c r="AB74" s="69"/>
      <c r="AC74" s="70"/>
      <c r="AD74" s="70"/>
      <c r="AE74" s="69">
        <f>AC74*AD74</f>
        <v>0</v>
      </c>
      <c r="AF74" s="71">
        <f>C74*Работы!$D$180</f>
        <v>376.67</v>
      </c>
      <c r="AG74" s="68">
        <f>AA74+AE74+AF74+AL74+AM74</f>
        <v>1614.67</v>
      </c>
      <c r="AH74" s="72"/>
      <c r="AI74" s="73"/>
      <c r="AJ74" s="245">
        <f>AG74-AA74*AI74</f>
        <v>1614.67</v>
      </c>
      <c r="AK74" s="73"/>
      <c r="AL74" s="302">
        <f>IF(OR(E74="да"), 4040, 0)</f>
        <v>0</v>
      </c>
      <c r="AM74" s="365">
        <f>IF(OR(D74="доп."), AA74*0.1, 0)</f>
        <v>0</v>
      </c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O74" s="34"/>
      <c r="CP74" s="34"/>
      <c r="CQ74" s="34"/>
    </row>
    <row r="75" spans="1:95" s="46" customFormat="1" ht="38.25" x14ac:dyDescent="0.25">
      <c r="A75" s="241">
        <f>ROW(A75)-10</f>
        <v>65</v>
      </c>
      <c r="B75" s="335" t="s">
        <v>1065</v>
      </c>
      <c r="C75" s="241">
        <v>0</v>
      </c>
      <c r="D75" s="242" t="str">
        <f>VLOOKUP(B75, Расстояния!B:K, 10, 0)</f>
        <v>осн.</v>
      </c>
      <c r="E75" s="242" t="str">
        <f>VLOOKUP(B75, Расстояния!B:F, 5, 0)</f>
        <v>нет</v>
      </c>
      <c r="F75" s="290"/>
      <c r="G75" s="305"/>
      <c r="H75" s="345">
        <v>46104.449305555558</v>
      </c>
      <c r="I75" s="345">
        <v>46104.5</v>
      </c>
      <c r="J75" s="304" t="s">
        <v>4046</v>
      </c>
      <c r="K75" s="306"/>
      <c r="L75" s="250" t="s">
        <v>296</v>
      </c>
      <c r="M75" s="241" t="str">
        <f>VLOOKUP(L75, Работы!A:B, 2, 0)</f>
        <v>Техническое обслуживание БС</v>
      </c>
      <c r="N75" s="330" t="s">
        <v>298</v>
      </c>
      <c r="O75" s="298">
        <v>1</v>
      </c>
      <c r="P75" s="248">
        <f>IF(OR(L75="3.3.1.", L75="3.3.2.", L75="3.3.3.", L75="3.1.1.", L75="3.1.2.", L75="3.4.1.", L75="3.4.2."), 0, VLOOKUP(L75, Работы!$A$3:$D$184, 4, 0))</f>
        <v>4143</v>
      </c>
      <c r="Q75" s="243"/>
      <c r="R75" s="243"/>
      <c r="S75" s="243"/>
      <c r="T75" s="244">
        <f>IF(OR(L75="3.3.1.", L75="3.3.2.", L75="3.3.3."), VLOOKUP(L75, Работы!$A$3:$D$184, 4, 0), 0)</f>
        <v>0</v>
      </c>
      <c r="U75" s="246">
        <f>IF(OR(L75="3.1.1."), VLOOKUP(L75, Работы!$A$3:$D$184, 4, 0), 0)</f>
        <v>0</v>
      </c>
      <c r="V75" s="246">
        <f>IF(OR(L75="3.1.2."), VLOOKUP(L75, Работы!$A$3:$D$184, 4, 0), 0)</f>
        <v>0</v>
      </c>
      <c r="W75" s="246"/>
      <c r="X75" s="246"/>
      <c r="Y75" s="247">
        <f>IF(OR(L75="3.2.1.", L75="3.2.2."), VLOOKUP(L75, Работы!$A$3:$D$184, 4, 0), 0)</f>
        <v>0</v>
      </c>
      <c r="Z75" s="247">
        <f>IF(OR(L75="3.4.1.", L75="3.4.2."), VLOOKUP(L75, Работы!$A$3:$D$184, 4, 0), 0)</f>
        <v>0</v>
      </c>
      <c r="AA75" s="68">
        <f>P75*O75+Q75*T75+R75*T75+S75*T75+U75+V75+W75*Y75+X75*Y75+Z75</f>
        <v>4143</v>
      </c>
      <c r="AB75" s="69"/>
      <c r="AC75" s="70"/>
      <c r="AD75" s="70"/>
      <c r="AE75" s="69">
        <f>AC75*AD75</f>
        <v>0</v>
      </c>
      <c r="AF75" s="71">
        <f>C75*Работы!$D$180</f>
        <v>0</v>
      </c>
      <c r="AG75" s="68">
        <f>AA75+AE75+AF75+AL75+AM75</f>
        <v>4143</v>
      </c>
      <c r="AH75" s="72"/>
      <c r="AI75" s="73"/>
      <c r="AJ75" s="245">
        <f>AG75-AA75*AI75</f>
        <v>4143</v>
      </c>
      <c r="AK75" s="301"/>
      <c r="AL75" s="302">
        <f>IF(OR(E75="да"), 4040, 0)</f>
        <v>0</v>
      </c>
      <c r="AM75" s="365">
        <f>IF(OR(D75="доп."), AA75*0.1, 0)</f>
        <v>0</v>
      </c>
      <c r="AN75" s="251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O75" s="34"/>
      <c r="CP75" s="34"/>
      <c r="CQ75" s="34"/>
    </row>
    <row r="76" spans="1:95" s="46" customFormat="1" ht="25.5" x14ac:dyDescent="0.25">
      <c r="A76" s="241">
        <f>ROW(A76)-10</f>
        <v>66</v>
      </c>
      <c r="B76" s="335" t="s">
        <v>1065</v>
      </c>
      <c r="C76" s="241">
        <v>0</v>
      </c>
      <c r="D76" s="242" t="str">
        <f>VLOOKUP(B76, Расстояния!B:K, 10, 0)</f>
        <v>осн.</v>
      </c>
      <c r="E76" s="242" t="str">
        <f>VLOOKUP(B76, Расстояния!B:F, 5, 0)</f>
        <v>нет</v>
      </c>
      <c r="F76" s="290"/>
      <c r="G76" s="305"/>
      <c r="H76" s="345">
        <v>46104.449305555558</v>
      </c>
      <c r="I76" s="345">
        <v>46104.5</v>
      </c>
      <c r="J76" s="304" t="s">
        <v>4046</v>
      </c>
      <c r="K76" s="306"/>
      <c r="L76" s="250" t="s">
        <v>4013</v>
      </c>
      <c r="M76" s="241" t="str">
        <f>VLOOKUP(L76, Работы!A:B, 2, 0)</f>
        <v>Стоимость проведения инвентаризации Объекта.</v>
      </c>
      <c r="N76" s="330" t="s">
        <v>4304</v>
      </c>
      <c r="O76" s="298">
        <v>1</v>
      </c>
      <c r="P76" s="248">
        <f>IF(OR(L76="3.3.1.", L76="3.3.2.", L76="3.3.3.", L76="3.1.1.", L76="3.1.2.", L76="3.4.1.", L76="3.4.2."), 0, VLOOKUP(L76, Работы!$A$3:$D$184, 4, 0))</f>
        <v>735</v>
      </c>
      <c r="Q76" s="243"/>
      <c r="R76" s="293"/>
      <c r="S76" s="293"/>
      <c r="T76" s="244">
        <f>IF(OR(L76="3.3.1.", L76="3.3.2.", L76="3.3.3."), VLOOKUP(L76, Работы!$A$3:$D$184, 4, 0), 0)</f>
        <v>0</v>
      </c>
      <c r="U76" s="246">
        <f>IF(OR(L76="3.1.1."), VLOOKUP(L76, Работы!$A$3:$D$184, 4, 0), 0)</f>
        <v>0</v>
      </c>
      <c r="V76" s="246">
        <f>IF(OR(L76="3.1.2."), VLOOKUP(L76, Работы!$A$3:$D$184, 4, 0), 0)</f>
        <v>0</v>
      </c>
      <c r="W76" s="294"/>
      <c r="X76" s="294"/>
      <c r="Y76" s="247">
        <f>IF(OR(L76="3.2.1.", L76="3.2.2."), VLOOKUP(L76, Работы!$A$3:$D$184, 4, 0), 0)</f>
        <v>0</v>
      </c>
      <c r="Z76" s="247">
        <f>IF(OR(L76="3.4.1.", L76="3.4.2."), VLOOKUP(L76, Работы!$A$3:$D$184, 4, 0), 0)</f>
        <v>0</v>
      </c>
      <c r="AA76" s="68">
        <f>P76*O76+Q76*T76+R76*T76+S76*T76+U76+V76+W76*Y76+X76*Y76+Z76</f>
        <v>735</v>
      </c>
      <c r="AB76" s="295"/>
      <c r="AC76" s="296"/>
      <c r="AD76" s="296"/>
      <c r="AE76" s="69">
        <f>AC76*AD76</f>
        <v>0</v>
      </c>
      <c r="AF76" s="71">
        <f>C76*Работы!$D$180</f>
        <v>0</v>
      </c>
      <c r="AG76" s="68">
        <f>AA76+AE76+AF76+AL76+AM76</f>
        <v>735</v>
      </c>
      <c r="AH76" s="72"/>
      <c r="AI76" s="73"/>
      <c r="AJ76" s="245">
        <f>AG76-AA76*AI76</f>
        <v>735</v>
      </c>
      <c r="AK76" s="1287"/>
      <c r="AL76" s="302">
        <f>IF(OR(E76="да"), 4040, 0)</f>
        <v>0</v>
      </c>
      <c r="AM76" s="365">
        <f>IF(OR(D76="доп."), AA76*0.1, 0)</f>
        <v>0</v>
      </c>
      <c r="AN76" s="251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O76" s="34"/>
      <c r="CP76" s="34"/>
      <c r="CQ76" s="34"/>
    </row>
    <row r="77" spans="1:95" s="46" customFormat="1" ht="63.75" x14ac:dyDescent="0.25">
      <c r="A77" s="241">
        <f>ROW(A77)-10</f>
        <v>67</v>
      </c>
      <c r="B77" s="335" t="s">
        <v>1065</v>
      </c>
      <c r="C77" s="241">
        <v>5</v>
      </c>
      <c r="D77" s="242" t="str">
        <f>VLOOKUP(B77, Расстояния!B:K, 10, 0)</f>
        <v>осн.</v>
      </c>
      <c r="E77" s="242" t="str">
        <f>VLOOKUP(B77, Расстояния!B:F, 5, 0)</f>
        <v>нет</v>
      </c>
      <c r="F77" s="290" t="s">
        <v>4232</v>
      </c>
      <c r="G77" s="305">
        <v>46097.454861111109</v>
      </c>
      <c r="H77" s="345">
        <v>46097.482638888891</v>
      </c>
      <c r="I77" s="345">
        <v>46097.482638888891</v>
      </c>
      <c r="J77" s="303" t="s">
        <v>4227</v>
      </c>
      <c r="K77" s="306"/>
      <c r="L77" s="250" t="s">
        <v>368</v>
      </c>
      <c r="M77" s="241" t="str">
        <f>VLOOKUP(L77, Работы!A:B, 2, 0)</f>
        <v>Стоимость отменённого вызова на Аварийно-восстановительные работы, заявка по которым получена в рабочее время</v>
      </c>
      <c r="N77" s="346" t="s">
        <v>3882</v>
      </c>
      <c r="O77" s="298"/>
      <c r="P77" s="248">
        <f>IF(OR(L77="3.3.1.", L77="3.3.2.", L77="3.3.3.", L77="3.1.1.", L77="3.1.2.", L77="3.4.1.", L77="3.4.2."), 0, VLOOKUP(L77, Работы!$A$3:$D$184, 4, 0))</f>
        <v>0</v>
      </c>
      <c r="Q77" s="243"/>
      <c r="R77" s="293"/>
      <c r="S77" s="293"/>
      <c r="T77" s="244">
        <f>IF(OR(L77="3.3.1.", L77="3.3.2.", L77="3.3.3."), VLOOKUP(L77, Работы!$A$3:$D$184, 4, 0), 0)</f>
        <v>0</v>
      </c>
      <c r="U77" s="246">
        <f>IF(OR(L77="3.1.1."), VLOOKUP(L77, Работы!$A$3:$D$184, 4, 0), 0)</f>
        <v>0</v>
      </c>
      <c r="V77" s="246">
        <f>IF(OR(L77="3.1.2."), VLOOKUP(L77, Работы!$A$3:$D$184, 4, 0), 0)</f>
        <v>0</v>
      </c>
      <c r="W77" s="294"/>
      <c r="X77" s="294"/>
      <c r="Y77" s="247">
        <f>IF(OR(L77="3.2.1.", L77="3.2.2."), VLOOKUP(L77, Работы!$A$3:$D$184, 4, 0), 0)</f>
        <v>0</v>
      </c>
      <c r="Z77" s="247">
        <f>IF(OR(L77="3.4.1.", L77="3.4.2."), VLOOKUP(L77, Работы!$A$3:$D$184, 4, 0), 0)</f>
        <v>922</v>
      </c>
      <c r="AA77" s="68">
        <f>P77*O77+Q77*T77+R77*T77+S77*T77+U77+V77+W77*Y77+X77*Y77+Z77</f>
        <v>922</v>
      </c>
      <c r="AB77" s="295"/>
      <c r="AC77" s="296"/>
      <c r="AD77" s="296"/>
      <c r="AE77" s="69">
        <f>AC77*AD77</f>
        <v>0</v>
      </c>
      <c r="AF77" s="71">
        <f>C77*Работы!$D$180</f>
        <v>269.05</v>
      </c>
      <c r="AG77" s="68">
        <f>AA77+AE77+AF77+AL77+AM77</f>
        <v>1191.05</v>
      </c>
      <c r="AH77" s="72"/>
      <c r="AI77" s="73"/>
      <c r="AJ77" s="245">
        <f>AG77-AA77*AI77</f>
        <v>1191.05</v>
      </c>
      <c r="AK77" s="301"/>
      <c r="AL77" s="302">
        <f>IF(OR(E77="да"), 4040, 0)</f>
        <v>0</v>
      </c>
      <c r="AM77" s="365">
        <f>IF(OR(D77="доп."), AA77*0.1, 0)</f>
        <v>0</v>
      </c>
      <c r="AN77" s="1287"/>
      <c r="AO77" s="34"/>
      <c r="AP77" s="34"/>
      <c r="AQ77" s="34"/>
      <c r="AR77" s="34"/>
      <c r="AS77" s="34"/>
      <c r="AT77" s="370"/>
      <c r="AU77" s="370"/>
      <c r="AV77" s="370"/>
      <c r="AW77" s="370"/>
      <c r="AX77" s="370"/>
      <c r="AY77" s="370"/>
      <c r="AZ77" s="370"/>
      <c r="BA77" s="370"/>
      <c r="BB77" s="370"/>
      <c r="BC77" s="370"/>
      <c r="BD77" s="370"/>
      <c r="BE77" s="370"/>
      <c r="BF77" s="370"/>
      <c r="BG77" s="370"/>
      <c r="BH77" s="370"/>
      <c r="BI77" s="370"/>
      <c r="BJ77" s="370"/>
      <c r="BK77" s="370"/>
      <c r="BL77" s="370"/>
      <c r="BM77" s="370"/>
      <c r="BN77" s="370"/>
      <c r="BO77" s="370"/>
      <c r="BP77" s="370"/>
      <c r="BQ77" s="370"/>
      <c r="BR77" s="370"/>
      <c r="BS77" s="370"/>
      <c r="BT77" s="370"/>
      <c r="BU77" s="370"/>
      <c r="BV77" s="370"/>
      <c r="BW77" s="370"/>
      <c r="BX77" s="370"/>
      <c r="BY77" s="370"/>
      <c r="BZ77" s="370"/>
      <c r="CA77" s="370"/>
      <c r="CB77" s="370"/>
      <c r="CC77" s="370"/>
      <c r="CD77" s="370"/>
      <c r="CE77" s="370"/>
      <c r="CF77" s="370"/>
      <c r="CG77" s="370"/>
      <c r="CH77" s="370"/>
      <c r="CI77" s="370"/>
      <c r="CJ77" s="370"/>
      <c r="CK77" s="370"/>
      <c r="CL77" s="370"/>
      <c r="CM77" s="370"/>
      <c r="CN77" s="370"/>
      <c r="CO77" s="370"/>
      <c r="CP77" s="370"/>
      <c r="CQ77" s="370"/>
    </row>
    <row r="78" spans="1:95" s="46" customFormat="1" ht="102" x14ac:dyDescent="0.25">
      <c r="A78" s="241">
        <f>ROW(A78)-10</f>
        <v>68</v>
      </c>
      <c r="B78" s="335" t="s">
        <v>1069</v>
      </c>
      <c r="C78" s="241">
        <f>VLOOKUP(B78, Расстояния!B:J, 9, 0)</f>
        <v>4</v>
      </c>
      <c r="D78" s="242" t="str">
        <f>VLOOKUP(B78, Расстояния!B:K, 10, 0)</f>
        <v>осн.</v>
      </c>
      <c r="E78" s="242" t="str">
        <f>VLOOKUP(B78, Расстояния!B:F, 5, 0)</f>
        <v>нет</v>
      </c>
      <c r="F78" s="290" t="s">
        <v>4226</v>
      </c>
      <c r="G78" s="305">
        <v>46104.429166666669</v>
      </c>
      <c r="H78" s="345">
        <v>46104.473611111112</v>
      </c>
      <c r="I78" s="345">
        <v>46104.509027777778</v>
      </c>
      <c r="J78" s="303" t="s">
        <v>4227</v>
      </c>
      <c r="K78" s="306"/>
      <c r="L78" s="250" t="s">
        <v>367</v>
      </c>
      <c r="M78" s="241" t="str">
        <f>VLOOKUP(L78,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78" s="330" t="s">
        <v>3843</v>
      </c>
      <c r="O78" s="298"/>
      <c r="P78" s="248">
        <f>IF(OR(L78="3.3.1.", L78="3.3.2.", L78="3.3.3.", L78="3.1.1.", L78="3.1.2.", L78="3.4.1.", L78="3.4.2."), 0, VLOOKUP(L78, Работы!$A$3:$D$184, 4, 0))</f>
        <v>0</v>
      </c>
      <c r="Q78" s="243">
        <f>ROUNDUP((I78-H78)*24, 0)</f>
        <v>1</v>
      </c>
      <c r="R78" s="293"/>
      <c r="S78" s="293"/>
      <c r="T78" s="244">
        <f>IF(OR(L78="3.3.1.", L78="3.3.2.", L78="3.3.3."), VLOOKUP(L78, Работы!$A$3:$D$184, 4, 0), 0)</f>
        <v>903</v>
      </c>
      <c r="U78" s="246">
        <f>IF(OR(L78="3.1.1."), VLOOKUP(L78, Работы!$A$3:$D$184, 4, 0), 0)</f>
        <v>0</v>
      </c>
      <c r="V78" s="246">
        <f>IF(OR(L78="3.1.2."), VLOOKUP(L78, Работы!$A$3:$D$184, 4, 0), 0)</f>
        <v>0</v>
      </c>
      <c r="W78" s="294"/>
      <c r="X78" s="294"/>
      <c r="Y78" s="247">
        <f>IF(OR(L78="3.2.1.", L78="3.2.2."), VLOOKUP(L78, Работы!$A$3:$D$184, 4, 0), 0)</f>
        <v>0</v>
      </c>
      <c r="Z78" s="247">
        <f>IF(OR(L78="3.4.1.", L78="3.4.2."), VLOOKUP(L78, Работы!$A$3:$D$184, 4, 0), 0)</f>
        <v>0</v>
      </c>
      <c r="AA78" s="68">
        <f>P78*O78+Q78*T78+R78*T78+S78*T78+U78+V78+W78*Y78+X78*Y78+Z78</f>
        <v>903</v>
      </c>
      <c r="AB78" s="295"/>
      <c r="AC78" s="296"/>
      <c r="AD78" s="296"/>
      <c r="AE78" s="69">
        <f>AC78*AD78</f>
        <v>0</v>
      </c>
      <c r="AF78" s="71">
        <f>C78*Работы!$D$180</f>
        <v>215.24</v>
      </c>
      <c r="AG78" s="68">
        <f>AA78+AE78+AF78+AL78+AM78</f>
        <v>1118.24</v>
      </c>
      <c r="AH78" s="72"/>
      <c r="AI78" s="73"/>
      <c r="AJ78" s="245">
        <f>AG78-AA78*AI78</f>
        <v>1118.24</v>
      </c>
      <c r="AK78" s="301"/>
      <c r="AL78" s="302">
        <f>IF(OR(E78="да"), 4040, 0)</f>
        <v>0</v>
      </c>
      <c r="AM78" s="365">
        <f>IF(OR(D78="доп."), AA78*0.1, 0)</f>
        <v>0</v>
      </c>
      <c r="AN78" s="1287"/>
      <c r="AO78" s="34"/>
      <c r="AP78" s="34"/>
      <c r="AQ78" s="34"/>
      <c r="AR78" s="34"/>
      <c r="AS78" s="34"/>
      <c r="AT78" s="370"/>
      <c r="AU78" s="370"/>
      <c r="AV78" s="370"/>
      <c r="AW78" s="370"/>
      <c r="AX78" s="370"/>
      <c r="AY78" s="370"/>
      <c r="AZ78" s="370"/>
      <c r="BA78" s="370"/>
      <c r="BB78" s="370"/>
      <c r="BC78" s="370"/>
      <c r="BD78" s="370"/>
      <c r="BE78" s="370"/>
      <c r="BF78" s="370"/>
      <c r="BG78" s="370"/>
      <c r="BH78" s="370"/>
      <c r="BI78" s="370"/>
      <c r="BJ78" s="370"/>
      <c r="BK78" s="370"/>
      <c r="BL78" s="370"/>
      <c r="BM78" s="370"/>
      <c r="BN78" s="370"/>
      <c r="BO78" s="370"/>
      <c r="BP78" s="370"/>
      <c r="BQ78" s="370"/>
      <c r="BR78" s="370"/>
      <c r="BS78" s="370"/>
      <c r="BT78" s="370"/>
      <c r="BU78" s="370"/>
      <c r="BV78" s="370"/>
      <c r="BW78" s="370"/>
      <c r="BX78" s="370"/>
      <c r="BY78" s="370"/>
      <c r="BZ78" s="370"/>
      <c r="CA78" s="370"/>
      <c r="CB78" s="370"/>
      <c r="CC78" s="370"/>
      <c r="CD78" s="370"/>
      <c r="CE78" s="370"/>
      <c r="CF78" s="370"/>
      <c r="CG78" s="370"/>
      <c r="CH78" s="370"/>
      <c r="CI78" s="370"/>
      <c r="CJ78" s="370"/>
      <c r="CK78" s="370"/>
      <c r="CL78" s="370"/>
      <c r="CM78" s="370"/>
      <c r="CN78" s="370"/>
      <c r="CO78" s="370"/>
      <c r="CP78" s="370"/>
      <c r="CQ78" s="370"/>
    </row>
    <row r="79" spans="1:95" s="46" customFormat="1" ht="38.25" x14ac:dyDescent="0.25">
      <c r="A79" s="241">
        <f>ROW(A79)-10</f>
        <v>69</v>
      </c>
      <c r="B79" s="335" t="s">
        <v>1093</v>
      </c>
      <c r="C79" s="241">
        <f>VLOOKUP(B79, Расстояния!B:J, 9, 0)</f>
        <v>6</v>
      </c>
      <c r="D79" s="242" t="str">
        <f>VLOOKUP(B79, Расстояния!B:K, 10, 0)</f>
        <v>осн.</v>
      </c>
      <c r="E79" s="242" t="str">
        <f>VLOOKUP(B79, Расстояния!B:F, 5, 0)</f>
        <v>нет</v>
      </c>
      <c r="F79" s="290"/>
      <c r="G79" s="305"/>
      <c r="H79" s="345">
        <v>46109.620833333334</v>
      </c>
      <c r="I79" s="345">
        <v>46109.738194444442</v>
      </c>
      <c r="J79" s="303" t="s">
        <v>4046</v>
      </c>
      <c r="K79" s="306"/>
      <c r="L79" s="250" t="s">
        <v>296</v>
      </c>
      <c r="M79" s="241" t="str">
        <f>VLOOKUP(L79, Работы!A:B, 2, 0)</f>
        <v>Техническое обслуживание БС</v>
      </c>
      <c r="N79" s="330" t="s">
        <v>298</v>
      </c>
      <c r="O79" s="298">
        <v>1</v>
      </c>
      <c r="P79" s="248">
        <f>IF(OR(L79="3.3.1.", L79="3.3.2.", L79="3.3.3.", L79="3.1.1.", L79="3.1.2.", L79="3.4.1.", L79="3.4.2."), 0, VLOOKUP(L79, Работы!$A$3:$D$184, 4, 0))</f>
        <v>4143</v>
      </c>
      <c r="Q79" s="243"/>
      <c r="R79" s="293"/>
      <c r="S79" s="293"/>
      <c r="T79" s="244">
        <f>IF(OR(L79="3.3.1.", L79="3.3.2.", L79="3.3.3."), VLOOKUP(L79, Работы!$A$3:$D$184, 4, 0), 0)</f>
        <v>0</v>
      </c>
      <c r="U79" s="246">
        <f>IF(OR(L79="3.1.1."), VLOOKUP(L79, Работы!$A$3:$D$184, 4, 0), 0)</f>
        <v>0</v>
      </c>
      <c r="V79" s="246">
        <f>IF(OR(L79="3.1.2."), VLOOKUP(L79, Работы!$A$3:$D$184, 4, 0), 0)</f>
        <v>0</v>
      </c>
      <c r="W79" s="294"/>
      <c r="X79" s="294"/>
      <c r="Y79" s="247">
        <f>IF(OR(L79="3.2.1.", L79="3.2.2."), VLOOKUP(L79, Работы!$A$3:$D$184, 4, 0), 0)</f>
        <v>0</v>
      </c>
      <c r="Z79" s="247">
        <f>IF(OR(L79="3.4.1.", L79="3.4.2."), VLOOKUP(L79, Работы!$A$3:$D$184, 4, 0), 0)</f>
        <v>0</v>
      </c>
      <c r="AA79" s="68">
        <f>P79*O79+Q79*T79+R79*T79+S79*T79+U79+V79+W79*Y79+X79*Y79+Z79</f>
        <v>4143</v>
      </c>
      <c r="AB79" s="295"/>
      <c r="AC79" s="296"/>
      <c r="AD79" s="296"/>
      <c r="AE79" s="69">
        <f>AC79*AD79</f>
        <v>0</v>
      </c>
      <c r="AF79" s="71">
        <f>C79*Работы!$D$180</f>
        <v>322.86</v>
      </c>
      <c r="AG79" s="68">
        <f>AA79+AE79+AF79+AL79+AM79</f>
        <v>4465.8599999999997</v>
      </c>
      <c r="AH79" s="72"/>
      <c r="AI79" s="73"/>
      <c r="AJ79" s="245">
        <f>AG79-AA79*AI79</f>
        <v>4465.8599999999997</v>
      </c>
      <c r="AK79" s="301"/>
      <c r="AL79" s="302">
        <f>IF(OR(E79="да"), 4040, 0)</f>
        <v>0</v>
      </c>
      <c r="AM79" s="365">
        <f>IF(OR(D79="доп."), AA79*0.1, 0)</f>
        <v>0</v>
      </c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</row>
    <row r="80" spans="1:95" s="46" customFormat="1" ht="102" x14ac:dyDescent="0.25">
      <c r="A80" s="241">
        <f>ROW(A80)-10</f>
        <v>70</v>
      </c>
      <c r="B80" s="335" t="s">
        <v>1093</v>
      </c>
      <c r="C80" s="241">
        <v>0</v>
      </c>
      <c r="D80" s="242" t="str">
        <f>VLOOKUP(B80, Расстояния!B:K, 10, 0)</f>
        <v>осн.</v>
      </c>
      <c r="E80" s="242" t="str">
        <f>VLOOKUP(B80, Расстояния!B:F, 5, 0)</f>
        <v>нет</v>
      </c>
      <c r="F80" s="290" t="s">
        <v>4104</v>
      </c>
      <c r="G80" s="305">
        <v>46108.388888888891</v>
      </c>
      <c r="H80" s="345">
        <v>46109.620833333334</v>
      </c>
      <c r="I80" s="345">
        <v>46109.738194444442</v>
      </c>
      <c r="J80" s="303" t="s">
        <v>4046</v>
      </c>
      <c r="K80" s="306"/>
      <c r="L80" s="250" t="s">
        <v>99</v>
      </c>
      <c r="M80" s="241" t="str">
        <f>VLOOKUP(L80, Работы!A:B, 2, 0)</f>
        <v>Диагностика и замена модуля передатчиков БС на АМС, включая монтаж всех крепёжных элементов и кабелей, переключение джамперов и созданием логических объектов на стороне БС</v>
      </c>
      <c r="N80" s="330" t="s">
        <v>4250</v>
      </c>
      <c r="O80" s="298">
        <v>1</v>
      </c>
      <c r="P80" s="248">
        <f>IF(OR(L80="3.3.1.", L80="3.3.2.", L80="3.3.3.", L80="3.1.1.", L80="3.1.2.", L80="3.4.1.", L80="3.4.2."), 0, VLOOKUP(L80, Работы!$A$3:$D$184, 4, 0))</f>
        <v>2830</v>
      </c>
      <c r="Q80" s="243"/>
      <c r="R80" s="293"/>
      <c r="S80" s="293"/>
      <c r="T80" s="244">
        <f>IF(OR(L80="3.3.1.", L80="3.3.2.", L80="3.3.3."), VLOOKUP(L80, Работы!$A$3:$D$184, 4, 0), 0)</f>
        <v>0</v>
      </c>
      <c r="U80" s="246">
        <f>IF(OR(L80="3.1.1."), VLOOKUP(L80, Работы!$A$3:$D$184, 4, 0), 0)</f>
        <v>0</v>
      </c>
      <c r="V80" s="246">
        <f>IF(OR(L80="3.1.2."), VLOOKUP(L80, Работы!$A$3:$D$184, 4, 0), 0)</f>
        <v>0</v>
      </c>
      <c r="W80" s="294"/>
      <c r="X80" s="294"/>
      <c r="Y80" s="247">
        <f>IF(OR(L80="3.2.1.", L80="3.2.2."), VLOOKUP(L80, Работы!$A$3:$D$184, 4, 0), 0)</f>
        <v>0</v>
      </c>
      <c r="Z80" s="247">
        <f>IF(OR(L80="3.4.1.", L80="3.4.2."), VLOOKUP(L80, Работы!$A$3:$D$184, 4, 0), 0)</f>
        <v>0</v>
      </c>
      <c r="AA80" s="68">
        <f>P80*O80+Q80*T80+R80*T80+S80*T80+U80+V80+W80*Y80+X80*Y80+Z80</f>
        <v>2830</v>
      </c>
      <c r="AB80" s="295"/>
      <c r="AC80" s="296"/>
      <c r="AD80" s="296"/>
      <c r="AE80" s="69">
        <f>AC80*AD80</f>
        <v>0</v>
      </c>
      <c r="AF80" s="71">
        <f>C80*Работы!$D$180</f>
        <v>0</v>
      </c>
      <c r="AG80" s="68">
        <f>AA80+AE80+AF80+AL80+AM80</f>
        <v>2830</v>
      </c>
      <c r="AH80" s="72"/>
      <c r="AI80" s="73"/>
      <c r="AJ80" s="245">
        <f>AG80-AA80*AI80</f>
        <v>2830</v>
      </c>
      <c r="AK80" s="301"/>
      <c r="AL80" s="302">
        <f>IF(OR(E80="да"), 4040, 0)</f>
        <v>0</v>
      </c>
      <c r="AM80" s="365">
        <f>IF(OR(D80="доп."), AA80*0.1, 0)</f>
        <v>0</v>
      </c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</row>
    <row r="81" spans="1:95" s="46" customFormat="1" ht="51" x14ac:dyDescent="0.25">
      <c r="A81" s="241">
        <f>ROW(A81)-10</f>
        <v>71</v>
      </c>
      <c r="B81" s="335" t="s">
        <v>1154</v>
      </c>
      <c r="C81" s="241">
        <f>VLOOKUP(B81, Расстояния!B:J, 9, 0)</f>
        <v>3</v>
      </c>
      <c r="D81" s="242" t="str">
        <f>VLOOKUP(B81, Расстояния!B:K, 10, 0)</f>
        <v>осн.</v>
      </c>
      <c r="E81" s="242" t="str">
        <f>VLOOKUP(B81, Расстояния!B:F, 5, 0)</f>
        <v>нет</v>
      </c>
      <c r="F81" s="290" t="s">
        <v>4079</v>
      </c>
      <c r="G81" s="305">
        <v>46100.450694444444</v>
      </c>
      <c r="H81" s="345">
        <v>46100.453472222223</v>
      </c>
      <c r="I81" s="345">
        <v>46100.461805555555</v>
      </c>
      <c r="J81" s="331" t="s">
        <v>4046</v>
      </c>
      <c r="K81" s="306"/>
      <c r="L81" s="250" t="s">
        <v>321</v>
      </c>
      <c r="M81" s="241" t="str">
        <f>VLOOKUP(L81, Работы!A:B, 2, 0)</f>
        <v>Стоимость аварийно-восстановительных работ, заявка по которым получена в течение рабочего времени</v>
      </c>
      <c r="N81" s="347" t="s">
        <v>4243</v>
      </c>
      <c r="O81" s="298"/>
      <c r="P81" s="248">
        <f>IF(OR(L81="3.3.1.", L81="3.3.2.", L81="3.3.3.", L81="3.1.1.", L81="3.1.2.", L81="3.4.1.", L81="3.4.2."), 0, VLOOKUP(L81, Работы!$A$3:$D$184, 4, 0))</f>
        <v>0</v>
      </c>
      <c r="Q81" s="243"/>
      <c r="R81" s="293"/>
      <c r="S81" s="293"/>
      <c r="T81" s="244">
        <f>IF(OR(L81="3.3.1.", L81="3.3.2.", L81="3.3.3."), VLOOKUP(L81, Работы!$A$3:$D$184, 4, 0), 0)</f>
        <v>0</v>
      </c>
      <c r="U81" s="246">
        <f>IF(OR(L81="3.1.1."), VLOOKUP(L81, Работы!$A$3:$D$184, 4, 0), 0)</f>
        <v>3956</v>
      </c>
      <c r="V81" s="246">
        <f>IF(OR(L81="3.1.2."), VLOOKUP(L81, Работы!$A$3:$D$184, 4, 0), 0)</f>
        <v>0</v>
      </c>
      <c r="W81" s="294"/>
      <c r="X81" s="294"/>
      <c r="Y81" s="247">
        <f>IF(OR(L81="3.2.1.", L81="3.2.2."), VLOOKUP(L81, Работы!$A$3:$D$184, 4, 0), 0)</f>
        <v>0</v>
      </c>
      <c r="Z81" s="247">
        <f>IF(OR(L81="3.4.1.", L81="3.4.2."), VLOOKUP(L81, Работы!$A$3:$D$184, 4, 0), 0)</f>
        <v>0</v>
      </c>
      <c r="AA81" s="68">
        <f>P81*O81+Q81*T81+R81*T81+S81*T81+U81+V81+W81*Y81+X81*Y81+Z81</f>
        <v>3956</v>
      </c>
      <c r="AB81" s="355"/>
      <c r="AC81" s="356"/>
      <c r="AD81" s="356"/>
      <c r="AE81" s="69">
        <f>AC81*AD81</f>
        <v>0</v>
      </c>
      <c r="AF81" s="71">
        <f>C81*Работы!$D$180</f>
        <v>161.43</v>
      </c>
      <c r="AG81" s="68">
        <f>AA81+AE81+AF81+AL81+AM81</f>
        <v>4117.43</v>
      </c>
      <c r="AH81" s="72"/>
      <c r="AI81" s="73"/>
      <c r="AJ81" s="245">
        <f>AG81-AA81*AI81</f>
        <v>4117.43</v>
      </c>
      <c r="AK81" s="251"/>
      <c r="AL81" s="302">
        <f>IF(OR(E81="да"), 4040, 0)</f>
        <v>0</v>
      </c>
      <c r="AM81" s="365">
        <f>IF(OR(D81="доп."), AA81*0.1, 0)</f>
        <v>0</v>
      </c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</row>
    <row r="82" spans="1:95" s="46" customFormat="1" ht="38.25" x14ac:dyDescent="0.25">
      <c r="A82" s="241">
        <f>ROW(A82)-10</f>
        <v>72</v>
      </c>
      <c r="B82" s="335" t="s">
        <v>1154</v>
      </c>
      <c r="C82" s="241">
        <f>VLOOKUP(B82, Расстояния!B:J, 9, 0)</f>
        <v>3</v>
      </c>
      <c r="D82" s="242" t="str">
        <f>VLOOKUP(B82, Расстояния!B:K, 10, 0)</f>
        <v>осн.</v>
      </c>
      <c r="E82" s="242" t="str">
        <f>VLOOKUP(B82, Расстояния!B:F, 5, 0)</f>
        <v>нет</v>
      </c>
      <c r="F82" s="290"/>
      <c r="G82" s="305"/>
      <c r="H82" s="345">
        <v>46107.445833333331</v>
      </c>
      <c r="I82" s="345">
        <v>46107.502083333333</v>
      </c>
      <c r="J82" s="304" t="s">
        <v>4046</v>
      </c>
      <c r="K82" s="306"/>
      <c r="L82" s="250" t="s">
        <v>296</v>
      </c>
      <c r="M82" s="241" t="str">
        <f>VLOOKUP(L82, Работы!A:B, 2, 0)</f>
        <v>Техническое обслуживание БС</v>
      </c>
      <c r="N82" s="330" t="s">
        <v>298</v>
      </c>
      <c r="O82" s="298">
        <v>1</v>
      </c>
      <c r="P82" s="248">
        <f>IF(OR(L82="3.3.1.", L82="3.3.2.", L82="3.3.3.", L82="3.1.1.", L82="3.1.2.", L82="3.4.1.", L82="3.4.2."), 0, VLOOKUP(L82, Работы!$A$3:$D$184, 4, 0))</f>
        <v>4143</v>
      </c>
      <c r="Q82" s="243"/>
      <c r="R82" s="293"/>
      <c r="S82" s="293"/>
      <c r="T82" s="244">
        <f>IF(OR(L82="3.3.1.", L82="3.3.2.", L82="3.3.3."), VLOOKUP(L82, Работы!$A$3:$D$184, 4, 0), 0)</f>
        <v>0</v>
      </c>
      <c r="U82" s="246">
        <f>IF(OR(L82="3.1.1."), VLOOKUP(L82, Работы!$A$3:$D$184, 4, 0), 0)</f>
        <v>0</v>
      </c>
      <c r="V82" s="246">
        <f>IF(OR(L82="3.1.2."), VLOOKUP(L82, Работы!$A$3:$D$184, 4, 0), 0)</f>
        <v>0</v>
      </c>
      <c r="W82" s="294"/>
      <c r="X82" s="294"/>
      <c r="Y82" s="247">
        <f>IF(OR(L82="3.2.1.", L82="3.2.2."), VLOOKUP(L82, Работы!$A$3:$D$184, 4, 0), 0)</f>
        <v>0</v>
      </c>
      <c r="Z82" s="247">
        <f>IF(OR(L82="3.4.1.", L82="3.4.2."), VLOOKUP(L82, Работы!$A$3:$D$184, 4, 0), 0)</f>
        <v>0</v>
      </c>
      <c r="AA82" s="68">
        <f>P82*O82+Q82*T82+R82*T82+S82*T82+U82+V82+W82*Y82+X82*Y82+Z82</f>
        <v>4143</v>
      </c>
      <c r="AB82" s="295"/>
      <c r="AC82" s="296"/>
      <c r="AD82" s="296"/>
      <c r="AE82" s="69">
        <f>AC82*AD82</f>
        <v>0</v>
      </c>
      <c r="AF82" s="71">
        <f>C82*Работы!$D$180</f>
        <v>161.43</v>
      </c>
      <c r="AG82" s="68">
        <f>AA82+AE82+AF82+AL82+AM82</f>
        <v>4304.43</v>
      </c>
      <c r="AH82" s="72"/>
      <c r="AI82" s="73"/>
      <c r="AJ82" s="245">
        <f>AG82-AA82*AI82</f>
        <v>4304.43</v>
      </c>
      <c r="AK82" s="301"/>
      <c r="AL82" s="302">
        <f>IF(OR(E82="да"), 4040, 0)</f>
        <v>0</v>
      </c>
      <c r="AM82" s="365">
        <f>IF(OR(D82="доп."), AA82*0.1, 0)</f>
        <v>0</v>
      </c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O82" s="34"/>
      <c r="CP82" s="34"/>
      <c r="CQ82" s="34"/>
    </row>
    <row r="83" spans="1:95" s="46" customFormat="1" ht="38.25" x14ac:dyDescent="0.25">
      <c r="A83" s="241">
        <f>ROW(A83)-10</f>
        <v>73</v>
      </c>
      <c r="B83" s="335" t="s">
        <v>1154</v>
      </c>
      <c r="C83" s="241">
        <f>VLOOKUP(B83, Расстояния!B:J, 9, 0)</f>
        <v>3</v>
      </c>
      <c r="D83" s="242" t="str">
        <f>VLOOKUP(B83, Расстояния!B:K, 10, 0)</f>
        <v>осн.</v>
      </c>
      <c r="E83" s="242" t="str">
        <f>VLOOKUP(B83, Расстояния!B:F, 5, 0)</f>
        <v>нет</v>
      </c>
      <c r="F83" s="290" t="s">
        <v>4102</v>
      </c>
      <c r="G83" s="305">
        <v>46108.504166666666</v>
      </c>
      <c r="H83" s="345">
        <v>46108.538194444445</v>
      </c>
      <c r="I83" s="345">
        <v>46108.585416666669</v>
      </c>
      <c r="J83" s="303" t="s">
        <v>4046</v>
      </c>
      <c r="K83" s="306"/>
      <c r="L83" s="292" t="s">
        <v>280</v>
      </c>
      <c r="M83" s="241" t="str">
        <f>VLOOKUP(L83, Работы!A:B, 2, 0)</f>
        <v>Настройка, прописка ИБП, включая подключение и тестирование внешних аварий</v>
      </c>
      <c r="N83" s="330" t="s">
        <v>4238</v>
      </c>
      <c r="O83" s="298">
        <v>1</v>
      </c>
      <c r="P83" s="248">
        <f>IF(OR(L83="3.3.1.", L83="3.3.2.", L83="3.3.3.", L83="3.1.1.", L83="3.1.2.", L83="3.4.1.", L83="3.4.2."), 0, VLOOKUP(L83, Работы!$A$3:$D$184, 4, 0))</f>
        <v>735</v>
      </c>
      <c r="Q83" s="243"/>
      <c r="R83" s="293"/>
      <c r="S83" s="293"/>
      <c r="T83" s="244">
        <f>IF(OR(L83="3.3.1.", L83="3.3.2.", L83="3.3.3."), VLOOKUP(L83, Работы!$A$3:$D$184, 4, 0), 0)</f>
        <v>0</v>
      </c>
      <c r="U83" s="246">
        <f>IF(OR(L83="3.1.1."), VLOOKUP(L83, Работы!$A$3:$D$184, 4, 0), 0)</f>
        <v>0</v>
      </c>
      <c r="V83" s="246">
        <f>IF(OR(L83="3.1.2."), VLOOKUP(L83, Работы!$A$3:$D$184, 4, 0), 0)</f>
        <v>0</v>
      </c>
      <c r="W83" s="294"/>
      <c r="X83" s="294"/>
      <c r="Y83" s="247">
        <f>IF(OR(L83="3.2.1.", L83="3.2.2."), VLOOKUP(L83, Работы!$A$3:$D$184, 4, 0), 0)</f>
        <v>0</v>
      </c>
      <c r="Z83" s="247">
        <f>IF(OR(L83="3.4.1.", L83="3.4.2."), VLOOKUP(L83, Работы!$A$3:$D$184, 4, 0), 0)</f>
        <v>0</v>
      </c>
      <c r="AA83" s="68">
        <f>P83*O83+Q83*T83+R83*T83+S83*T83+U83+V83+W83*Y83+X83*Y83+Z83</f>
        <v>735</v>
      </c>
      <c r="AB83" s="295"/>
      <c r="AC83" s="296"/>
      <c r="AD83" s="296"/>
      <c r="AE83" s="69">
        <f>AC83*AD83</f>
        <v>0</v>
      </c>
      <c r="AF83" s="71">
        <f>C83*Работы!$D$180</f>
        <v>161.43</v>
      </c>
      <c r="AG83" s="68">
        <f>AA83+AE83+AF83+AL83+AM83</f>
        <v>896.43000000000006</v>
      </c>
      <c r="AH83" s="72"/>
      <c r="AI83" s="73"/>
      <c r="AJ83" s="245">
        <f>AG83-AA83*AI83</f>
        <v>896.43000000000006</v>
      </c>
      <c r="AK83" s="301"/>
      <c r="AL83" s="302">
        <f>IF(OR(E83="да"), 4040, 0)</f>
        <v>0</v>
      </c>
      <c r="AM83" s="365">
        <f>IF(OR(D83="доп."), AA83*0.1, 0)</f>
        <v>0</v>
      </c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</row>
    <row r="84" spans="1:95" s="46" customFormat="1" ht="63.75" x14ac:dyDescent="0.25">
      <c r="A84" s="241">
        <f>ROW(A84)-10</f>
        <v>74</v>
      </c>
      <c r="B84" s="335" t="s">
        <v>1178</v>
      </c>
      <c r="C84" s="241">
        <v>60</v>
      </c>
      <c r="D84" s="242" t="str">
        <f>VLOOKUP(B84, Расстояния!B:K, 10, 0)</f>
        <v>осн.</v>
      </c>
      <c r="E84" s="242" t="str">
        <f>VLOOKUP(B84, Расстояния!B:F, 5, 0)</f>
        <v>нет</v>
      </c>
      <c r="F84" s="290" t="s">
        <v>4202</v>
      </c>
      <c r="G84" s="305">
        <v>46110.930555555555</v>
      </c>
      <c r="H84" s="345">
        <v>46111.000694444447</v>
      </c>
      <c r="I84" s="345">
        <v>46111.000694444447</v>
      </c>
      <c r="J84" s="304" t="s">
        <v>4192</v>
      </c>
      <c r="K84" s="306"/>
      <c r="L84" s="250" t="s">
        <v>371</v>
      </c>
      <c r="M84" s="241" t="str">
        <f>VLOOKUP(L84, Работы!A:B, 2, 0)</f>
        <v>Стоимость отменённого вызова на Аварийно-восстановительные работы, заявка по которым получена во внерабочее время</v>
      </c>
      <c r="N84" s="346" t="s">
        <v>3882</v>
      </c>
      <c r="O84" s="298"/>
      <c r="P84" s="248">
        <f>IF(OR(L84="3.3.1.", L84="3.3.2.", L84="3.3.3.", L84="3.1.1.", L84="3.1.2.", L84="3.4.1.", L84="3.4.2."), 0, VLOOKUP(L84, Работы!$A$3:$D$184, 4, 0))</f>
        <v>0</v>
      </c>
      <c r="Q84" s="243"/>
      <c r="R84" s="293"/>
      <c r="S84" s="293"/>
      <c r="T84" s="244">
        <f>IF(OR(L84="3.3.1.", L84="3.3.2.", L84="3.3.3."), VLOOKUP(L84, Работы!$A$3:$D$184, 4, 0), 0)</f>
        <v>0</v>
      </c>
      <c r="U84" s="246">
        <f>IF(OR(L84="3.1.1."), VLOOKUP(L84, Работы!$A$3:$D$184, 4, 0), 0)</f>
        <v>0</v>
      </c>
      <c r="V84" s="246">
        <f>IF(OR(L84="3.1.2."), VLOOKUP(L84, Работы!$A$3:$D$184, 4, 0), 0)</f>
        <v>0</v>
      </c>
      <c r="W84" s="294"/>
      <c r="X84" s="294"/>
      <c r="Y84" s="247">
        <f>IF(OR(L84="3.2.1.", L84="3.2.2."), VLOOKUP(L84, Работы!$A$3:$D$184, 4, 0), 0)</f>
        <v>0</v>
      </c>
      <c r="Z84" s="247">
        <f>IF(OR(L84="3.4.1.", L84="3.4.2."), VLOOKUP(L84, Работы!$A$3:$D$184, 4, 0), 0)</f>
        <v>1731</v>
      </c>
      <c r="AA84" s="68">
        <f>P84*O84+Q84*T84+R84*T84+S84*T84+U84+V84+W84*Y84+X84*Y84+Z84</f>
        <v>1731</v>
      </c>
      <c r="AB84" s="295"/>
      <c r="AC84" s="296"/>
      <c r="AD84" s="296"/>
      <c r="AE84" s="69">
        <f>AC84*AD84</f>
        <v>0</v>
      </c>
      <c r="AF84" s="71">
        <f>C84*Работы!$D$180</f>
        <v>3228.6000000000004</v>
      </c>
      <c r="AG84" s="68">
        <f>AA84+AE84+AF84+AL84+AM84</f>
        <v>4959.6000000000004</v>
      </c>
      <c r="AH84" s="72"/>
      <c r="AI84" s="73"/>
      <c r="AJ84" s="245">
        <f>AG84-AA84*AI84</f>
        <v>4959.6000000000004</v>
      </c>
      <c r="AK84" s="251"/>
      <c r="AL84" s="302">
        <f>IF(OR(E84="да"), 4040, 0)</f>
        <v>0</v>
      </c>
      <c r="AM84" s="365">
        <f>IF(OR(D84="доп."), AA84*0.1, 0)</f>
        <v>0</v>
      </c>
      <c r="AN84" s="251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</row>
    <row r="85" spans="1:95" s="46" customFormat="1" ht="89.25" x14ac:dyDescent="0.25">
      <c r="A85" s="241">
        <f>ROW(A85)-10</f>
        <v>75</v>
      </c>
      <c r="B85" s="335" t="s">
        <v>1266</v>
      </c>
      <c r="C85" s="241">
        <f>VLOOKUP(B85, Расстояния!B:J, 9, 0)</f>
        <v>63</v>
      </c>
      <c r="D85" s="242" t="str">
        <f>VLOOKUP(B85, Расстояния!B:K, 10, 0)</f>
        <v>осн.</v>
      </c>
      <c r="E85" s="242" t="str">
        <f>VLOOKUP(B85, Расстояния!B:F, 5, 0)</f>
        <v>нет</v>
      </c>
      <c r="F85" s="290" t="s">
        <v>4081</v>
      </c>
      <c r="G85" s="305">
        <v>46099.680555555555</v>
      </c>
      <c r="H85" s="345">
        <v>46103.556250000001</v>
      </c>
      <c r="I85" s="345">
        <v>46103.629861111112</v>
      </c>
      <c r="J85" s="303" t="s">
        <v>4046</v>
      </c>
      <c r="K85" s="306"/>
      <c r="L85" s="292" t="s">
        <v>239</v>
      </c>
      <c r="M85" s="241" t="str">
        <f>VLOOKUP(L85, Работы!A:B, 2, 0)</f>
        <v>Осмотр и тестирование аккумуляторов источников бесперебойного питания (ИБП) по упрощенной методике (разряд на штатную нагрузку ИБП до 2 (двух) часов с измерением их параметров)</v>
      </c>
      <c r="N85" s="330" t="s">
        <v>4305</v>
      </c>
      <c r="O85" s="298">
        <v>1</v>
      </c>
      <c r="P85" s="248">
        <f>IF(OR(L85="3.3.1.", L85="3.3.2.", L85="3.3.3.", L85="3.1.1.", L85="3.1.2.", L85="3.4.1.", L85="3.4.2."), 0, VLOOKUP(L85, Работы!$A$3:$D$184, 4, 0))</f>
        <v>1778</v>
      </c>
      <c r="Q85" s="243"/>
      <c r="R85" s="293"/>
      <c r="S85" s="293"/>
      <c r="T85" s="244">
        <f>IF(OR(L85="3.3.1.", L85="3.3.2.", L85="3.3.3."), VLOOKUP(L85, Работы!$A$3:$D$184, 4, 0), 0)</f>
        <v>0</v>
      </c>
      <c r="U85" s="246">
        <f>IF(OR(L85="3.1.1."), VLOOKUP(L85, Работы!$A$3:$D$184, 4, 0), 0)</f>
        <v>0</v>
      </c>
      <c r="V85" s="246">
        <f>IF(OR(L85="3.1.2."), VLOOKUP(L85, Работы!$A$3:$D$184, 4, 0), 0)</f>
        <v>0</v>
      </c>
      <c r="W85" s="294"/>
      <c r="X85" s="294"/>
      <c r="Y85" s="247">
        <f>IF(OR(L85="3.2.1.", L85="3.2.2."), VLOOKUP(L85, Работы!$A$3:$D$184, 4, 0), 0)</f>
        <v>0</v>
      </c>
      <c r="Z85" s="247">
        <f>IF(OR(L85="3.4.1.", L85="3.4.2."), VLOOKUP(L85, Работы!$A$3:$D$184, 4, 0), 0)</f>
        <v>0</v>
      </c>
      <c r="AA85" s="68">
        <f>P85*O85+Q85*T85+R85*T85+S85*T85+U85+V85+W85*Y85+X85*Y85+Z85</f>
        <v>1778</v>
      </c>
      <c r="AB85" s="295"/>
      <c r="AC85" s="296"/>
      <c r="AD85" s="296"/>
      <c r="AE85" s="69">
        <f>AC85*AD85</f>
        <v>0</v>
      </c>
      <c r="AF85" s="71">
        <f>C85*Работы!$D$180</f>
        <v>3390.03</v>
      </c>
      <c r="AG85" s="68">
        <f>AA85+AE85+AF85+AL85+AM85</f>
        <v>5168.0300000000007</v>
      </c>
      <c r="AH85" s="72"/>
      <c r="AI85" s="73"/>
      <c r="AJ85" s="245">
        <f>AG85-AA85*AI85</f>
        <v>5168.0300000000007</v>
      </c>
      <c r="AK85" s="301"/>
      <c r="AL85" s="302">
        <f>IF(OR(E85="да"), 4040, 0)</f>
        <v>0</v>
      </c>
      <c r="AM85" s="365">
        <f>IF(OR(D85="доп."), AA85*0.1, 0)</f>
        <v>0</v>
      </c>
      <c r="AN85" s="370"/>
      <c r="AO85" s="34"/>
      <c r="AP85" s="34"/>
      <c r="AQ85" s="34"/>
      <c r="AR85" s="34"/>
      <c r="AS85" s="34"/>
      <c r="AT85" s="370"/>
      <c r="AU85" s="370"/>
      <c r="AV85" s="370"/>
      <c r="AW85" s="370"/>
      <c r="AX85" s="370"/>
      <c r="AY85" s="370"/>
      <c r="AZ85" s="370"/>
      <c r="BA85" s="370"/>
      <c r="BB85" s="370"/>
      <c r="BC85" s="370"/>
      <c r="BD85" s="370"/>
      <c r="BE85" s="370"/>
      <c r="BF85" s="370"/>
      <c r="BG85" s="370"/>
      <c r="BH85" s="370"/>
      <c r="BI85" s="370"/>
      <c r="BJ85" s="370"/>
      <c r="BK85" s="370"/>
      <c r="BL85" s="370"/>
      <c r="BM85" s="370"/>
      <c r="BN85" s="370"/>
      <c r="BO85" s="370"/>
      <c r="BP85" s="370"/>
      <c r="BQ85" s="370"/>
      <c r="BR85" s="370"/>
      <c r="BS85" s="370"/>
      <c r="BT85" s="370"/>
      <c r="BU85" s="370"/>
      <c r="BV85" s="370"/>
      <c r="BW85" s="370"/>
      <c r="BX85" s="370"/>
      <c r="BY85" s="370"/>
      <c r="BZ85" s="370"/>
      <c r="CA85" s="370"/>
      <c r="CB85" s="370"/>
      <c r="CC85" s="370"/>
      <c r="CD85" s="370"/>
      <c r="CE85" s="370"/>
      <c r="CF85" s="370"/>
      <c r="CG85" s="370"/>
      <c r="CH85" s="370"/>
      <c r="CI85" s="370"/>
      <c r="CJ85" s="370"/>
      <c r="CK85" s="370"/>
      <c r="CL85" s="370"/>
      <c r="CM85" s="370"/>
      <c r="CN85" s="370"/>
      <c r="CO85" s="370"/>
      <c r="CP85" s="370"/>
      <c r="CQ85" s="370"/>
    </row>
    <row r="86" spans="1:95" s="46" customFormat="1" ht="51" x14ac:dyDescent="0.25">
      <c r="A86" s="241">
        <f>ROW(A86)-10</f>
        <v>76</v>
      </c>
      <c r="B86" s="335" t="s">
        <v>1274</v>
      </c>
      <c r="C86" s="241">
        <f>VLOOKUP(B86, Расстояния!B:J, 9, 0)</f>
        <v>53</v>
      </c>
      <c r="D86" s="242" t="str">
        <f>VLOOKUP(B86, Расстояния!B:K, 10, 0)</f>
        <v>осн.</v>
      </c>
      <c r="E86" s="242" t="str">
        <f>VLOOKUP(B86, Расстояния!B:F, 5, 0)</f>
        <v>нет</v>
      </c>
      <c r="F86" s="290" t="s">
        <v>4174</v>
      </c>
      <c r="G86" s="305">
        <v>46104.427777777775</v>
      </c>
      <c r="H86" s="345">
        <v>46105.835416666669</v>
      </c>
      <c r="I86" s="345">
        <v>46105.865972222222</v>
      </c>
      <c r="J86" s="304" t="s">
        <v>4164</v>
      </c>
      <c r="K86" s="306"/>
      <c r="L86" s="250" t="s">
        <v>322</v>
      </c>
      <c r="M86" s="241" t="str">
        <f>VLOOKUP(L86, Работы!A:B, 2, 0)</f>
        <v>Вскрытие либо замена замка двери контейнера БС и климат. шкафа, калитки ограждения, люка АМС</v>
      </c>
      <c r="N86" s="330" t="s">
        <v>4268</v>
      </c>
      <c r="O86" s="298">
        <v>1</v>
      </c>
      <c r="P86" s="248">
        <f>IF(OR(L86="3.3.1.", L86="3.3.2.", L86="3.3.3.", L86="3.1.1.", L86="3.1.2.", L86="3.4.1.", L86="3.4.2."), 0, VLOOKUP(L86, Работы!$A$3:$D$184, 4, 0))</f>
        <v>1471</v>
      </c>
      <c r="Q86" s="243"/>
      <c r="R86" s="293"/>
      <c r="S86" s="293"/>
      <c r="T86" s="244">
        <f>IF(OR(L86="3.3.1.", L86="3.3.2.", L86="3.3.3."), VLOOKUP(L86, Работы!$A$3:$D$184, 4, 0), 0)</f>
        <v>0</v>
      </c>
      <c r="U86" s="246">
        <f>IF(OR(L86="3.1.1."), VLOOKUP(L86, Работы!$A$3:$D$184, 4, 0), 0)</f>
        <v>0</v>
      </c>
      <c r="V86" s="246">
        <f>IF(OR(L86="3.1.2."), VLOOKUP(L86, Работы!$A$3:$D$184, 4, 0), 0)</f>
        <v>0</v>
      </c>
      <c r="W86" s="294"/>
      <c r="X86" s="294"/>
      <c r="Y86" s="247">
        <f>IF(OR(L86="3.2.1.", L86="3.2.2."), VLOOKUP(L86, Работы!$A$3:$D$184, 4, 0), 0)</f>
        <v>0</v>
      </c>
      <c r="Z86" s="247">
        <f>IF(OR(L86="3.4.1.", L86="3.4.2."), VLOOKUP(L86, Работы!$A$3:$D$184, 4, 0), 0)</f>
        <v>0</v>
      </c>
      <c r="AA86" s="68">
        <f>P86*O86+Q86*T86+R86*T86+S86*T86+U86+V86+W86*Y86+X86*Y86+Z86</f>
        <v>1471</v>
      </c>
      <c r="AB86" s="295"/>
      <c r="AC86" s="296"/>
      <c r="AD86" s="296"/>
      <c r="AE86" s="69">
        <f>AC86*AD86</f>
        <v>0</v>
      </c>
      <c r="AF86" s="71">
        <f>C86*Работы!$D$180</f>
        <v>2851.9300000000003</v>
      </c>
      <c r="AG86" s="68">
        <f>AA86+AE86+AF86+AL86+AM86</f>
        <v>4322.93</v>
      </c>
      <c r="AH86" s="72"/>
      <c r="AI86" s="73"/>
      <c r="AJ86" s="245">
        <f>AG86-AA86*AI86</f>
        <v>4322.93</v>
      </c>
      <c r="AK86" s="301"/>
      <c r="AL86" s="302">
        <f>IF(OR(E86="да"), 4040, 0)</f>
        <v>0</v>
      </c>
      <c r="AM86" s="365">
        <f>IF(OR(D86="доп."), AA86*0.1, 0)</f>
        <v>0</v>
      </c>
      <c r="AN86" s="251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</row>
    <row r="87" spans="1:95" s="46" customFormat="1" ht="102" x14ac:dyDescent="0.25">
      <c r="A87" s="241">
        <f>ROW(A87)-10</f>
        <v>77</v>
      </c>
      <c r="B87" s="335" t="s">
        <v>1287</v>
      </c>
      <c r="C87" s="241">
        <f>VLOOKUP(B87, Расстояния!B:J, 9, 0)</f>
        <v>65</v>
      </c>
      <c r="D87" s="242" t="str">
        <f>VLOOKUP(B87, Расстояния!B:K, 10, 0)</f>
        <v>осн.</v>
      </c>
      <c r="E87" s="242" t="str">
        <f>VLOOKUP(B87, Расстояния!B:F, 5, 0)</f>
        <v>нет</v>
      </c>
      <c r="F87" s="290" t="s">
        <v>4134</v>
      </c>
      <c r="G87" s="326">
        <v>46104.526388888888</v>
      </c>
      <c r="H87" s="326">
        <v>46104.605555555558</v>
      </c>
      <c r="I87" s="326">
        <v>46104.715277777781</v>
      </c>
      <c r="J87" s="331" t="s">
        <v>4131</v>
      </c>
      <c r="K87" s="306"/>
      <c r="L87" s="249" t="s">
        <v>367</v>
      </c>
      <c r="M87" s="241" t="str">
        <f>VLOOKUP(L87,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87" s="330" t="s">
        <v>3843</v>
      </c>
      <c r="O87" s="298"/>
      <c r="P87" s="248">
        <f>IF(OR(L87="3.3.1.", L87="3.3.2.", L87="3.3.3.", L87="3.1.1.", L87="3.1.2.", L87="3.4.1.", L87="3.4.2."), 0, VLOOKUP(L87, Работы!$A$3:$D$184, 4, 0))</f>
        <v>0</v>
      </c>
      <c r="Q87" s="243">
        <f>ROUNDUP((I87-H87)*24, 0)</f>
        <v>3</v>
      </c>
      <c r="R87" s="293"/>
      <c r="S87" s="293"/>
      <c r="T87" s="244">
        <f>IF(OR(L87="3.3.1.", L87="3.3.2.", L87="3.3.3."), VLOOKUP(L87, Работы!$A$3:$D$184, 4, 0), 0)</f>
        <v>903</v>
      </c>
      <c r="U87" s="246">
        <f>IF(OR(L87="3.1.1."), VLOOKUP(L87, Работы!$A$3:$D$184, 4, 0), 0)</f>
        <v>0</v>
      </c>
      <c r="V87" s="246">
        <f>IF(OR(L87="3.1.2."), VLOOKUP(L87, Работы!$A$3:$D$184, 4, 0), 0)</f>
        <v>0</v>
      </c>
      <c r="W87" s="294"/>
      <c r="X87" s="294"/>
      <c r="Y87" s="247">
        <f>IF(OR(L87="3.2.1.", L87="3.2.2."), VLOOKUP(L87, Работы!$A$3:$D$184, 4, 0), 0)</f>
        <v>0</v>
      </c>
      <c r="Z87" s="247">
        <f>IF(OR(L87="3.4.1.", L87="3.4.2."), VLOOKUP(L87, Работы!$A$3:$D$184, 4, 0), 0)</f>
        <v>0</v>
      </c>
      <c r="AA87" s="68">
        <f>P87*O87+Q87*T87+R87*T87+S87*T87+U87+V87+W87*Y87+X87*Y87+Z87</f>
        <v>2709</v>
      </c>
      <c r="AB87" s="295"/>
      <c r="AC87" s="296"/>
      <c r="AD87" s="296"/>
      <c r="AE87" s="69">
        <f>AC87*AD87</f>
        <v>0</v>
      </c>
      <c r="AF87" s="71">
        <f>C87*Работы!$D$180</f>
        <v>3497.65</v>
      </c>
      <c r="AG87" s="68">
        <f>AA87+AE87+AF87+AL87+AM87</f>
        <v>6206.65</v>
      </c>
      <c r="AH87" s="72"/>
      <c r="AI87" s="73"/>
      <c r="AJ87" s="245">
        <f>AG87-AA87*AI87</f>
        <v>6206.65</v>
      </c>
      <c r="AK87" s="251"/>
      <c r="AL87" s="302">
        <f>IF(OR(E87="да"), 4040, 0)</f>
        <v>0</v>
      </c>
      <c r="AM87" s="365">
        <f>IF(OR(D87="доп."), AA87*0.1, 0)</f>
        <v>0</v>
      </c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43"/>
      <c r="BW87" s="43"/>
      <c r="BX87" s="43"/>
      <c r="BY87" s="43"/>
      <c r="BZ87" s="43"/>
      <c r="CA87" s="43"/>
      <c r="CB87" s="43"/>
      <c r="CC87" s="43"/>
      <c r="CD87" s="43"/>
      <c r="CE87" s="43"/>
      <c r="CF87" s="43"/>
      <c r="CG87" s="43"/>
      <c r="CH87" s="43"/>
      <c r="CI87" s="43"/>
      <c r="CJ87" s="43"/>
      <c r="CK87" s="43"/>
      <c r="CL87" s="43"/>
      <c r="CM87" s="43"/>
      <c r="CN87" s="43"/>
      <c r="CO87" s="43"/>
      <c r="CP87" s="43"/>
      <c r="CQ87" s="43"/>
    </row>
    <row r="88" spans="1:95" s="46" customFormat="1" ht="63.75" x14ac:dyDescent="0.25">
      <c r="A88" s="241">
        <f>ROW(A88)-10</f>
        <v>78</v>
      </c>
      <c r="B88" s="335" t="s">
        <v>1299</v>
      </c>
      <c r="C88" s="241">
        <f>VLOOKUP(B88, Расстояния!B:J, 9, 0)</f>
        <v>27</v>
      </c>
      <c r="D88" s="242" t="str">
        <f>VLOOKUP(B88, Расстояния!B:K, 10, 0)</f>
        <v>осн.</v>
      </c>
      <c r="E88" s="242" t="str">
        <f>VLOOKUP(B88, Расстояния!B:F, 5, 0)</f>
        <v>нет</v>
      </c>
      <c r="F88" s="290" t="s">
        <v>4229</v>
      </c>
      <c r="G88" s="305">
        <v>46105.339583333334</v>
      </c>
      <c r="H88" s="345">
        <v>46105.401388888888</v>
      </c>
      <c r="I88" s="345">
        <v>46105.401388888888</v>
      </c>
      <c r="J88" s="304" t="s">
        <v>4227</v>
      </c>
      <c r="K88" s="306"/>
      <c r="L88" s="340" t="s">
        <v>368</v>
      </c>
      <c r="M88" s="241" t="str">
        <f>VLOOKUP(L88, Работы!A:B, 2, 0)</f>
        <v>Стоимость отменённого вызова на Аварийно-восстановительные работы, заявка по которым получена в рабочее время</v>
      </c>
      <c r="N88" s="346" t="s">
        <v>3882</v>
      </c>
      <c r="O88" s="298"/>
      <c r="P88" s="248">
        <f>IF(OR(L88="3.3.1.", L88="3.3.2.", L88="3.3.3.", L88="3.1.1.", L88="3.1.2.", L88="3.4.1.", L88="3.4.2."), 0, VLOOKUP(L88, Работы!$A$3:$D$184, 4, 0))</f>
        <v>0</v>
      </c>
      <c r="Q88" s="243"/>
      <c r="R88" s="293"/>
      <c r="S88" s="293"/>
      <c r="T88" s="244">
        <f>IF(OR(L88="3.3.1.", L88="3.3.2.", L88="3.3.3."), VLOOKUP(L88, Работы!$A$3:$D$184, 4, 0), 0)</f>
        <v>0</v>
      </c>
      <c r="U88" s="246">
        <f>IF(OR(L88="3.1.1."), VLOOKUP(L88, Работы!$A$3:$D$184, 4, 0), 0)</f>
        <v>0</v>
      </c>
      <c r="V88" s="246">
        <f>IF(OR(L88="3.1.2."), VLOOKUP(L88, Работы!$A$3:$D$184, 4, 0), 0)</f>
        <v>0</v>
      </c>
      <c r="W88" s="294"/>
      <c r="X88" s="294"/>
      <c r="Y88" s="247">
        <f>IF(OR(L88="3.2.1.", L88="3.2.2."), VLOOKUP(L88, Работы!$A$3:$D$184, 4, 0), 0)</f>
        <v>0</v>
      </c>
      <c r="Z88" s="247">
        <f>IF(OR(L88="3.4.1.", L88="3.4.2."), VLOOKUP(L88, Работы!$A$3:$D$184, 4, 0), 0)</f>
        <v>922</v>
      </c>
      <c r="AA88" s="68">
        <f>P88*O88+Q88*T88+R88*T88+S88*T88+U88+V88+W88*Y88+X88*Y88+Z88</f>
        <v>922</v>
      </c>
      <c r="AB88" s="299"/>
      <c r="AC88" s="300"/>
      <c r="AD88" s="300"/>
      <c r="AE88" s="69">
        <f>AC88*AD88</f>
        <v>0</v>
      </c>
      <c r="AF88" s="71">
        <f>C88*Работы!$D$180</f>
        <v>1452.8700000000001</v>
      </c>
      <c r="AG88" s="68">
        <f>AA88+AE88+AF88+AL88+AM88</f>
        <v>2374.87</v>
      </c>
      <c r="AH88" s="72"/>
      <c r="AI88" s="73"/>
      <c r="AJ88" s="245">
        <f>AG88-AA88*AI88</f>
        <v>2374.87</v>
      </c>
      <c r="AK88" s="301"/>
      <c r="AL88" s="302">
        <f>IF(OR(E88="да"), 4040, 0)</f>
        <v>0</v>
      </c>
      <c r="AM88" s="365">
        <f>IF(OR(D88="доп."), AA88*0.1, 0)</f>
        <v>0</v>
      </c>
      <c r="AN88" s="251"/>
      <c r="AO88" s="34"/>
      <c r="AP88" s="34"/>
      <c r="AQ88" s="34"/>
      <c r="AR88" s="34"/>
      <c r="AS88" s="34"/>
    </row>
    <row r="89" spans="1:95" s="46" customFormat="1" ht="51" x14ac:dyDescent="0.25">
      <c r="A89" s="241">
        <f>ROW(A89)-10</f>
        <v>79</v>
      </c>
      <c r="B89" s="335" t="s">
        <v>1303</v>
      </c>
      <c r="C89" s="241">
        <f>VLOOKUP(B89, Расстояния!B:J, 9, 0)</f>
        <v>26</v>
      </c>
      <c r="D89" s="242" t="str">
        <f>VLOOKUP(B89, Расстояния!B:K, 10, 0)</f>
        <v>осн.</v>
      </c>
      <c r="E89" s="242" t="str">
        <f>VLOOKUP(B89, Расстояния!B:F, 5, 0)</f>
        <v>нет</v>
      </c>
      <c r="F89" s="290" t="s">
        <v>4082</v>
      </c>
      <c r="G89" s="305">
        <v>46103.647916666669</v>
      </c>
      <c r="H89" s="345">
        <v>46103.702777777777</v>
      </c>
      <c r="I89" s="345">
        <v>46103.71875</v>
      </c>
      <c r="J89" s="304" t="s">
        <v>4046</v>
      </c>
      <c r="K89" s="306"/>
      <c r="L89" s="250" t="s">
        <v>332</v>
      </c>
      <c r="M89" s="241" t="str">
        <f>VLOOKUP(L89, Работы!A:B, 2, 0)</f>
        <v>Стоимость аварийно-восстановительных работ, заявка по которым получена во внерабочее время</v>
      </c>
      <c r="N89" s="330" t="s">
        <v>4246</v>
      </c>
      <c r="O89" s="298"/>
      <c r="P89" s="248">
        <f>IF(OR(L89="3.3.1.", L89="3.3.2.", L89="3.3.3.", L89="3.1.1.", L89="3.1.2.", L89="3.4.1.", L89="3.4.2."), 0, VLOOKUP(L89, Работы!$A$3:$D$184, 4, 0))</f>
        <v>0</v>
      </c>
      <c r="Q89" s="243"/>
      <c r="R89" s="293"/>
      <c r="S89" s="293"/>
      <c r="T89" s="244">
        <f>IF(OR(L89="3.3.1.", L89="3.3.2.", L89="3.3.3."), VLOOKUP(L89, Работы!$A$3:$D$184, 4, 0), 0)</f>
        <v>0</v>
      </c>
      <c r="U89" s="246">
        <f>IF(OR(L89="3.1.1."), VLOOKUP(L89, Работы!$A$3:$D$184, 4, 0), 0)</f>
        <v>0</v>
      </c>
      <c r="V89" s="246">
        <f>IF(OR(L89="3.1.2."), VLOOKUP(L89, Работы!$A$3:$D$184, 4, 0), 0)</f>
        <v>7187</v>
      </c>
      <c r="W89" s="294"/>
      <c r="X89" s="294"/>
      <c r="Y89" s="247">
        <f>IF(OR(L89="3.2.1.", L89="3.2.2."), VLOOKUP(L89, Работы!$A$3:$D$184, 4, 0), 0)</f>
        <v>0</v>
      </c>
      <c r="Z89" s="247">
        <f>IF(OR(L89="3.4.1.", L89="3.4.2."), VLOOKUP(L89, Работы!$A$3:$D$184, 4, 0), 0)</f>
        <v>0</v>
      </c>
      <c r="AA89" s="68">
        <f>P89*O89+Q89*T89+R89*T89+S89*T89+U89+V89+W89*Y89+X89*Y89+Z89</f>
        <v>7187</v>
      </c>
      <c r="AB89" s="299"/>
      <c r="AC89" s="300"/>
      <c r="AD89" s="300"/>
      <c r="AE89" s="69">
        <f>AC89*AD89</f>
        <v>0</v>
      </c>
      <c r="AF89" s="71">
        <f>C89*Работы!$D$180</f>
        <v>1399.06</v>
      </c>
      <c r="AG89" s="68">
        <f>AA89+AE89+AF89+AL89+AM89</f>
        <v>8586.06</v>
      </c>
      <c r="AH89" s="72"/>
      <c r="AI89" s="73"/>
      <c r="AJ89" s="245">
        <f>AG89-AA89*AI89</f>
        <v>8586.06</v>
      </c>
      <c r="AK89" s="301"/>
      <c r="AL89" s="302">
        <f>IF(OR(E89="да"), 4040, 0)</f>
        <v>0</v>
      </c>
      <c r="AM89" s="365">
        <f>IF(OR(D89="доп."), AA89*0.1, 0)</f>
        <v>0</v>
      </c>
      <c r="AN89" s="251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</row>
    <row r="90" spans="1:95" s="46" customFormat="1" ht="63.75" x14ac:dyDescent="0.25">
      <c r="A90" s="241">
        <f>ROW(A90)-10</f>
        <v>80</v>
      </c>
      <c r="B90" s="335" t="s">
        <v>1303</v>
      </c>
      <c r="C90" s="241">
        <f>VLOOKUP(B90, Расстояния!B:J, 9, 0)</f>
        <v>26</v>
      </c>
      <c r="D90" s="242" t="str">
        <f>VLOOKUP(B90, Расстояния!B:K, 10, 0)</f>
        <v>осн.</v>
      </c>
      <c r="E90" s="242" t="str">
        <f>VLOOKUP(B90, Расстояния!B:F, 5, 0)</f>
        <v>нет</v>
      </c>
      <c r="F90" s="290" t="s">
        <v>4231</v>
      </c>
      <c r="G90" s="305">
        <v>46106.638888888891</v>
      </c>
      <c r="H90" s="345">
        <v>46106.69027777778</v>
      </c>
      <c r="I90" s="345">
        <v>46106.69027777778</v>
      </c>
      <c r="J90" s="304" t="s">
        <v>4227</v>
      </c>
      <c r="K90" s="306"/>
      <c r="L90" s="250" t="s">
        <v>368</v>
      </c>
      <c r="M90" s="241" t="str">
        <f>VLOOKUP(L90, Работы!A:B, 2, 0)</f>
        <v>Стоимость отменённого вызова на Аварийно-восстановительные работы, заявка по которым получена в рабочее время</v>
      </c>
      <c r="N90" s="346" t="s">
        <v>3882</v>
      </c>
      <c r="O90" s="298"/>
      <c r="P90" s="248">
        <f>IF(OR(L90="3.3.1.", L90="3.3.2.", L90="3.3.3.", L90="3.1.1.", L90="3.1.2.", L90="3.4.1.", L90="3.4.2."), 0, VLOOKUP(L90, Работы!$A$3:$D$184, 4, 0))</f>
        <v>0</v>
      </c>
      <c r="Q90" s="243"/>
      <c r="R90" s="293"/>
      <c r="S90" s="293"/>
      <c r="T90" s="244">
        <f>IF(OR(L90="3.3.1.", L90="3.3.2.", L90="3.3.3."), VLOOKUP(L90, Работы!$A$3:$D$184, 4, 0), 0)</f>
        <v>0</v>
      </c>
      <c r="U90" s="246">
        <f>IF(OR(L90="3.1.1."), VLOOKUP(L90, Работы!$A$3:$D$184, 4, 0), 0)</f>
        <v>0</v>
      </c>
      <c r="V90" s="246">
        <f>IF(OR(L90="3.1.2."), VLOOKUP(L90, Работы!$A$3:$D$184, 4, 0), 0)</f>
        <v>0</v>
      </c>
      <c r="W90" s="294"/>
      <c r="X90" s="294"/>
      <c r="Y90" s="247">
        <f>IF(OR(L90="3.2.1.", L90="3.2.2."), VLOOKUP(L90, Работы!$A$3:$D$184, 4, 0), 0)</f>
        <v>0</v>
      </c>
      <c r="Z90" s="247">
        <f>IF(OR(L90="3.4.1.", L90="3.4.2."), VLOOKUP(L90, Работы!$A$3:$D$184, 4, 0), 0)</f>
        <v>922</v>
      </c>
      <c r="AA90" s="68">
        <f>P90*O90+Q90*T90+R90*T90+S90*T90+U90+V90+W90*Y90+X90*Y90+Z90</f>
        <v>922</v>
      </c>
      <c r="AB90" s="295"/>
      <c r="AC90" s="296"/>
      <c r="AD90" s="296"/>
      <c r="AE90" s="69">
        <f>AC90*AD90</f>
        <v>0</v>
      </c>
      <c r="AF90" s="71">
        <f>C90*Работы!$D$180</f>
        <v>1399.06</v>
      </c>
      <c r="AG90" s="68">
        <f>AA90+AE90+AF90+AL90+AM90</f>
        <v>2321.06</v>
      </c>
      <c r="AH90" s="72"/>
      <c r="AI90" s="73"/>
      <c r="AJ90" s="245">
        <f>AG90-AA90*AI90</f>
        <v>2321.06</v>
      </c>
      <c r="AK90" s="301"/>
      <c r="AL90" s="302">
        <f>IF(OR(E90="да"), 4040, 0)</f>
        <v>0</v>
      </c>
      <c r="AM90" s="365">
        <f>IF(OR(D90="доп."), AA90*0.1, 0)</f>
        <v>0</v>
      </c>
      <c r="AN90" s="251"/>
      <c r="AO90" s="34"/>
      <c r="AP90" s="34"/>
      <c r="AQ90" s="34"/>
      <c r="AR90" s="34"/>
      <c r="AS90" s="34"/>
      <c r="AT90" s="370"/>
      <c r="AU90" s="370"/>
      <c r="AV90" s="370"/>
      <c r="AW90" s="370"/>
      <c r="AX90" s="370"/>
      <c r="AY90" s="370"/>
      <c r="AZ90" s="370"/>
      <c r="BA90" s="370"/>
      <c r="BB90" s="370"/>
      <c r="BC90" s="370"/>
      <c r="BD90" s="370"/>
      <c r="BE90" s="370"/>
      <c r="BF90" s="370"/>
      <c r="BG90" s="370"/>
      <c r="BH90" s="370"/>
      <c r="BI90" s="370"/>
      <c r="BJ90" s="370"/>
      <c r="BK90" s="370"/>
      <c r="BL90" s="370"/>
      <c r="BM90" s="370"/>
      <c r="BN90" s="370"/>
      <c r="BO90" s="370"/>
      <c r="BP90" s="370"/>
      <c r="BQ90" s="370"/>
      <c r="BR90" s="370"/>
      <c r="BS90" s="370"/>
      <c r="BT90" s="370"/>
      <c r="BU90" s="370"/>
      <c r="BV90" s="370"/>
      <c r="BW90" s="370"/>
      <c r="BX90" s="370"/>
      <c r="BY90" s="370"/>
      <c r="BZ90" s="370"/>
      <c r="CA90" s="370"/>
      <c r="CB90" s="370"/>
      <c r="CC90" s="370"/>
      <c r="CD90" s="370"/>
      <c r="CE90" s="370"/>
      <c r="CF90" s="370"/>
      <c r="CG90" s="370"/>
      <c r="CH90" s="370"/>
      <c r="CI90" s="370"/>
      <c r="CJ90" s="370"/>
      <c r="CK90" s="370"/>
      <c r="CL90" s="370"/>
      <c r="CM90" s="370"/>
      <c r="CN90" s="370"/>
      <c r="CO90" s="370"/>
      <c r="CP90" s="370"/>
      <c r="CQ90" s="370"/>
    </row>
    <row r="91" spans="1:95" s="46" customFormat="1" ht="114.75" x14ac:dyDescent="0.25">
      <c r="A91" s="241">
        <f>ROW(A91)-10</f>
        <v>81</v>
      </c>
      <c r="B91" s="335" t="s">
        <v>1311</v>
      </c>
      <c r="C91" s="241">
        <v>0</v>
      </c>
      <c r="D91" s="242" t="str">
        <f>VLOOKUP(B91, Расстояния!B:K, 10, 0)</f>
        <v>осн.</v>
      </c>
      <c r="E91" s="242" t="str">
        <f>VLOOKUP(B91, Расстояния!B:F, 5, 0)</f>
        <v>нет</v>
      </c>
      <c r="F91" s="290" t="s">
        <v>4077</v>
      </c>
      <c r="G91" s="305">
        <v>46097.484027777777</v>
      </c>
      <c r="H91" s="345">
        <v>46096.683333333334</v>
      </c>
      <c r="I91" s="345">
        <v>46096.75277777778</v>
      </c>
      <c r="J91" s="304" t="s">
        <v>4046</v>
      </c>
      <c r="K91" s="306"/>
      <c r="L91" s="292" t="s">
        <v>198</v>
      </c>
      <c r="M91" s="241" t="str">
        <f>VLOOKUP(L91, Работы!A:B, 2, 0)</f>
        <v>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</v>
      </c>
      <c r="N91" s="347" t="s">
        <v>4239</v>
      </c>
      <c r="O91" s="298">
        <v>1</v>
      </c>
      <c r="P91" s="248">
        <f>IF(OR(L91="3.3.1.", L91="3.3.2.", L91="3.3.3.", L91="3.1.1.", L91="3.1.2.", L91="3.4.1.", L91="3.4.2."), 0, VLOOKUP(L91, Работы!$A$3:$D$184, 4, 0))</f>
        <v>735</v>
      </c>
      <c r="Q91" s="243"/>
      <c r="R91" s="293"/>
      <c r="S91" s="293"/>
      <c r="T91" s="244">
        <f>IF(OR(L91="3.3.1.", L91="3.3.2.", L91="3.3.3."), VLOOKUP(L91, Работы!$A$3:$D$184, 4, 0), 0)</f>
        <v>0</v>
      </c>
      <c r="U91" s="246">
        <f>IF(OR(L91="3.1.1."), VLOOKUP(L91, Работы!$A$3:$D$184, 4, 0), 0)</f>
        <v>0</v>
      </c>
      <c r="V91" s="246">
        <f>IF(OR(L91="3.1.2."), VLOOKUP(L91, Работы!$A$3:$D$184, 4, 0), 0)</f>
        <v>0</v>
      </c>
      <c r="W91" s="294"/>
      <c r="X91" s="294"/>
      <c r="Y91" s="247">
        <f>IF(OR(L91="3.2.1.", L91="3.2.2."), VLOOKUP(L91, Работы!$A$3:$D$184, 4, 0), 0)</f>
        <v>0</v>
      </c>
      <c r="Z91" s="247">
        <f>IF(OR(L91="3.4.1.", L91="3.4.2."), VLOOKUP(L91, Работы!$A$3:$D$184, 4, 0), 0)</f>
        <v>0</v>
      </c>
      <c r="AA91" s="68">
        <f>P91*O91+Q91*T91+R91*T91+S91*T91+U91+V91+W91*Y91+X91*Y91+Z91</f>
        <v>735</v>
      </c>
      <c r="AB91" s="355"/>
      <c r="AC91" s="356"/>
      <c r="AD91" s="356"/>
      <c r="AE91" s="69">
        <f>AC91*AD91</f>
        <v>0</v>
      </c>
      <c r="AF91" s="71">
        <f>C91*Работы!$D$180</f>
        <v>0</v>
      </c>
      <c r="AG91" s="68">
        <f>AA91+AE91+AF91+AL91+AM91</f>
        <v>735</v>
      </c>
      <c r="AH91" s="72"/>
      <c r="AI91" s="73"/>
      <c r="AJ91" s="245">
        <f>AG91-AA91*AI91</f>
        <v>735</v>
      </c>
      <c r="AK91" s="251"/>
      <c r="AL91" s="302">
        <f>IF(OR(E91="да"), 4040, 0)</f>
        <v>0</v>
      </c>
      <c r="AM91" s="365">
        <f>IF(OR(D91="доп."), AA91*0.1, 0)</f>
        <v>0</v>
      </c>
      <c r="AN91" s="1287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76"/>
      <c r="BW91" s="76"/>
      <c r="BX91" s="76"/>
      <c r="BY91" s="76"/>
      <c r="BZ91" s="76"/>
      <c r="CA91" s="76"/>
      <c r="CB91" s="76"/>
      <c r="CC91" s="76"/>
      <c r="CD91" s="76"/>
      <c r="CE91" s="76"/>
      <c r="CF91" s="76"/>
      <c r="CG91" s="76"/>
      <c r="CH91" s="76"/>
      <c r="CI91" s="76"/>
      <c r="CJ91" s="76"/>
      <c r="CK91" s="76"/>
      <c r="CL91" s="76"/>
      <c r="CM91" s="76"/>
      <c r="CN91" s="76"/>
      <c r="CO91" s="76"/>
      <c r="CP91" s="76"/>
      <c r="CQ91" s="76"/>
    </row>
    <row r="92" spans="1:95" s="46" customFormat="1" ht="114.75" x14ac:dyDescent="0.25">
      <c r="A92" s="241">
        <f>ROW(A92)-10</f>
        <v>82</v>
      </c>
      <c r="B92" s="335" t="s">
        <v>1311</v>
      </c>
      <c r="C92" s="241">
        <v>0</v>
      </c>
      <c r="D92" s="242" t="str">
        <f>VLOOKUP(B92, Расстояния!B:K, 10, 0)</f>
        <v>осн.</v>
      </c>
      <c r="E92" s="242" t="str">
        <f>VLOOKUP(B92, Расстояния!B:F, 5, 0)</f>
        <v>нет</v>
      </c>
      <c r="F92" s="290" t="s">
        <v>4077</v>
      </c>
      <c r="G92" s="305">
        <v>46097.484027777777</v>
      </c>
      <c r="H92" s="345">
        <v>46096.683333333334</v>
      </c>
      <c r="I92" s="345">
        <v>46096.75277777778</v>
      </c>
      <c r="J92" s="304" t="s">
        <v>4046</v>
      </c>
      <c r="K92" s="306"/>
      <c r="L92" s="292"/>
      <c r="M92" s="241"/>
      <c r="N92" s="347"/>
      <c r="O92" s="298"/>
      <c r="P92" s="248"/>
      <c r="Q92" s="243"/>
      <c r="R92" s="293"/>
      <c r="S92" s="293"/>
      <c r="T92" s="244">
        <f>IF(OR(L92="3.3.1.", L92="3.3.2.", L92="3.3.3."), VLOOKUP(L92, Работы!$A$3:$D$184, 4, 0), 0)</f>
        <v>0</v>
      </c>
      <c r="U92" s="246">
        <f>IF(OR(L92="3.1.1."), VLOOKUP(L92, Работы!$A$3:$D$184, 4, 0), 0)</f>
        <v>0</v>
      </c>
      <c r="V92" s="246">
        <f>IF(OR(L92="3.1.2."), VLOOKUP(L92, Работы!$A$3:$D$184, 4, 0), 0)</f>
        <v>0</v>
      </c>
      <c r="W92" s="294"/>
      <c r="X92" s="294"/>
      <c r="Y92" s="247">
        <f>IF(OR(L92="3.2.1.", L92="3.2.2."), VLOOKUP(L92, Работы!$A$3:$D$184, 4, 0), 0)</f>
        <v>0</v>
      </c>
      <c r="Z92" s="247">
        <f>IF(OR(L92="3.4.1.", L92="3.4.2."), VLOOKUP(L92, Работы!$A$3:$D$184, 4, 0), 0)</f>
        <v>0</v>
      </c>
      <c r="AA92" s="68">
        <f>P92*O92+Q92*T92+R92*T92+S92*T92+U92+V92+W92*Y92+X92*Y92+Z92</f>
        <v>0</v>
      </c>
      <c r="AB92" s="355" t="s">
        <v>4083</v>
      </c>
      <c r="AC92" s="356">
        <v>1</v>
      </c>
      <c r="AD92" s="356">
        <v>2100</v>
      </c>
      <c r="AE92" s="69">
        <f>AC92*AD92</f>
        <v>2100</v>
      </c>
      <c r="AF92" s="71">
        <f>C92*Работы!$D$180</f>
        <v>0</v>
      </c>
      <c r="AG92" s="68">
        <f>AA92+AE92+AF92+AL92+AM92</f>
        <v>2100</v>
      </c>
      <c r="AH92" s="72"/>
      <c r="AI92" s="73"/>
      <c r="AJ92" s="245">
        <f>AG92-AA92*AI92</f>
        <v>2100</v>
      </c>
      <c r="AK92" s="251"/>
      <c r="AL92" s="302">
        <f>IF(OR(E92="да"), 4040, 0)</f>
        <v>0</v>
      </c>
      <c r="AM92" s="365">
        <f>IF(OR(D92="доп."), AA92*0.1, 0)</f>
        <v>0</v>
      </c>
      <c r="AN92" s="1287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76"/>
      <c r="BW92" s="76"/>
      <c r="BX92" s="76"/>
      <c r="BY92" s="76"/>
      <c r="BZ92" s="76"/>
      <c r="CA92" s="76"/>
      <c r="CB92" s="76"/>
      <c r="CC92" s="76"/>
      <c r="CD92" s="76"/>
      <c r="CE92" s="76"/>
      <c r="CF92" s="76"/>
      <c r="CG92" s="76"/>
      <c r="CH92" s="76"/>
      <c r="CI92" s="76"/>
      <c r="CJ92" s="76"/>
      <c r="CK92" s="76"/>
      <c r="CL92" s="76"/>
      <c r="CM92" s="76"/>
      <c r="CN92" s="76"/>
      <c r="CO92" s="76"/>
      <c r="CP92" s="76"/>
      <c r="CQ92" s="76"/>
    </row>
    <row r="93" spans="1:95" s="46" customFormat="1" ht="63.75" x14ac:dyDescent="0.25">
      <c r="A93" s="241">
        <f>ROW(A93)-10</f>
        <v>83</v>
      </c>
      <c r="B93" s="335" t="s">
        <v>1311</v>
      </c>
      <c r="C93" s="241">
        <v>0</v>
      </c>
      <c r="D93" s="242" t="str">
        <f>VLOOKUP(B93, Расстояния!B:K, 10, 0)</f>
        <v>осн.</v>
      </c>
      <c r="E93" s="242" t="str">
        <f>VLOOKUP(B93, Расстояния!B:F, 5, 0)</f>
        <v>нет</v>
      </c>
      <c r="F93" s="290" t="s">
        <v>4077</v>
      </c>
      <c r="G93" s="305">
        <v>46097.484027777777</v>
      </c>
      <c r="H93" s="345">
        <v>46096.683333333334</v>
      </c>
      <c r="I93" s="345">
        <v>46096.75277777778</v>
      </c>
      <c r="J93" s="304" t="s">
        <v>4046</v>
      </c>
      <c r="K93" s="306"/>
      <c r="L93" s="292" t="s">
        <v>41</v>
      </c>
      <c r="M93" s="241" t="str">
        <f>VLOOKUP(L93, Работы!A:B, 2, 0)</f>
        <v>Замена антивандальной защиты (работы, с учетом стоимости расходных материалов, без учета стоимости металла)</v>
      </c>
      <c r="N93" s="330" t="s">
        <v>4240</v>
      </c>
      <c r="O93" s="298">
        <v>3.3000000000000002E-2</v>
      </c>
      <c r="P93" s="248">
        <f>IF(OR(L93="3.3.1.", L93="3.3.2.", L93="3.3.3.", L93="3.1.1.", L93="3.1.2.", L93="3.4.1.", L93="3.4.2."), 0, VLOOKUP(L93, Работы!$A$3:$D$184, 4, 0))</f>
        <v>76316</v>
      </c>
      <c r="Q93" s="243"/>
      <c r="R93" s="293"/>
      <c r="S93" s="293"/>
      <c r="T93" s="244">
        <f>IF(OR(L93="3.3.1.", L93="3.3.2.", L93="3.3.3."), VLOOKUP(L93, Работы!$A$3:$D$184, 4, 0), 0)</f>
        <v>0</v>
      </c>
      <c r="U93" s="246">
        <f>IF(OR(L93="3.1.1."), VLOOKUP(L93, Работы!$A$3:$D$184, 4, 0), 0)</f>
        <v>0</v>
      </c>
      <c r="V93" s="246">
        <f>IF(OR(L93="3.1.2."), VLOOKUP(L93, Работы!$A$3:$D$184, 4, 0), 0)</f>
        <v>0</v>
      </c>
      <c r="W93" s="294"/>
      <c r="X93" s="294"/>
      <c r="Y93" s="247">
        <f>IF(OR(L93="3.2.1.", L93="3.2.2."), VLOOKUP(L93, Работы!$A$3:$D$184, 4, 0), 0)</f>
        <v>0</v>
      </c>
      <c r="Z93" s="247">
        <f>IF(OR(L93="3.4.1.", L93="3.4.2."), VLOOKUP(L93, Работы!$A$3:$D$184, 4, 0), 0)</f>
        <v>0</v>
      </c>
      <c r="AA93" s="68">
        <f>P93*O93+Q93*T93+R93*T93+S93*T93+U93+V93+W93*Y93+X93*Y93+Z93</f>
        <v>2518.4280000000003</v>
      </c>
      <c r="AB93" s="355"/>
      <c r="AC93" s="356"/>
      <c r="AD93" s="356"/>
      <c r="AE93" s="69">
        <f>AC93*AD93</f>
        <v>0</v>
      </c>
      <c r="AF93" s="71">
        <f>C93*Работы!$D$180</f>
        <v>0</v>
      </c>
      <c r="AG93" s="68">
        <f>AA93+AE93+AF93+AL93+AM93</f>
        <v>2518.4280000000003</v>
      </c>
      <c r="AH93" s="72"/>
      <c r="AI93" s="73"/>
      <c r="AJ93" s="245">
        <f>AG93-AA93*AI93</f>
        <v>2518.4280000000003</v>
      </c>
      <c r="AK93" s="251"/>
      <c r="AL93" s="302">
        <f>IF(OR(E93="да"), 4040, 0)</f>
        <v>0</v>
      </c>
      <c r="AM93" s="365">
        <f>IF(OR(D93="доп."), AA93*0.1, 0)</f>
        <v>0</v>
      </c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</row>
    <row r="94" spans="1:95" s="46" customFormat="1" ht="51" x14ac:dyDescent="0.25">
      <c r="A94" s="241">
        <f>ROW(A94)-10</f>
        <v>84</v>
      </c>
      <c r="B94" s="335" t="s">
        <v>1311</v>
      </c>
      <c r="C94" s="241">
        <v>0</v>
      </c>
      <c r="D94" s="242" t="str">
        <f>VLOOKUP(B94, Расстояния!B:K, 10, 0)</f>
        <v>осн.</v>
      </c>
      <c r="E94" s="242" t="str">
        <f>VLOOKUP(B94, Расстояния!B:F, 5, 0)</f>
        <v>нет</v>
      </c>
      <c r="F94" s="290" t="s">
        <v>4077</v>
      </c>
      <c r="G94" s="305">
        <v>46097.484027777777</v>
      </c>
      <c r="H94" s="345">
        <v>46096.683333333334</v>
      </c>
      <c r="I94" s="345">
        <v>46096.75277777778</v>
      </c>
      <c r="J94" s="304" t="s">
        <v>4046</v>
      </c>
      <c r="K94" s="306"/>
      <c r="L94" s="292" t="s">
        <v>284</v>
      </c>
      <c r="M94" s="241" t="str">
        <f>VLOOKUP(L94, Работы!A:B, 2, 0)</f>
        <v>Антивандальная защита (без учета стоимости расходных материалов, с учетом стоимости металла)</v>
      </c>
      <c r="N94" s="330" t="s">
        <v>4241</v>
      </c>
      <c r="O94" s="298">
        <v>3.3000000000000002E-2</v>
      </c>
      <c r="P94" s="248">
        <f>IF(OR(L94="3.3.1.", L94="3.3.2.", L94="3.3.3.", L94="3.1.1.", L94="3.1.2.", L94="3.4.1.", L94="3.4.2."), 0, VLOOKUP(L94, Работы!$A$3:$D$184, 4, 0))</f>
        <v>64605</v>
      </c>
      <c r="Q94" s="243"/>
      <c r="R94" s="293"/>
      <c r="S94" s="293"/>
      <c r="T94" s="244">
        <f>IF(OR(L94="3.3.1.", L94="3.3.2.", L94="3.3.3."), VLOOKUP(L94, Работы!$A$3:$D$184, 4, 0), 0)</f>
        <v>0</v>
      </c>
      <c r="U94" s="246">
        <f>IF(OR(L94="3.1.1."), VLOOKUP(L94, Работы!$A$3:$D$184, 4, 0), 0)</f>
        <v>0</v>
      </c>
      <c r="V94" s="246">
        <f>IF(OR(L94="3.1.2."), VLOOKUP(L94, Работы!$A$3:$D$184, 4, 0), 0)</f>
        <v>0</v>
      </c>
      <c r="W94" s="294"/>
      <c r="X94" s="294"/>
      <c r="Y94" s="247">
        <f>IF(OR(L94="3.2.1.", L94="3.2.2."), VLOOKUP(L94, Работы!$A$3:$D$184, 4, 0), 0)</f>
        <v>0</v>
      </c>
      <c r="Z94" s="247">
        <f>IF(OR(L94="3.4.1.", L94="3.4.2."), VLOOKUP(L94, Работы!$A$3:$D$184, 4, 0), 0)</f>
        <v>0</v>
      </c>
      <c r="AA94" s="68">
        <f>P94*O94+Q94*T94+R94*T94+S94*T94+U94+V94+W94*Y94+X94*Y94+Z94</f>
        <v>2131.9650000000001</v>
      </c>
      <c r="AB94" s="355"/>
      <c r="AC94" s="356"/>
      <c r="AD94" s="356"/>
      <c r="AE94" s="69">
        <f>AC94*AD94</f>
        <v>0</v>
      </c>
      <c r="AF94" s="71">
        <f>C94*Работы!$D$180</f>
        <v>0</v>
      </c>
      <c r="AG94" s="68">
        <f>AA94+AE94+AF94+AL94+AM94</f>
        <v>2131.9650000000001</v>
      </c>
      <c r="AH94" s="72"/>
      <c r="AI94" s="73"/>
      <c r="AJ94" s="245">
        <f>AG94-AA94*AI94</f>
        <v>2131.9650000000001</v>
      </c>
      <c r="AK94" s="251"/>
      <c r="AL94" s="302">
        <f>IF(OR(E94="да"), 4040, 0)</f>
        <v>0</v>
      </c>
      <c r="AM94" s="365">
        <f>IF(OR(D94="доп."), AA94*0.1, 0)</f>
        <v>0</v>
      </c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</row>
    <row r="95" spans="1:95" s="46" customFormat="1" ht="38.25" x14ac:dyDescent="0.25">
      <c r="A95" s="241">
        <f>ROW(A95)-10</f>
        <v>85</v>
      </c>
      <c r="B95" s="335" t="s">
        <v>1319</v>
      </c>
      <c r="C95" s="241">
        <f>VLOOKUP(B95, Расстояния!B:J, 9, 0)</f>
        <v>43</v>
      </c>
      <c r="D95" s="242" t="str">
        <f>VLOOKUP(B95, Расстояния!B:K, 10, 0)</f>
        <v>осн.</v>
      </c>
      <c r="E95" s="242" t="str">
        <f>VLOOKUP(B95, Расстояния!B:F, 5, 0)</f>
        <v>нет</v>
      </c>
      <c r="F95" s="290"/>
      <c r="G95" s="305"/>
      <c r="H95" s="345">
        <v>46099.552083333336</v>
      </c>
      <c r="I95" s="345">
        <v>46099.621527777781</v>
      </c>
      <c r="J95" s="304" t="s">
        <v>4046</v>
      </c>
      <c r="K95" s="306"/>
      <c r="L95" s="250" t="s">
        <v>296</v>
      </c>
      <c r="M95" s="241" t="str">
        <f>VLOOKUP(L95, Работы!A:B, 2, 0)</f>
        <v>Техническое обслуживание БС</v>
      </c>
      <c r="N95" s="330" t="s">
        <v>298</v>
      </c>
      <c r="O95" s="298">
        <v>1</v>
      </c>
      <c r="P95" s="248">
        <f>IF(OR(L95="3.3.1.", L95="3.3.2.", L95="3.3.3.", L95="3.1.1.", L95="3.1.2.", L95="3.4.1.", L95="3.4.2."), 0, VLOOKUP(L95, Работы!$A$3:$D$184, 4, 0))</f>
        <v>4143</v>
      </c>
      <c r="Q95" s="243"/>
      <c r="R95" s="293"/>
      <c r="S95" s="293"/>
      <c r="T95" s="244">
        <f>IF(OR(L95="3.3.1.", L95="3.3.2.", L95="3.3.3."), VLOOKUP(L95, Работы!$A$3:$D$184, 4, 0), 0)</f>
        <v>0</v>
      </c>
      <c r="U95" s="246">
        <f>IF(OR(L95="3.1.1."), VLOOKUP(L95, Работы!$A$3:$D$184, 4, 0), 0)</f>
        <v>0</v>
      </c>
      <c r="V95" s="246">
        <f>IF(OR(L95="3.1.2."), VLOOKUP(L95, Работы!$A$3:$D$184, 4, 0), 0)</f>
        <v>0</v>
      </c>
      <c r="W95" s="294"/>
      <c r="X95" s="294"/>
      <c r="Y95" s="247">
        <f>IF(OR(L95="3.2.1.", L95="3.2.2."), VLOOKUP(L95, Работы!$A$3:$D$184, 4, 0), 0)</f>
        <v>0</v>
      </c>
      <c r="Z95" s="247">
        <f>IF(OR(L95="3.4.1.", L95="3.4.2."), VLOOKUP(L95, Работы!$A$3:$D$184, 4, 0), 0)</f>
        <v>0</v>
      </c>
      <c r="AA95" s="68">
        <f>P95*O95+Q95*T95+R95*T95+S95*T95+U95+V95+W95*Y95+X95*Y95+Z95</f>
        <v>4143</v>
      </c>
      <c r="AB95" s="295"/>
      <c r="AC95" s="296"/>
      <c r="AD95" s="296"/>
      <c r="AE95" s="69">
        <f>AC95*AD95</f>
        <v>0</v>
      </c>
      <c r="AF95" s="71">
        <f>C95*Работы!$D$180</f>
        <v>2313.83</v>
      </c>
      <c r="AG95" s="68">
        <f>AA95+AE95+AF95+AL95+AM95</f>
        <v>6456.83</v>
      </c>
      <c r="AH95" s="72"/>
      <c r="AI95" s="73"/>
      <c r="AJ95" s="245">
        <f>AG95-AA95*AI95</f>
        <v>6456.83</v>
      </c>
      <c r="AK95" s="251"/>
      <c r="AL95" s="302">
        <f>IF(OR(E95="да"), 4040, 0)</f>
        <v>0</v>
      </c>
      <c r="AM95" s="365">
        <f>IF(OR(D95="доп."), AA95*0.1, 0)</f>
        <v>0</v>
      </c>
      <c r="AN95" s="251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O95" s="34"/>
      <c r="CP95" s="34"/>
      <c r="CQ95" s="34"/>
    </row>
    <row r="96" spans="1:95" s="46" customFormat="1" ht="63.75" x14ac:dyDescent="0.25">
      <c r="A96" s="241">
        <f>ROW(A96)-10</f>
        <v>86</v>
      </c>
      <c r="B96" s="335" t="s">
        <v>1327</v>
      </c>
      <c r="C96" s="241">
        <f>VLOOKUP(B96, Расстояния!B:J, 9, 0)</f>
        <v>27</v>
      </c>
      <c r="D96" s="242" t="str">
        <f>VLOOKUP(B96, Расстояния!B:K, 10, 0)</f>
        <v>осн.</v>
      </c>
      <c r="E96" s="242" t="str">
        <f>VLOOKUP(B96, Расстояния!B:F, 5, 0)</f>
        <v>нет</v>
      </c>
      <c r="F96" s="290" t="s">
        <v>4090</v>
      </c>
      <c r="G96" s="305">
        <v>46105.339583333334</v>
      </c>
      <c r="H96" s="345">
        <v>46105.397222222222</v>
      </c>
      <c r="I96" s="345">
        <v>46105.397222222222</v>
      </c>
      <c r="J96" s="304" t="s">
        <v>4046</v>
      </c>
      <c r="K96" s="306"/>
      <c r="L96" s="250" t="s">
        <v>368</v>
      </c>
      <c r="M96" s="241" t="str">
        <f>VLOOKUP(L96, Работы!A:B, 2, 0)</f>
        <v>Стоимость отменённого вызова на Аварийно-восстановительные работы, заявка по которым получена в рабочее время</v>
      </c>
      <c r="N96" s="346" t="s">
        <v>3882</v>
      </c>
      <c r="O96" s="298"/>
      <c r="P96" s="248">
        <f>IF(OR(L96="3.3.1.", L96="3.3.2.", L96="3.3.3.", L96="3.1.1.", L96="3.1.2.", L96="3.4.1.", L96="3.4.2."), 0, VLOOKUP(L96, Работы!$A$3:$D$184, 4, 0))</f>
        <v>0</v>
      </c>
      <c r="Q96" s="243"/>
      <c r="R96" s="293"/>
      <c r="S96" s="293"/>
      <c r="T96" s="244">
        <f>IF(OR(L96="3.3.1.", L96="3.3.2.", L96="3.3.3."), VLOOKUP(L96, Работы!$A$3:$D$184, 4, 0), 0)</f>
        <v>0</v>
      </c>
      <c r="U96" s="246">
        <f>IF(OR(L96="3.1.1."), VLOOKUP(L96, Работы!$A$3:$D$184, 4, 0), 0)</f>
        <v>0</v>
      </c>
      <c r="V96" s="246">
        <f>IF(OR(L96="3.1.2."), VLOOKUP(L96, Работы!$A$3:$D$184, 4, 0), 0)</f>
        <v>0</v>
      </c>
      <c r="W96" s="294"/>
      <c r="X96" s="294"/>
      <c r="Y96" s="247">
        <f>IF(OR(L96="3.2.1.", L96="3.2.2."), VLOOKUP(L96, Работы!$A$3:$D$184, 4, 0), 0)</f>
        <v>0</v>
      </c>
      <c r="Z96" s="247">
        <f>IF(OR(L96="3.4.1.", L96="3.4.2."), VLOOKUP(L96, Работы!$A$3:$D$184, 4, 0), 0)</f>
        <v>922</v>
      </c>
      <c r="AA96" s="68">
        <f>P96*O96+Q96*T96+R96*T96+S96*T96+U96+V96+W96*Y96+X96*Y96+Z96</f>
        <v>922</v>
      </c>
      <c r="AB96" s="295"/>
      <c r="AC96" s="296"/>
      <c r="AD96" s="296"/>
      <c r="AE96" s="69">
        <f>AC96*AD96</f>
        <v>0</v>
      </c>
      <c r="AF96" s="71">
        <f>C96*Работы!$D$180</f>
        <v>1452.8700000000001</v>
      </c>
      <c r="AG96" s="68">
        <f>AA96+AE96+AF96+AL96+AM96</f>
        <v>2374.87</v>
      </c>
      <c r="AH96" s="72"/>
      <c r="AI96" s="73"/>
      <c r="AJ96" s="245">
        <f>AG96-AA96*AI96</f>
        <v>2374.87</v>
      </c>
      <c r="AK96" s="301"/>
      <c r="AL96" s="302">
        <f>IF(OR(E96="да"), 4040, 0)</f>
        <v>0</v>
      </c>
      <c r="AM96" s="365">
        <f>IF(OR(D96="доп."), AA96*0.1, 0)</f>
        <v>0</v>
      </c>
      <c r="AN96" s="251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43"/>
      <c r="BW96" s="43"/>
      <c r="BX96" s="43"/>
      <c r="BY96" s="43"/>
      <c r="BZ96" s="43"/>
      <c r="CA96" s="43"/>
      <c r="CB96" s="43"/>
      <c r="CC96" s="43"/>
      <c r="CD96" s="43"/>
      <c r="CE96" s="43"/>
      <c r="CF96" s="43"/>
      <c r="CG96" s="43"/>
      <c r="CH96" s="43"/>
      <c r="CI96" s="43"/>
      <c r="CJ96" s="43"/>
      <c r="CK96" s="43"/>
      <c r="CL96" s="43"/>
      <c r="CM96" s="43"/>
      <c r="CN96" s="43"/>
      <c r="CO96" s="43"/>
      <c r="CP96" s="43"/>
      <c r="CQ96" s="43"/>
    </row>
    <row r="97" spans="1:95" s="46" customFormat="1" ht="38.25" x14ac:dyDescent="0.25">
      <c r="A97" s="241">
        <f>ROW(A97)-10</f>
        <v>87</v>
      </c>
      <c r="B97" s="335" t="s">
        <v>1327</v>
      </c>
      <c r="C97" s="241">
        <f>VLOOKUP(B97, Расстояния!B:J, 9, 0)</f>
        <v>27</v>
      </c>
      <c r="D97" s="242" t="str">
        <f>VLOOKUP(B97, Расстояния!B:K, 10, 0)</f>
        <v>осн.</v>
      </c>
      <c r="E97" s="242" t="str">
        <f>VLOOKUP(B97, Расстояния!B:F, 5, 0)</f>
        <v>нет</v>
      </c>
      <c r="F97" s="290" t="s">
        <v>4093</v>
      </c>
      <c r="G97" s="305">
        <v>46105.4375</v>
      </c>
      <c r="H97" s="345">
        <v>46105.535416666666</v>
      </c>
      <c r="I97" s="345">
        <v>46105.626388888886</v>
      </c>
      <c r="J97" s="304" t="s">
        <v>4046</v>
      </c>
      <c r="K97" s="306"/>
      <c r="L97" s="292" t="s">
        <v>280</v>
      </c>
      <c r="M97" s="241" t="str">
        <f>VLOOKUP(L97, Работы!A:B, 2, 0)</f>
        <v>Настройка, прописка ИБП, включая подключение и тестирование внешних аварий</v>
      </c>
      <c r="N97" s="346" t="s">
        <v>4238</v>
      </c>
      <c r="O97" s="298">
        <v>1</v>
      </c>
      <c r="P97" s="248">
        <f>IF(OR(L97="3.3.1.", L97="3.3.2.", L97="3.3.3.", L97="3.1.1.", L97="3.1.2.", L97="3.4.1.", L97="3.4.2."), 0, VLOOKUP(L97, Работы!$A$3:$D$184, 4, 0))</f>
        <v>735</v>
      </c>
      <c r="Q97" s="243"/>
      <c r="R97" s="293"/>
      <c r="S97" s="293"/>
      <c r="T97" s="244">
        <f>IF(OR(L97="3.3.1.", L97="3.3.2.", L97="3.3.3."), VLOOKUP(L97, Работы!$A$3:$D$184, 4, 0), 0)</f>
        <v>0</v>
      </c>
      <c r="U97" s="246">
        <f>IF(OR(L97="3.1.1."), VLOOKUP(L97, Работы!$A$3:$D$184, 4, 0), 0)</f>
        <v>0</v>
      </c>
      <c r="V97" s="246">
        <f>IF(OR(L97="3.1.2."), VLOOKUP(L97, Работы!$A$3:$D$184, 4, 0), 0)</f>
        <v>0</v>
      </c>
      <c r="W97" s="294"/>
      <c r="X97" s="294"/>
      <c r="Y97" s="247">
        <f>IF(OR(L97="3.2.1.", L97="3.2.2."), VLOOKUP(L97, Работы!$A$3:$D$184, 4, 0), 0)</f>
        <v>0</v>
      </c>
      <c r="Z97" s="247">
        <f>IF(OR(L97="3.4.1.", L97="3.4.2."), VLOOKUP(L97, Работы!$A$3:$D$184, 4, 0), 0)</f>
        <v>0</v>
      </c>
      <c r="AA97" s="68">
        <f>P97*O97+Q97*T97+R97*T97+S97*T97+U97+V97+W97*Y97+X97*Y97+Z97</f>
        <v>735</v>
      </c>
      <c r="AB97" s="295"/>
      <c r="AC97" s="296"/>
      <c r="AD97" s="296"/>
      <c r="AE97" s="69">
        <f>AC97*AD97</f>
        <v>0</v>
      </c>
      <c r="AF97" s="71">
        <f>C97*Работы!$D$180</f>
        <v>1452.8700000000001</v>
      </c>
      <c r="AG97" s="68">
        <f>AA97+AE97+AF97+AL97+AM97</f>
        <v>2187.87</v>
      </c>
      <c r="AH97" s="72"/>
      <c r="AI97" s="73"/>
      <c r="AJ97" s="245">
        <f>AG97-AA97*AI97</f>
        <v>2187.87</v>
      </c>
      <c r="AK97" s="301"/>
      <c r="AL97" s="302">
        <f>IF(OR(E97="да"), 4040, 0)</f>
        <v>0</v>
      </c>
      <c r="AM97" s="365">
        <f>IF(OR(D97="доп."), AA97*0.1, 0)</f>
        <v>0</v>
      </c>
      <c r="AN97" s="251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</row>
    <row r="98" spans="1:95" s="46" customFormat="1" ht="89.25" x14ac:dyDescent="0.25">
      <c r="A98" s="241">
        <f>ROW(A98)-10</f>
        <v>88</v>
      </c>
      <c r="B98" s="335" t="s">
        <v>1327</v>
      </c>
      <c r="C98" s="241">
        <v>0</v>
      </c>
      <c r="D98" s="242" t="str">
        <f>VLOOKUP(B98, Расстояния!B:K, 10, 0)</f>
        <v>осн.</v>
      </c>
      <c r="E98" s="242" t="str">
        <f>VLOOKUP(B98, Расстояния!B:F, 5, 0)</f>
        <v>нет</v>
      </c>
      <c r="F98" s="290" t="s">
        <v>4093</v>
      </c>
      <c r="G98" s="305">
        <v>46105.4375</v>
      </c>
      <c r="H98" s="345">
        <v>46105.535416666666</v>
      </c>
      <c r="I98" s="345">
        <v>46105.626388888886</v>
      </c>
      <c r="J98" s="331" t="s">
        <v>4046</v>
      </c>
      <c r="K98" s="306"/>
      <c r="L98" s="292" t="s">
        <v>239</v>
      </c>
      <c r="M98" s="241" t="str">
        <f>VLOOKUP(L98, Работы!A:B, 2, 0)</f>
        <v>Осмотр и тестирование аккумуляторов источников бесперебойного питания (ИБП) по упрощенной методике (разряд на штатную нагрузку ИБП до 2 (двух) часов с измерением их параметров)</v>
      </c>
      <c r="N98" s="330" t="s">
        <v>4305</v>
      </c>
      <c r="O98" s="298">
        <v>1</v>
      </c>
      <c r="P98" s="248">
        <f>IF(OR(L98="3.3.1.", L98="3.3.2.", L98="3.3.3.", L98="3.1.1.", L98="3.1.2.", L98="3.4.1.", L98="3.4.2."), 0, VLOOKUP(L98, Работы!$A$3:$D$184, 4, 0))</f>
        <v>1778</v>
      </c>
      <c r="Q98" s="243"/>
      <c r="R98" s="293"/>
      <c r="S98" s="293"/>
      <c r="T98" s="244">
        <f>IF(OR(L98="3.3.1.", L98="3.3.2.", L98="3.3.3."), VLOOKUP(L98, Работы!$A$3:$D$184, 4, 0), 0)</f>
        <v>0</v>
      </c>
      <c r="U98" s="246">
        <f>IF(OR(L98="3.1.1."), VLOOKUP(L98, Работы!$A$3:$D$184, 4, 0), 0)</f>
        <v>0</v>
      </c>
      <c r="V98" s="246">
        <f>IF(OR(L98="3.1.2."), VLOOKUP(L98, Работы!$A$3:$D$184, 4, 0), 0)</f>
        <v>0</v>
      </c>
      <c r="W98" s="294"/>
      <c r="X98" s="294"/>
      <c r="Y98" s="247">
        <f>IF(OR(L98="3.2.1.", L98="3.2.2."), VLOOKUP(L98, Работы!$A$3:$D$184, 4, 0), 0)</f>
        <v>0</v>
      </c>
      <c r="Z98" s="247">
        <f>IF(OR(L98="3.4.1.", L98="3.4.2."), VLOOKUP(L98, Работы!$A$3:$D$184, 4, 0), 0)</f>
        <v>0</v>
      </c>
      <c r="AA98" s="68">
        <f>P98*O98+Q98*T98+R98*T98+S98*T98+U98+V98+W98*Y98+X98*Y98+Z98</f>
        <v>1778</v>
      </c>
      <c r="AB98" s="295"/>
      <c r="AC98" s="296"/>
      <c r="AD98" s="296"/>
      <c r="AE98" s="69">
        <f>AC98*AD98</f>
        <v>0</v>
      </c>
      <c r="AF98" s="71">
        <f>C98*Работы!$D$180</f>
        <v>0</v>
      </c>
      <c r="AG98" s="68">
        <f>AA98+AE98+AF98+AL98+AM98</f>
        <v>1778</v>
      </c>
      <c r="AH98" s="72"/>
      <c r="AI98" s="73"/>
      <c r="AJ98" s="245">
        <f>AG98-AA98*AI98</f>
        <v>1778</v>
      </c>
      <c r="AK98" s="301"/>
      <c r="AL98" s="302">
        <f>IF(OR(E98="да"), 4040, 0)</f>
        <v>0</v>
      </c>
      <c r="AM98" s="365">
        <f>IF(OR(D98="доп."), AA98*0.1, 0)</f>
        <v>0</v>
      </c>
      <c r="AN98" s="1287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</row>
    <row r="99" spans="1:95" s="46" customFormat="1" ht="38.25" x14ac:dyDescent="0.25">
      <c r="A99" s="241">
        <f>ROW(A99)-10</f>
        <v>89</v>
      </c>
      <c r="B99" s="335" t="s">
        <v>1327</v>
      </c>
      <c r="C99" s="241">
        <v>0</v>
      </c>
      <c r="D99" s="242" t="str">
        <f>VLOOKUP(B99, Расстояния!B:K, 10, 0)</f>
        <v>осн.</v>
      </c>
      <c r="E99" s="242" t="str">
        <f>VLOOKUP(B99, Расстояния!B:F, 5, 0)</f>
        <v>нет</v>
      </c>
      <c r="F99" s="290"/>
      <c r="G99" s="305"/>
      <c r="H99" s="345">
        <v>46105.535416666666</v>
      </c>
      <c r="I99" s="345">
        <v>46105.626388888886</v>
      </c>
      <c r="J99" s="304" t="s">
        <v>4046</v>
      </c>
      <c r="K99" s="306"/>
      <c r="L99" s="250" t="s">
        <v>296</v>
      </c>
      <c r="M99" s="241" t="str">
        <f>VLOOKUP(L99, Работы!A:B, 2, 0)</f>
        <v>Техническое обслуживание БС</v>
      </c>
      <c r="N99" s="330" t="s">
        <v>298</v>
      </c>
      <c r="O99" s="298">
        <v>1</v>
      </c>
      <c r="P99" s="248">
        <f>IF(OR(L99="3.3.1.", L99="3.3.2.", L99="3.3.3.", L99="3.1.1.", L99="3.1.2.", L99="3.4.1.", L99="3.4.2."), 0, VLOOKUP(L99, Работы!$A$3:$D$184, 4, 0))</f>
        <v>4143</v>
      </c>
      <c r="Q99" s="243"/>
      <c r="R99" s="293"/>
      <c r="S99" s="293"/>
      <c r="T99" s="244">
        <f>IF(OR(L99="3.3.1.", L99="3.3.2.", L99="3.3.3."), VLOOKUP(L99, Работы!$A$3:$D$184, 4, 0), 0)</f>
        <v>0</v>
      </c>
      <c r="U99" s="246">
        <f>IF(OR(L99="3.1.1."), VLOOKUP(L99, Работы!$A$3:$D$184, 4, 0), 0)</f>
        <v>0</v>
      </c>
      <c r="V99" s="246">
        <f>IF(OR(L99="3.1.2."), VLOOKUP(L99, Работы!$A$3:$D$184, 4, 0), 0)</f>
        <v>0</v>
      </c>
      <c r="W99" s="294"/>
      <c r="X99" s="294"/>
      <c r="Y99" s="247">
        <f>IF(OR(L99="3.2.1.", L99="3.2.2."), VLOOKUP(L99, Работы!$A$3:$D$184, 4, 0), 0)</f>
        <v>0</v>
      </c>
      <c r="Z99" s="247">
        <f>IF(OR(L99="3.4.1.", L99="3.4.2."), VLOOKUP(L99, Работы!$A$3:$D$184, 4, 0), 0)</f>
        <v>0</v>
      </c>
      <c r="AA99" s="68">
        <f>P99*O99+Q99*T99+R99*T99+S99*T99+U99+V99+W99*Y99+X99*Y99+Z99</f>
        <v>4143</v>
      </c>
      <c r="AB99" s="295"/>
      <c r="AC99" s="296"/>
      <c r="AD99" s="296"/>
      <c r="AE99" s="69">
        <f>AC99*AD99</f>
        <v>0</v>
      </c>
      <c r="AF99" s="71">
        <f>C99*Работы!$D$180</f>
        <v>0</v>
      </c>
      <c r="AG99" s="68">
        <f>AA99+AE99+AF99+AL99+AM99</f>
        <v>4143</v>
      </c>
      <c r="AH99" s="72"/>
      <c r="AI99" s="73"/>
      <c r="AJ99" s="245">
        <f>AG99-AA99*AI99</f>
        <v>4143</v>
      </c>
      <c r="AK99" s="301"/>
      <c r="AL99" s="302">
        <f>IF(OR(E99="да"), 4040, 0)</f>
        <v>0</v>
      </c>
      <c r="AM99" s="365">
        <f>IF(OR(D99="доп."), AA99*0.1, 0)</f>
        <v>0</v>
      </c>
      <c r="AN99" s="1287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</row>
    <row r="100" spans="1:95" s="46" customFormat="1" ht="51" x14ac:dyDescent="0.25">
      <c r="A100" s="241">
        <f>ROW(A100)-10</f>
        <v>90</v>
      </c>
      <c r="B100" s="335" t="s">
        <v>1347</v>
      </c>
      <c r="C100" s="241">
        <v>115</v>
      </c>
      <c r="D100" s="242" t="str">
        <f>VLOOKUP(B100, Расстояния!B:K, 10, 0)</f>
        <v>осн.</v>
      </c>
      <c r="E100" s="242" t="str">
        <f>VLOOKUP(B100, Расстояния!B:F, 5, 0)</f>
        <v>нет</v>
      </c>
      <c r="F100" s="290" t="s">
        <v>4279</v>
      </c>
      <c r="G100" s="305">
        <v>46099.68472222222</v>
      </c>
      <c r="H100" s="345">
        <v>46100.5</v>
      </c>
      <c r="I100" s="345">
        <v>46100.604166666664</v>
      </c>
      <c r="J100" s="303" t="s">
        <v>4282</v>
      </c>
      <c r="K100" s="306"/>
      <c r="L100" s="292" t="s">
        <v>321</v>
      </c>
      <c r="M100" s="241" t="str">
        <f>VLOOKUP(L100, Работы!A:B, 2, 0)</f>
        <v>Стоимость аварийно-восстановительных работ, заявка по которым получена в течение рабочего времени</v>
      </c>
      <c r="N100" s="330" t="s">
        <v>4285</v>
      </c>
      <c r="O100" s="298"/>
      <c r="P100" s="248">
        <f>IF(OR(L100="3.3.1.", L100="3.3.2.", L100="3.3.3.", L100="3.1.1.", L100="3.1.2.", L100="3.4.1.", L100="3.4.2."), 0, VLOOKUP(L100, Работы!$A$3:$D$184, 4, 0))</f>
        <v>0</v>
      </c>
      <c r="Q100" s="243"/>
      <c r="R100" s="293"/>
      <c r="S100" s="293"/>
      <c r="T100" s="244">
        <f>IF(OR(L100="3.3.1.", L100="3.3.2.", L100="3.3.3."), VLOOKUP(L100, Работы!$A$3:$D$184, 4, 0), 0)</f>
        <v>0</v>
      </c>
      <c r="U100" s="246">
        <f>IF(OR(L100="3.1.1."), VLOOKUP(L100, Работы!$A$3:$D$184, 4, 0), 0)</f>
        <v>3956</v>
      </c>
      <c r="V100" s="246">
        <f>IF(OR(L100="3.1.2."), VLOOKUP(L100, Работы!$A$3:$D$184, 4, 0), 0)</f>
        <v>0</v>
      </c>
      <c r="W100" s="294"/>
      <c r="X100" s="294"/>
      <c r="Y100" s="247">
        <f>IF(OR(L100="3.2.1.", L100="3.2.2."), VLOOKUP(L100, Работы!$A$3:$D$184, 4, 0), 0)</f>
        <v>0</v>
      </c>
      <c r="Z100" s="247">
        <f>IF(OR(L100="3.4.1.", L100="3.4.2."), VLOOKUP(L100, Работы!$A$3:$D$184, 4, 0), 0)</f>
        <v>0</v>
      </c>
      <c r="AA100" s="68">
        <f>P100*O100+Q100*T100+R100*T100+S100*T100+U100+V100+W100*Y100+X100*Y100+Z100</f>
        <v>3956</v>
      </c>
      <c r="AB100" s="295"/>
      <c r="AC100" s="296"/>
      <c r="AD100" s="296"/>
      <c r="AE100" s="69">
        <f>AC100*AD100</f>
        <v>0</v>
      </c>
      <c r="AF100" s="71">
        <f>C100*Работы!$D$180</f>
        <v>6188.1500000000005</v>
      </c>
      <c r="AG100" s="68">
        <f>AA100+AE100+AF100+AL100+AM100</f>
        <v>10144.150000000001</v>
      </c>
      <c r="AH100" s="72"/>
      <c r="AI100" s="73"/>
      <c r="AJ100" s="245">
        <f>AG100-AA100*AI100</f>
        <v>10144.150000000001</v>
      </c>
      <c r="AK100" s="251"/>
      <c r="AL100" s="302">
        <f>IF(OR(E100="да"), 4040, 0)</f>
        <v>0</v>
      </c>
      <c r="AM100" s="365">
        <f>IF(OR(D100="доп."), AA100*0.1, 0)</f>
        <v>0</v>
      </c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43"/>
      <c r="BW100" s="43"/>
      <c r="BX100" s="43"/>
      <c r="BY100" s="43"/>
      <c r="BZ100" s="43"/>
      <c r="CA100" s="43"/>
      <c r="CB100" s="43"/>
      <c r="CC100" s="43"/>
      <c r="CD100" s="43"/>
      <c r="CE100" s="43"/>
      <c r="CF100" s="43"/>
      <c r="CG100" s="43"/>
      <c r="CH100" s="43"/>
      <c r="CI100" s="43"/>
      <c r="CJ100" s="43"/>
      <c r="CK100" s="43"/>
      <c r="CL100" s="43"/>
      <c r="CM100" s="43"/>
      <c r="CN100" s="43"/>
      <c r="CO100" s="43"/>
      <c r="CP100" s="43"/>
      <c r="CQ100" s="43"/>
    </row>
    <row r="101" spans="1:95" s="46" customFormat="1" ht="51" x14ac:dyDescent="0.25">
      <c r="A101" s="241">
        <f>ROW(A101)-10</f>
        <v>91</v>
      </c>
      <c r="B101" s="335" t="s">
        <v>1355</v>
      </c>
      <c r="C101" s="241">
        <f>VLOOKUP(B101, Расстояния!B:J, 9, 0)</f>
        <v>81</v>
      </c>
      <c r="D101" s="242" t="str">
        <f>VLOOKUP(B101, Расстояния!B:K, 10, 0)</f>
        <v>осн.</v>
      </c>
      <c r="E101" s="242" t="str">
        <f>VLOOKUP(B101, Расстояния!B:F, 5, 0)</f>
        <v>нет</v>
      </c>
      <c r="F101" s="290" t="s">
        <v>4072</v>
      </c>
      <c r="G101" s="305">
        <v>46097.706250000003</v>
      </c>
      <c r="H101" s="345">
        <v>46097.806250000001</v>
      </c>
      <c r="I101" s="345">
        <v>46097.840277777781</v>
      </c>
      <c r="J101" s="304" t="s">
        <v>4046</v>
      </c>
      <c r="K101" s="306"/>
      <c r="L101" s="250" t="s">
        <v>321</v>
      </c>
      <c r="M101" s="241" t="str">
        <f>VLOOKUP(L101, Работы!A:B, 2, 0)</f>
        <v>Стоимость аварийно-восстановительных работ, заявка по которым получена в течение рабочего времени</v>
      </c>
      <c r="N101" s="330" t="s">
        <v>4236</v>
      </c>
      <c r="O101" s="298"/>
      <c r="P101" s="248">
        <f>IF(OR(L101="3.3.1.", L101="3.3.2.", L101="3.3.3.", L101="3.1.1.", L101="3.1.2.", L101="3.4.1.", L101="3.4.2."), 0, VLOOKUP(L101, Работы!$A$3:$D$184, 4, 0))</f>
        <v>0</v>
      </c>
      <c r="Q101" s="243"/>
      <c r="R101" s="293"/>
      <c r="S101" s="293"/>
      <c r="T101" s="244">
        <f>IF(OR(L101="3.3.1.", L101="3.3.2.", L101="3.3.3."), VLOOKUP(L101, Работы!$A$3:$D$184, 4, 0), 0)</f>
        <v>0</v>
      </c>
      <c r="U101" s="246">
        <f>IF(OR(L101="3.1.1."), VLOOKUP(L101, Работы!$A$3:$D$184, 4, 0), 0)</f>
        <v>3956</v>
      </c>
      <c r="V101" s="246">
        <f>IF(OR(L101="3.1.2."), VLOOKUP(L101, Работы!$A$3:$D$184, 4, 0), 0)</f>
        <v>0</v>
      </c>
      <c r="W101" s="294"/>
      <c r="X101" s="294"/>
      <c r="Y101" s="247">
        <f>IF(OR(L101="3.2.1.", L101="3.2.2."), VLOOKUP(L101, Работы!$A$3:$D$184, 4, 0), 0)</f>
        <v>0</v>
      </c>
      <c r="Z101" s="247">
        <f>IF(OR(L101="3.4.1.", L101="3.4.2."), VLOOKUP(L101, Работы!$A$3:$D$184, 4, 0), 0)</f>
        <v>0</v>
      </c>
      <c r="AA101" s="68">
        <f>P101*O101+Q101*T101+R101*T101+S101*T101+U101+V101+W101*Y101+X101*Y101+Z101</f>
        <v>3956</v>
      </c>
      <c r="AB101" s="295"/>
      <c r="AC101" s="296"/>
      <c r="AD101" s="296"/>
      <c r="AE101" s="69">
        <f>AC101*AD101</f>
        <v>0</v>
      </c>
      <c r="AF101" s="71">
        <f>C101*Работы!$D$180</f>
        <v>4358.6100000000006</v>
      </c>
      <c r="AG101" s="68">
        <f>AA101+AE101+AF101+AL101+AM101</f>
        <v>8314.61</v>
      </c>
      <c r="AH101" s="72"/>
      <c r="AI101" s="73"/>
      <c r="AJ101" s="245">
        <f>AG101-AA101*AI101</f>
        <v>8314.61</v>
      </c>
      <c r="AK101" s="251"/>
      <c r="AL101" s="302">
        <f>IF(OR(E101="да"), 4040, 0)</f>
        <v>0</v>
      </c>
      <c r="AM101" s="365">
        <f>IF(OR(D101="доп."), AA101*0.1, 0)</f>
        <v>0</v>
      </c>
      <c r="AN101" s="370"/>
      <c r="AO101" s="34"/>
      <c r="AP101" s="34"/>
      <c r="AQ101" s="34"/>
      <c r="AR101" s="34"/>
      <c r="AS101" s="34"/>
      <c r="AT101" s="370"/>
      <c r="AU101" s="370"/>
      <c r="AV101" s="370"/>
      <c r="AW101" s="370"/>
      <c r="AX101" s="370"/>
      <c r="AY101" s="370"/>
      <c r="AZ101" s="370"/>
      <c r="BA101" s="370"/>
      <c r="BB101" s="370"/>
      <c r="BC101" s="370"/>
      <c r="BD101" s="370"/>
      <c r="BE101" s="370"/>
      <c r="BF101" s="370"/>
      <c r="BG101" s="370"/>
      <c r="BH101" s="370"/>
      <c r="BI101" s="370"/>
      <c r="BJ101" s="370"/>
      <c r="BK101" s="370"/>
      <c r="BL101" s="370"/>
      <c r="BM101" s="370"/>
      <c r="BN101" s="370"/>
      <c r="BO101" s="370"/>
      <c r="BP101" s="370"/>
      <c r="BQ101" s="370"/>
      <c r="BR101" s="370"/>
      <c r="BS101" s="370"/>
      <c r="BT101" s="370"/>
      <c r="BU101" s="370"/>
      <c r="BV101" s="370"/>
      <c r="BW101" s="370"/>
      <c r="BX101" s="370"/>
      <c r="BY101" s="370"/>
      <c r="BZ101" s="370"/>
      <c r="CA101" s="370"/>
      <c r="CB101" s="370"/>
      <c r="CC101" s="370"/>
      <c r="CD101" s="370"/>
      <c r="CE101" s="370"/>
      <c r="CF101" s="370"/>
      <c r="CG101" s="370"/>
      <c r="CH101" s="370"/>
      <c r="CI101" s="370"/>
      <c r="CJ101" s="370"/>
      <c r="CK101" s="370"/>
      <c r="CL101" s="370"/>
      <c r="CM101" s="370"/>
      <c r="CN101" s="370"/>
      <c r="CO101" s="370"/>
      <c r="CP101" s="370"/>
      <c r="CQ101" s="370"/>
    </row>
    <row r="102" spans="1:95" s="46" customFormat="1" ht="114.75" x14ac:dyDescent="0.25">
      <c r="A102" s="241">
        <f>ROW(A102)-10</f>
        <v>92</v>
      </c>
      <c r="B102" s="335" t="s">
        <v>1359</v>
      </c>
      <c r="C102" s="241">
        <v>0</v>
      </c>
      <c r="D102" s="242" t="str">
        <f>VLOOKUP(B102, Расстояния!B:K, 10, 0)</f>
        <v>осн.</v>
      </c>
      <c r="E102" s="242" t="str">
        <f>VLOOKUP(B102, Расстояния!B:F, 5, 0)</f>
        <v>нет</v>
      </c>
      <c r="F102" s="290" t="s">
        <v>4076</v>
      </c>
      <c r="G102" s="305">
        <v>46097.482638888891</v>
      </c>
      <c r="H102" s="345">
        <v>46094.477083333331</v>
      </c>
      <c r="I102" s="345">
        <v>46094.554166666669</v>
      </c>
      <c r="J102" s="331" t="s">
        <v>4046</v>
      </c>
      <c r="K102" s="306"/>
      <c r="L102" s="292" t="s">
        <v>198</v>
      </c>
      <c r="M102" s="241" t="str">
        <f>VLOOKUP(L102, Работы!A:B, 2, 0)</f>
        <v>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</v>
      </c>
      <c r="N102" s="347" t="s">
        <v>4239</v>
      </c>
      <c r="O102" s="298">
        <v>1</v>
      </c>
      <c r="P102" s="248">
        <f>IF(OR(L102="3.3.1.", L102="3.3.2.", L102="3.3.3.", L102="3.1.1.", L102="3.1.2.", L102="3.4.1.", L102="3.4.2."), 0, VLOOKUP(L102, Работы!$A$3:$D$184, 4, 0))</f>
        <v>735</v>
      </c>
      <c r="Q102" s="243"/>
      <c r="R102" s="293"/>
      <c r="S102" s="293"/>
      <c r="T102" s="244">
        <f>IF(OR(L102="3.3.1.", L102="3.3.2.", L102="3.3.3."), VLOOKUP(L102, Работы!$A$3:$D$184, 4, 0), 0)</f>
        <v>0</v>
      </c>
      <c r="U102" s="246">
        <f>IF(OR(L102="3.1.1."), VLOOKUP(L102, Работы!$A$3:$D$184, 4, 0), 0)</f>
        <v>0</v>
      </c>
      <c r="V102" s="246">
        <f>IF(OR(L102="3.1.2."), VLOOKUP(L102, Работы!$A$3:$D$184, 4, 0), 0)</f>
        <v>0</v>
      </c>
      <c r="W102" s="294"/>
      <c r="X102" s="294"/>
      <c r="Y102" s="247">
        <f>IF(OR(L102="3.2.1.", L102="3.2.2."), VLOOKUP(L102, Работы!$A$3:$D$184, 4, 0), 0)</f>
        <v>0</v>
      </c>
      <c r="Z102" s="247">
        <f>IF(OR(L102="3.4.1.", L102="3.4.2."), VLOOKUP(L102, Работы!$A$3:$D$184, 4, 0), 0)</f>
        <v>0</v>
      </c>
      <c r="AA102" s="68">
        <f>P102*O102+Q102*T102+R102*T102+S102*T102+U102+V102+W102*Y102+X102*Y102+Z102</f>
        <v>735</v>
      </c>
      <c r="AB102" s="295"/>
      <c r="AC102" s="296"/>
      <c r="AD102" s="296"/>
      <c r="AE102" s="69">
        <f>AC102*AD102</f>
        <v>0</v>
      </c>
      <c r="AF102" s="71">
        <f>C102*Работы!$D$180</f>
        <v>0</v>
      </c>
      <c r="AG102" s="68">
        <f>AA102+AE102+AF102+AL102+AM102</f>
        <v>735</v>
      </c>
      <c r="AH102" s="72"/>
      <c r="AI102" s="73"/>
      <c r="AJ102" s="245">
        <f>AG102-AA102*AI102</f>
        <v>735</v>
      </c>
      <c r="AK102" s="251"/>
      <c r="AL102" s="302">
        <f>IF(OR(E102="да"), 4040, 0)</f>
        <v>0</v>
      </c>
      <c r="AM102" s="365">
        <f>IF(OR(D102="доп."), AA102*0.1, 0)</f>
        <v>0</v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  <c r="CO102" s="34"/>
      <c r="CP102" s="34"/>
      <c r="CQ102" s="34"/>
    </row>
    <row r="103" spans="1:95" s="46" customFormat="1" ht="102" x14ac:dyDescent="0.25">
      <c r="A103" s="241">
        <f>ROW(A103)-10</f>
        <v>93</v>
      </c>
      <c r="B103" s="363" t="s">
        <v>2112</v>
      </c>
      <c r="C103" s="241">
        <f>VLOOKUP(B103, Расстояния!B:J, 9, 0)</f>
        <v>73</v>
      </c>
      <c r="D103" s="242" t="str">
        <f>VLOOKUP(B103, Расстояния!B:K, 10, 0)</f>
        <v>осн.</v>
      </c>
      <c r="E103" s="242" t="str">
        <f>VLOOKUP(B103, Расстояния!B:F, 5, 0)</f>
        <v>нет</v>
      </c>
      <c r="F103" s="337" t="s">
        <v>4128</v>
      </c>
      <c r="G103" s="338">
        <v>46102.037499999999</v>
      </c>
      <c r="H103" s="338">
        <v>46102.087500000001</v>
      </c>
      <c r="I103" s="338">
        <v>46102.129861111112</v>
      </c>
      <c r="J103" s="304" t="s">
        <v>4129</v>
      </c>
      <c r="K103" s="306"/>
      <c r="L103" s="333" t="s">
        <v>367</v>
      </c>
      <c r="M103" s="241" t="str">
        <f>VLOOKUP(L103,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03" s="330" t="s">
        <v>3843</v>
      </c>
      <c r="O103" s="298"/>
      <c r="P103" s="248">
        <f>IF(OR(L103="3.3.1.", L103="3.3.2.", L103="3.3.3.", L103="3.1.1.", L103="3.1.2.", L103="3.4.1.", L103="3.4.2."), 0, VLOOKUP(L103, Работы!$A$3:$D$184, 4, 0))</f>
        <v>0</v>
      </c>
      <c r="Q103" s="243">
        <f>ROUNDUP((I103-H103)*24, 0)</f>
        <v>2</v>
      </c>
      <c r="R103" s="293"/>
      <c r="S103" s="293"/>
      <c r="T103" s="244">
        <f>IF(OR(L103="3.3.1.", L103="3.3.2.", L103="3.3.3."), VLOOKUP(L103, Работы!$A$3:$D$184, 4, 0), 0)</f>
        <v>903</v>
      </c>
      <c r="U103" s="246">
        <f>IF(OR(L103="3.1.1."), VLOOKUP(L103, Работы!$A$3:$D$184, 4, 0), 0)</f>
        <v>0</v>
      </c>
      <c r="V103" s="246">
        <f>IF(OR(L103="3.1.2."), VLOOKUP(L103, Работы!$A$3:$D$184, 4, 0), 0)</f>
        <v>0</v>
      </c>
      <c r="W103" s="294"/>
      <c r="X103" s="294"/>
      <c r="Y103" s="247">
        <f>IF(OR(L103="3.2.1.", L103="3.2.2."), VLOOKUP(L103, Работы!$A$3:$D$184, 4, 0), 0)</f>
        <v>0</v>
      </c>
      <c r="Z103" s="247">
        <f>IF(OR(L103="3.4.1.", L103="3.4.2."), VLOOKUP(L103, Работы!$A$3:$D$184, 4, 0), 0)</f>
        <v>0</v>
      </c>
      <c r="AA103" s="68">
        <f>P103*O103+Q103*T103+R103*T103+S103*T103+U103+V103+W103*Y103+X103*Y103+Z103</f>
        <v>1806</v>
      </c>
      <c r="AB103" s="295"/>
      <c r="AC103" s="296"/>
      <c r="AD103" s="296"/>
      <c r="AE103" s="69">
        <f>AC103*AD103</f>
        <v>0</v>
      </c>
      <c r="AF103" s="71">
        <f>C103*Работы!$D$180</f>
        <v>3928.13</v>
      </c>
      <c r="AG103" s="68">
        <f>AA103+AE103+AF103+AL103+AM103</f>
        <v>5734.13</v>
      </c>
      <c r="AH103" s="72"/>
      <c r="AI103" s="73"/>
      <c r="AJ103" s="245">
        <f>AG103-AA103*AI103</f>
        <v>5734.13</v>
      </c>
      <c r="AK103" s="251"/>
      <c r="AL103" s="302">
        <f>IF(OR(E103="да"), 4040, 0)</f>
        <v>0</v>
      </c>
      <c r="AM103" s="365">
        <f>IF(OR(D103="доп."), AA103*0.1, 0)</f>
        <v>0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</row>
    <row r="104" spans="1:95" s="46" customFormat="1" ht="102" x14ac:dyDescent="0.25">
      <c r="A104" s="241">
        <f>ROW(A104)-10</f>
        <v>94</v>
      </c>
      <c r="B104" s="363" t="s">
        <v>2112</v>
      </c>
      <c r="C104" s="241">
        <f>VLOOKUP(B104,[1]расстояния!$C$2:$I$1674,7,0)</f>
        <v>31</v>
      </c>
      <c r="D104" s="242" t="str">
        <f>VLOOKUP(B104, Расстояния!B:K, 10, 0)</f>
        <v>осн.</v>
      </c>
      <c r="E104" s="242" t="str">
        <f>VLOOKUP(B104, Расстояния!B:F, 5, 0)</f>
        <v>нет</v>
      </c>
      <c r="F104" s="337" t="s">
        <v>4130</v>
      </c>
      <c r="G104" s="338">
        <v>46106.501388888886</v>
      </c>
      <c r="H104" s="338">
        <v>46106.555555555555</v>
      </c>
      <c r="I104" s="338">
        <v>46106.77847222222</v>
      </c>
      <c r="J104" s="304" t="s">
        <v>4129</v>
      </c>
      <c r="K104" s="306"/>
      <c r="L104" s="339" t="s">
        <v>367</v>
      </c>
      <c r="M104" s="241" t="str">
        <f>VLOOKUP(L104,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04" s="330" t="s">
        <v>3843</v>
      </c>
      <c r="O104" s="298"/>
      <c r="P104" s="248">
        <f>IF(OR(L104="3.3.1.", L104="3.3.2.", L104="3.3.3.", L104="3.1.1.", L104="3.1.2.", L104="3.4.1.", L104="3.4.2."), 0, VLOOKUP(L104, Работы!$A$3:$D$184, 4, 0))</f>
        <v>0</v>
      </c>
      <c r="Q104" s="243">
        <f>ROUNDUP((I104-H104)*24, 0)</f>
        <v>6</v>
      </c>
      <c r="R104" s="293"/>
      <c r="S104" s="293"/>
      <c r="T104" s="244">
        <f>IF(OR(L104="3.3.1.", L104="3.3.2.", L104="3.3.3."), VLOOKUP(L104, Работы!$A$3:$D$184, 4, 0), 0)</f>
        <v>903</v>
      </c>
      <c r="U104" s="246">
        <f>IF(OR(L104="3.1.1."), VLOOKUP(L104, Работы!$A$3:$D$184, 4, 0), 0)</f>
        <v>0</v>
      </c>
      <c r="V104" s="246">
        <f>IF(OR(L104="3.1.2."), VLOOKUP(L104, Работы!$A$3:$D$184, 4, 0), 0)</f>
        <v>0</v>
      </c>
      <c r="W104" s="294"/>
      <c r="X104" s="294"/>
      <c r="Y104" s="247">
        <f>IF(OR(L104="3.2.1.", L104="3.2.2."), VLOOKUP(L104, Работы!$A$3:$D$184, 4, 0), 0)</f>
        <v>0</v>
      </c>
      <c r="Z104" s="247">
        <f>IF(OR(L104="3.4.1.", L104="3.4.2."), VLOOKUP(L104, Работы!$A$3:$D$184, 4, 0), 0)</f>
        <v>0</v>
      </c>
      <c r="AA104" s="68">
        <f>P104*O104+Q104*T104+R104*T104+S104*T104+U104+V104+W104*Y104+X104*Y104+Z104</f>
        <v>5418</v>
      </c>
      <c r="AB104" s="295"/>
      <c r="AC104" s="296"/>
      <c r="AD104" s="296"/>
      <c r="AE104" s="69">
        <f>AC104*AD104</f>
        <v>0</v>
      </c>
      <c r="AF104" s="71">
        <f>C104*Работы!$D$180</f>
        <v>1668.1100000000001</v>
      </c>
      <c r="AG104" s="68">
        <f>AA104+AE104+AF104+AL104+AM104</f>
        <v>7086.1100000000006</v>
      </c>
      <c r="AH104" s="72"/>
      <c r="AI104" s="73"/>
      <c r="AJ104" s="245">
        <f>AG104-AA104*AI104</f>
        <v>7086.1100000000006</v>
      </c>
      <c r="AK104" s="251"/>
      <c r="AL104" s="302">
        <f>IF(OR(E104="да"), 4040, 0)</f>
        <v>0</v>
      </c>
      <c r="AM104" s="365">
        <f>IF(OR(D104="доп."), AA104*0.1, 0)</f>
        <v>0</v>
      </c>
      <c r="AN104" s="251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43"/>
      <c r="BW104" s="43"/>
      <c r="BX104" s="43"/>
      <c r="BY104" s="43"/>
      <c r="BZ104" s="43"/>
      <c r="CA104" s="43"/>
      <c r="CB104" s="43"/>
      <c r="CC104" s="43"/>
      <c r="CD104" s="43"/>
      <c r="CE104" s="43"/>
      <c r="CF104" s="43"/>
      <c r="CG104" s="43"/>
      <c r="CH104" s="43"/>
      <c r="CI104" s="43"/>
      <c r="CJ104" s="43"/>
      <c r="CK104" s="43"/>
      <c r="CL104" s="43"/>
      <c r="CM104" s="43"/>
      <c r="CN104" s="43"/>
      <c r="CO104" s="43"/>
      <c r="CP104" s="43"/>
      <c r="CQ104" s="43"/>
    </row>
    <row r="105" spans="1:95" s="46" customFormat="1" ht="102" x14ac:dyDescent="0.25">
      <c r="A105" s="241">
        <f>ROW(A105)-10</f>
        <v>95</v>
      </c>
      <c r="B105" s="335" t="s">
        <v>2026</v>
      </c>
      <c r="C105" s="241">
        <f>VLOOKUP(B105, Расстояния!B:J, 9, 0)</f>
        <v>70</v>
      </c>
      <c r="D105" s="242" t="str">
        <f>VLOOKUP(B105, Расстояния!B:K, 10, 0)</f>
        <v>осн.</v>
      </c>
      <c r="E105" s="242" t="str">
        <f>VLOOKUP(B105, Расстояния!B:F, 5, 0)</f>
        <v>нет</v>
      </c>
      <c r="F105" s="290" t="s">
        <v>4142</v>
      </c>
      <c r="G105" s="305">
        <v>46100.436805555553</v>
      </c>
      <c r="H105" s="345">
        <v>46100.466666666667</v>
      </c>
      <c r="I105" s="345">
        <v>46100.477083333331</v>
      </c>
      <c r="J105" s="304" t="s">
        <v>3883</v>
      </c>
      <c r="K105" s="306"/>
      <c r="L105" s="250" t="s">
        <v>367</v>
      </c>
      <c r="M105" s="241" t="str">
        <f>VLOOKUP(L105,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05" s="330" t="s">
        <v>3843</v>
      </c>
      <c r="O105" s="298"/>
      <c r="P105" s="248">
        <f>IF(OR(L105="3.3.1.", L105="3.3.2.", L105="3.3.3.", L105="3.1.1.", L105="3.1.2.", L105="3.4.1.", L105="3.4.2."), 0, VLOOKUP(L105, Работы!$A$3:$D$184, 4, 0))</f>
        <v>0</v>
      </c>
      <c r="Q105" s="243">
        <f>ROUNDUP((I105-H105)*24, 0)</f>
        <v>1</v>
      </c>
      <c r="R105" s="293"/>
      <c r="S105" s="293"/>
      <c r="T105" s="244">
        <f>IF(OR(L105="3.3.1.", L105="3.3.2.", L105="3.3.3."), VLOOKUP(L105, Работы!$A$3:$D$184, 4, 0), 0)</f>
        <v>903</v>
      </c>
      <c r="U105" s="246">
        <f>IF(OR(L105="3.1.1."), VLOOKUP(L105, Работы!$A$3:$D$184, 4, 0), 0)</f>
        <v>0</v>
      </c>
      <c r="V105" s="246">
        <f>IF(OR(L105="3.1.2."), VLOOKUP(L105, Работы!$A$3:$D$184, 4, 0), 0)</f>
        <v>0</v>
      </c>
      <c r="W105" s="294"/>
      <c r="X105" s="294"/>
      <c r="Y105" s="247">
        <f>IF(OR(L105="3.2.1.", L105="3.2.2."), VLOOKUP(L105, Работы!$A$3:$D$184, 4, 0), 0)</f>
        <v>0</v>
      </c>
      <c r="Z105" s="247">
        <f>IF(OR(L105="3.4.1.", L105="3.4.2."), VLOOKUP(L105, Работы!$A$3:$D$184, 4, 0), 0)</f>
        <v>0</v>
      </c>
      <c r="AA105" s="68">
        <f>P105*O105+Q105*T105+R105*T105+S105*T105+U105+V105+W105*Y105+X105*Y105+Z105</f>
        <v>903</v>
      </c>
      <c r="AB105" s="295"/>
      <c r="AC105" s="296"/>
      <c r="AD105" s="296"/>
      <c r="AE105" s="69">
        <f>AC105*AD105</f>
        <v>0</v>
      </c>
      <c r="AF105" s="71">
        <f>C105*Работы!$D$180</f>
        <v>3766.7000000000003</v>
      </c>
      <c r="AG105" s="68">
        <f>AA105+AE105+AF105+AL105+AM105</f>
        <v>4669.7000000000007</v>
      </c>
      <c r="AH105" s="72"/>
      <c r="AI105" s="73"/>
      <c r="AJ105" s="245">
        <f>AG105-AA105*AI105</f>
        <v>4669.7000000000007</v>
      </c>
      <c r="AK105" s="251"/>
      <c r="AL105" s="302">
        <f>IF(OR(E105="да"), 4040, 0)</f>
        <v>0</v>
      </c>
      <c r="AM105" s="365">
        <f>IF(OR(D105="доп."), AA105*0.1, 0)</f>
        <v>0</v>
      </c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43"/>
      <c r="BW105" s="43"/>
      <c r="BX105" s="43"/>
      <c r="BY105" s="43"/>
      <c r="BZ105" s="43"/>
      <c r="CA105" s="43"/>
      <c r="CB105" s="43"/>
      <c r="CC105" s="43"/>
      <c r="CD105" s="43"/>
      <c r="CE105" s="43"/>
      <c r="CF105" s="43"/>
      <c r="CG105" s="43"/>
      <c r="CH105" s="43"/>
      <c r="CI105" s="43"/>
      <c r="CJ105" s="43"/>
      <c r="CK105" s="43"/>
      <c r="CL105" s="43"/>
      <c r="CM105" s="43"/>
      <c r="CN105" s="43"/>
      <c r="CO105" s="43"/>
      <c r="CP105" s="43"/>
      <c r="CQ105" s="43"/>
    </row>
    <row r="106" spans="1:95" s="46" customFormat="1" ht="63.75" x14ac:dyDescent="0.25">
      <c r="A106" s="241">
        <f>ROW(A106)-10</f>
        <v>96</v>
      </c>
      <c r="B106" s="335" t="s">
        <v>2112</v>
      </c>
      <c r="C106" s="241">
        <f>VLOOKUP(B106, Расстояния!B:J, 9, 0)</f>
        <v>73</v>
      </c>
      <c r="D106" s="242" t="str">
        <f>VLOOKUP(B106, Расстояния!B:K, 10, 0)</f>
        <v>осн.</v>
      </c>
      <c r="E106" s="242" t="str">
        <f>VLOOKUP(B106, Расстояния!B:F, 5, 0)</f>
        <v>нет</v>
      </c>
      <c r="F106" s="290" t="s">
        <v>4217</v>
      </c>
      <c r="G106" s="305">
        <v>46106.09883101852</v>
      </c>
      <c r="H106" s="345">
        <v>46106.160416666666</v>
      </c>
      <c r="I106" s="345">
        <v>46106.160416666666</v>
      </c>
      <c r="J106" s="303" t="s">
        <v>4207</v>
      </c>
      <c r="K106" s="306"/>
      <c r="L106" s="292" t="s">
        <v>371</v>
      </c>
      <c r="M106" s="241" t="str">
        <f>VLOOKUP(L106, Работы!A:B, 2, 0)</f>
        <v>Стоимость отменённого вызова на Аварийно-восстановительные работы, заявка по которым получена во внерабочее время</v>
      </c>
      <c r="N106" s="346" t="s">
        <v>3882</v>
      </c>
      <c r="O106" s="298"/>
      <c r="P106" s="248">
        <f>IF(OR(L106="3.3.1.", L106="3.3.2.", L106="3.3.3.", L106="3.1.1.", L106="3.1.2.", L106="3.4.1.", L106="3.4.2."), 0, VLOOKUP(L106, Работы!$A$3:$D$184, 4, 0))</f>
        <v>0</v>
      </c>
      <c r="Q106" s="243"/>
      <c r="R106" s="293"/>
      <c r="S106" s="293"/>
      <c r="T106" s="244">
        <f>IF(OR(L106="3.3.1.", L106="3.3.2.", L106="3.3.3."), VLOOKUP(L106, Работы!$A$3:$D$184, 4, 0), 0)</f>
        <v>0</v>
      </c>
      <c r="U106" s="246">
        <f>IF(OR(L106="3.1.1."), VLOOKUP(L106, Работы!$A$3:$D$184, 4, 0), 0)</f>
        <v>0</v>
      </c>
      <c r="V106" s="246">
        <f>IF(OR(L106="3.1.2."), VLOOKUP(L106, Работы!$A$3:$D$184, 4, 0), 0)</f>
        <v>0</v>
      </c>
      <c r="W106" s="294"/>
      <c r="X106" s="294"/>
      <c r="Y106" s="247">
        <f>IF(OR(L106="3.2.1.", L106="3.2.2."), VLOOKUP(L106, Работы!$A$3:$D$184, 4, 0), 0)</f>
        <v>0</v>
      </c>
      <c r="Z106" s="247">
        <f>IF(OR(L106="3.4.1.", L106="3.4.2."), VLOOKUP(L106, Работы!$A$3:$D$184, 4, 0), 0)</f>
        <v>1731</v>
      </c>
      <c r="AA106" s="68">
        <f>P106*O106+Q106*T106+R106*T106+S106*T106+U106+V106+W106*Y106+X106*Y106+Z106</f>
        <v>1731</v>
      </c>
      <c r="AB106" s="295"/>
      <c r="AC106" s="296"/>
      <c r="AD106" s="296"/>
      <c r="AE106" s="69">
        <f>AC106*AD106</f>
        <v>0</v>
      </c>
      <c r="AF106" s="71">
        <f>C106*Работы!$D$180</f>
        <v>3928.13</v>
      </c>
      <c r="AG106" s="68">
        <f>AA106+AE106+AF106+AL106+AM106</f>
        <v>5659.13</v>
      </c>
      <c r="AH106" s="72"/>
      <c r="AI106" s="73"/>
      <c r="AJ106" s="245">
        <f>AG106-AA106*AI106</f>
        <v>5659.13</v>
      </c>
      <c r="AK106" s="301"/>
      <c r="AL106" s="302">
        <f>IF(OR(E106="да"), 4040, 0)</f>
        <v>0</v>
      </c>
      <c r="AM106" s="365">
        <f>IF(OR(D106="доп."), AA106*0.1, 0)</f>
        <v>0</v>
      </c>
      <c r="AN106" s="251"/>
      <c r="AO106" s="34"/>
      <c r="AP106" s="34"/>
      <c r="AQ106" s="34"/>
      <c r="AR106" s="34"/>
      <c r="AS106" s="34"/>
      <c r="AT106" s="370"/>
      <c r="AU106" s="370"/>
      <c r="AV106" s="370"/>
      <c r="AW106" s="370"/>
      <c r="AX106" s="370"/>
      <c r="AY106" s="370"/>
      <c r="AZ106" s="370"/>
      <c r="BA106" s="370"/>
      <c r="BB106" s="370"/>
      <c r="BC106" s="370"/>
      <c r="BD106" s="370"/>
      <c r="BE106" s="370"/>
      <c r="BF106" s="370"/>
      <c r="BG106" s="370"/>
      <c r="BH106" s="370"/>
      <c r="BI106" s="370"/>
      <c r="BJ106" s="370"/>
      <c r="BK106" s="370"/>
      <c r="BL106" s="370"/>
      <c r="BM106" s="370"/>
      <c r="BN106" s="370"/>
      <c r="BO106" s="370"/>
      <c r="BP106" s="370"/>
      <c r="BQ106" s="370"/>
      <c r="BR106" s="370"/>
      <c r="BS106" s="370"/>
      <c r="BT106" s="370"/>
      <c r="BU106" s="370"/>
      <c r="BV106" s="370"/>
      <c r="BW106" s="370"/>
      <c r="BX106" s="370"/>
      <c r="BY106" s="370"/>
      <c r="BZ106" s="370"/>
      <c r="CA106" s="370"/>
      <c r="CB106" s="370"/>
      <c r="CC106" s="370"/>
      <c r="CD106" s="370"/>
      <c r="CE106" s="370"/>
      <c r="CF106" s="370"/>
      <c r="CG106" s="370"/>
      <c r="CH106" s="370"/>
      <c r="CI106" s="370"/>
      <c r="CJ106" s="370"/>
      <c r="CK106" s="370"/>
      <c r="CL106" s="370"/>
      <c r="CM106" s="370"/>
      <c r="CN106" s="370"/>
      <c r="CO106" s="370"/>
      <c r="CP106" s="370"/>
      <c r="CQ106" s="370"/>
    </row>
    <row r="107" spans="1:95" s="46" customFormat="1" ht="63.75" x14ac:dyDescent="0.25">
      <c r="A107" s="241">
        <f>ROW(A107)-10</f>
        <v>97</v>
      </c>
      <c r="B107" s="335" t="s">
        <v>1774</v>
      </c>
      <c r="C107" s="241">
        <v>50</v>
      </c>
      <c r="D107" s="242" t="str">
        <f>VLOOKUP(B107, Расстояния!B:K, 10, 0)</f>
        <v>осн.</v>
      </c>
      <c r="E107" s="242" t="str">
        <f>VLOOKUP(B107, Расстояния!B:F, 5, 0)</f>
        <v>нет</v>
      </c>
      <c r="F107" s="290" t="s">
        <v>4132</v>
      </c>
      <c r="G107" s="326">
        <v>46098.693749999999</v>
      </c>
      <c r="H107" s="326">
        <v>46098.725694444445</v>
      </c>
      <c r="I107" s="326">
        <v>46098.725694444445</v>
      </c>
      <c r="J107" s="331" t="s">
        <v>4131</v>
      </c>
      <c r="K107" s="306"/>
      <c r="L107" s="249" t="s">
        <v>368</v>
      </c>
      <c r="M107" s="241" t="str">
        <f>VLOOKUP(L107, Работы!A:B, 2, 0)</f>
        <v>Стоимость отменённого вызова на Аварийно-восстановительные работы, заявка по которым получена в рабочее время</v>
      </c>
      <c r="N107" s="346" t="s">
        <v>3882</v>
      </c>
      <c r="O107" s="298"/>
      <c r="P107" s="248">
        <f>IF(OR(L107="3.3.1.", L107="3.3.2.", L107="3.3.3.", L107="3.1.1.", L107="3.1.2.", L107="3.4.1.", L107="3.4.2."), 0, VLOOKUP(L107, Работы!$A$3:$D$184, 4, 0))</f>
        <v>0</v>
      </c>
      <c r="Q107" s="243"/>
      <c r="R107" s="293"/>
      <c r="S107" s="293"/>
      <c r="T107" s="244">
        <f>IF(OR(L107="3.3.1.", L107="3.3.2.", L107="3.3.3."), VLOOKUP(L107, Работы!$A$3:$D$184, 4, 0), 0)</f>
        <v>0</v>
      </c>
      <c r="U107" s="246">
        <f>IF(OR(L107="3.1.1."), VLOOKUP(L107, Работы!$A$3:$D$184, 4, 0), 0)</f>
        <v>0</v>
      </c>
      <c r="V107" s="246">
        <f>IF(OR(L107="3.1.2."), VLOOKUP(L107, Работы!$A$3:$D$184, 4, 0), 0)</f>
        <v>0</v>
      </c>
      <c r="W107" s="294"/>
      <c r="X107" s="294"/>
      <c r="Y107" s="247">
        <f>IF(OR(L107="3.2.1.", L107="3.2.2."), VLOOKUP(L107, Работы!$A$3:$D$184, 4, 0), 0)</f>
        <v>0</v>
      </c>
      <c r="Z107" s="247">
        <f>IF(OR(L107="3.4.1.", L107="3.4.2."), VLOOKUP(L107, Работы!$A$3:$D$184, 4, 0), 0)</f>
        <v>922</v>
      </c>
      <c r="AA107" s="68">
        <f>P107*O107+Q107*T107+R107*T107+S107*T107+U107+V107+W107*Y107+X107*Y107+Z107</f>
        <v>922</v>
      </c>
      <c r="AB107" s="295"/>
      <c r="AC107" s="296"/>
      <c r="AD107" s="296"/>
      <c r="AE107" s="69">
        <f>AC107*AD107</f>
        <v>0</v>
      </c>
      <c r="AF107" s="71">
        <f>C107*Работы!$D$180</f>
        <v>2690.5</v>
      </c>
      <c r="AG107" s="68">
        <f>AA107+AE107+AF107+AL107+AM107</f>
        <v>3612.5</v>
      </c>
      <c r="AH107" s="72"/>
      <c r="AI107" s="73"/>
      <c r="AJ107" s="245">
        <f>AG107-AA107*AI107</f>
        <v>3612.5</v>
      </c>
      <c r="AK107" s="251"/>
      <c r="AL107" s="302">
        <f>IF(OR(E107="да"), 4040, 0)</f>
        <v>0</v>
      </c>
      <c r="AM107" s="365">
        <f>IF(OR(D107="доп."), AA107*0.1, 0)</f>
        <v>0</v>
      </c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43"/>
      <c r="BW107" s="43"/>
      <c r="BX107" s="43"/>
      <c r="BY107" s="43"/>
      <c r="BZ107" s="43"/>
      <c r="CA107" s="43"/>
      <c r="CB107" s="43"/>
      <c r="CC107" s="43"/>
      <c r="CD107" s="43"/>
      <c r="CE107" s="43"/>
      <c r="CF107" s="43"/>
      <c r="CG107" s="43"/>
      <c r="CH107" s="43"/>
      <c r="CI107" s="43"/>
      <c r="CJ107" s="43"/>
      <c r="CK107" s="43"/>
      <c r="CL107" s="43"/>
      <c r="CM107" s="43"/>
      <c r="CN107" s="43"/>
      <c r="CO107" s="43"/>
      <c r="CP107" s="43"/>
      <c r="CQ107" s="43"/>
    </row>
    <row r="108" spans="1:95" s="46" customFormat="1" ht="25.5" x14ac:dyDescent="0.25">
      <c r="A108" s="241">
        <f>ROW(A108)-10</f>
        <v>98</v>
      </c>
      <c r="B108" s="335" t="s">
        <v>1774</v>
      </c>
      <c r="C108" s="241">
        <v>0</v>
      </c>
      <c r="D108" s="242" t="str">
        <f>VLOOKUP(B108, Расстояния!B:K, 10, 0)</f>
        <v>осн.</v>
      </c>
      <c r="E108" s="242" t="str">
        <f>VLOOKUP(B108, Расстояния!B:F, 5, 0)</f>
        <v>нет</v>
      </c>
      <c r="F108" s="290" t="s">
        <v>4173</v>
      </c>
      <c r="G108" s="305">
        <v>45891.46597222222</v>
      </c>
      <c r="H108" s="345">
        <v>46105.656944444447</v>
      </c>
      <c r="I108" s="345">
        <v>46105.774305555555</v>
      </c>
      <c r="J108" s="331" t="s">
        <v>4048</v>
      </c>
      <c r="K108" s="306"/>
      <c r="L108" s="292" t="s">
        <v>53</v>
      </c>
      <c r="M108" s="241" t="str">
        <f>VLOOKUP(L108, Работы!A:B, 2, 0)</f>
        <v>Диагностика и замена outdoor джамперов 1/2"</v>
      </c>
      <c r="N108" s="330" t="s">
        <v>4299</v>
      </c>
      <c r="O108" s="298">
        <v>1</v>
      </c>
      <c r="P108" s="248">
        <f>IF(OR(L108="3.3.1.", L108="3.3.2.", L108="3.3.3.", L108="3.1.1.", L108="3.1.2.", L108="3.4.1.", L108="3.4.2."), 0, VLOOKUP(L108, Работы!$A$3:$D$184, 4, 0))</f>
        <v>2728</v>
      </c>
      <c r="Q108" s="243"/>
      <c r="R108" s="293"/>
      <c r="S108" s="293"/>
      <c r="T108" s="244">
        <f>IF(OR(L108="3.3.1.", L108="3.3.2.", L108="3.3.3."), VLOOKUP(L108, Работы!$A$3:$D$184, 4, 0), 0)</f>
        <v>0</v>
      </c>
      <c r="U108" s="246">
        <f>IF(OR(L108="3.1.1."), VLOOKUP(L108, Работы!$A$3:$D$184, 4, 0), 0)</f>
        <v>0</v>
      </c>
      <c r="V108" s="246">
        <f>IF(OR(L108="3.1.2."), VLOOKUP(L108, Работы!$A$3:$D$184, 4, 0), 0)</f>
        <v>0</v>
      </c>
      <c r="W108" s="294"/>
      <c r="X108" s="294"/>
      <c r="Y108" s="247">
        <f>IF(OR(L108="3.2.1.", L108="3.2.2."), VLOOKUP(L108, Работы!$A$3:$D$184, 4, 0), 0)</f>
        <v>0</v>
      </c>
      <c r="Z108" s="247">
        <f>IF(OR(L108="3.4.1.", L108="3.4.2."), VLOOKUP(L108, Работы!$A$3:$D$184, 4, 0), 0)</f>
        <v>0</v>
      </c>
      <c r="AA108" s="68">
        <f>P108*O108+Q108*T108+R108*T108+S108*T108+U108+V108+W108*Y108+X108*Y108+Z108</f>
        <v>2728</v>
      </c>
      <c r="AB108" s="295"/>
      <c r="AC108" s="296"/>
      <c r="AD108" s="296"/>
      <c r="AE108" s="69">
        <f>AC108*AD108</f>
        <v>0</v>
      </c>
      <c r="AF108" s="71">
        <f>C108*Работы!$D$180</f>
        <v>0</v>
      </c>
      <c r="AG108" s="68">
        <f>AA108+AE108+AF108+AL108+AM108</f>
        <v>2728</v>
      </c>
      <c r="AH108" s="72"/>
      <c r="AI108" s="73"/>
      <c r="AJ108" s="245">
        <f>AG108-AA108*AI108</f>
        <v>2728</v>
      </c>
      <c r="AK108" s="251"/>
      <c r="AL108" s="302">
        <f>IF(OR(E108="да"), 4040, 0)</f>
        <v>0</v>
      </c>
      <c r="AM108" s="365">
        <f>IF(OR(D108="доп."), AA108*0.1, 0)</f>
        <v>0</v>
      </c>
      <c r="AN108" s="1287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</row>
    <row r="109" spans="1:95" s="46" customFormat="1" ht="63.75" x14ac:dyDescent="0.25">
      <c r="A109" s="241">
        <f>ROW(A109)-10</f>
        <v>99</v>
      </c>
      <c r="B109" s="335" t="s">
        <v>1388</v>
      </c>
      <c r="C109" s="241">
        <v>55</v>
      </c>
      <c r="D109" s="242" t="str">
        <f>VLOOKUP(B109, Расстояния!B:K, 10, 0)</f>
        <v>осн.</v>
      </c>
      <c r="E109" s="242" t="str">
        <f>VLOOKUP(B109, Расстояния!B:F, 5, 0)</f>
        <v>нет</v>
      </c>
      <c r="F109" s="290" t="s">
        <v>4100</v>
      </c>
      <c r="G109" s="305">
        <v>46108.427777777775</v>
      </c>
      <c r="H109" s="345">
        <v>46108.484027777777</v>
      </c>
      <c r="I109" s="345">
        <v>46108.484027777777</v>
      </c>
      <c r="J109" s="303" t="s">
        <v>4046</v>
      </c>
      <c r="K109" s="306"/>
      <c r="L109" s="250" t="s">
        <v>368</v>
      </c>
      <c r="M109" s="241" t="str">
        <f>VLOOKUP(L109, Работы!A:B, 2, 0)</f>
        <v>Стоимость отменённого вызова на Аварийно-восстановительные работы, заявка по которым получена в рабочее время</v>
      </c>
      <c r="N109" s="346" t="s">
        <v>3882</v>
      </c>
      <c r="O109" s="298"/>
      <c r="P109" s="248">
        <f>IF(OR(L109="3.3.1.", L109="3.3.2.", L109="3.3.3.", L109="3.1.1.", L109="3.1.2.", L109="3.4.1.", L109="3.4.2."), 0, VLOOKUP(L109, Работы!$A$3:$D$184, 4, 0))</f>
        <v>0</v>
      </c>
      <c r="Q109" s="243"/>
      <c r="R109" s="293"/>
      <c r="S109" s="293"/>
      <c r="T109" s="244">
        <f>IF(OR(L109="3.3.1.", L109="3.3.2.", L109="3.3.3."), VLOOKUP(L109, Работы!$A$3:$D$184, 4, 0), 0)</f>
        <v>0</v>
      </c>
      <c r="U109" s="246">
        <f>IF(OR(L109="3.1.1."), VLOOKUP(L109, Работы!$A$3:$D$184, 4, 0), 0)</f>
        <v>0</v>
      </c>
      <c r="V109" s="246">
        <f>IF(OR(L109="3.1.2."), VLOOKUP(L109, Работы!$A$3:$D$184, 4, 0), 0)</f>
        <v>0</v>
      </c>
      <c r="W109" s="294"/>
      <c r="X109" s="294"/>
      <c r="Y109" s="247">
        <f>IF(OR(L109="3.2.1.", L109="3.2.2."), VLOOKUP(L109, Работы!$A$3:$D$184, 4, 0), 0)</f>
        <v>0</v>
      </c>
      <c r="Z109" s="247">
        <f>IF(OR(L109="3.4.1.", L109="3.4.2."), VLOOKUP(L109, Работы!$A$3:$D$184, 4, 0), 0)</f>
        <v>922</v>
      </c>
      <c r="AA109" s="68">
        <f>P109*O109+Q109*T109+R109*T109+S109*T109+U109+V109+W109*Y109+X109*Y109+Z109</f>
        <v>922</v>
      </c>
      <c r="AB109" s="295"/>
      <c r="AC109" s="296"/>
      <c r="AD109" s="296"/>
      <c r="AE109" s="69">
        <f>AC109*AD109</f>
        <v>0</v>
      </c>
      <c r="AF109" s="71">
        <f>C109*Работы!$D$180</f>
        <v>2959.55</v>
      </c>
      <c r="AG109" s="68">
        <f>AA109+AE109+AF109+AL109+AM109</f>
        <v>3881.55</v>
      </c>
      <c r="AH109" s="72"/>
      <c r="AI109" s="73"/>
      <c r="AJ109" s="245">
        <f>AG109-AA109*AI109</f>
        <v>3881.55</v>
      </c>
      <c r="AK109" s="251"/>
      <c r="AL109" s="302">
        <f>IF(OR(E109="да"), 4040, 0)</f>
        <v>0</v>
      </c>
      <c r="AM109" s="365">
        <f>IF(OR(D109="доп."), AA109*0.1, 0)</f>
        <v>0</v>
      </c>
      <c r="AN109" s="34"/>
      <c r="AO109" s="34"/>
      <c r="AP109" s="34"/>
      <c r="AQ109" s="251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43"/>
      <c r="BW109" s="43"/>
      <c r="BX109" s="43"/>
      <c r="BY109" s="43"/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P109" s="43"/>
      <c r="CQ109" s="43"/>
    </row>
    <row r="110" spans="1:95" s="46" customFormat="1" ht="102" x14ac:dyDescent="0.25">
      <c r="A110" s="241">
        <f>ROW(A110)-10</f>
        <v>100</v>
      </c>
      <c r="B110" s="335" t="s">
        <v>566</v>
      </c>
      <c r="C110" s="241">
        <f>VLOOKUP(B110, Расстояния!B:J, 9, 0)</f>
        <v>62</v>
      </c>
      <c r="D110" s="242" t="str">
        <f>VLOOKUP(B110, Расстояния!B:K, 10, 0)</f>
        <v>осн.</v>
      </c>
      <c r="E110" s="242" t="str">
        <f>VLOOKUP(B110, Расстояния!B:F, 5, 0)</f>
        <v>нет</v>
      </c>
      <c r="F110" s="290" t="s">
        <v>4160</v>
      </c>
      <c r="G110" s="305">
        <v>46107.462187500001</v>
      </c>
      <c r="H110" s="305">
        <v>46107.557638888888</v>
      </c>
      <c r="I110" s="305">
        <v>46107.725694444445</v>
      </c>
      <c r="J110" s="303" t="s">
        <v>4263</v>
      </c>
      <c r="K110" s="306"/>
      <c r="L110" s="250" t="s">
        <v>367</v>
      </c>
      <c r="M110" s="241" t="str">
        <f>VLOOKUP(L110,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10" s="330" t="s">
        <v>3843</v>
      </c>
      <c r="O110" s="298"/>
      <c r="P110" s="248">
        <f>IF(OR(L110="3.3.1.", L110="3.3.2.", L110="3.3.3.", L110="3.1.1.", L110="3.1.2.", L110="3.4.1.", L110="3.4.2."), 0, VLOOKUP(L110, Работы!$A$3:$D$184, 4, 0))</f>
        <v>0</v>
      </c>
      <c r="Q110" s="243">
        <f>ROUNDUP((I110-H110)*24, 0)</f>
        <v>5</v>
      </c>
      <c r="R110" s="293"/>
      <c r="S110" s="293"/>
      <c r="T110" s="244">
        <f>IF(OR(L110="3.3.1.", L110="3.3.2.", L110="3.3.3."), VLOOKUP(L110, Работы!$A$3:$D$184, 4, 0), 0)</f>
        <v>903</v>
      </c>
      <c r="U110" s="246">
        <f>IF(OR(L110="3.1.1."), VLOOKUP(L110, Работы!$A$3:$D$184, 4, 0), 0)</f>
        <v>0</v>
      </c>
      <c r="V110" s="246">
        <f>IF(OR(L110="3.1.2."), VLOOKUP(L110, Работы!$A$3:$D$184, 4, 0), 0)</f>
        <v>0</v>
      </c>
      <c r="W110" s="294"/>
      <c r="X110" s="294"/>
      <c r="Y110" s="247">
        <f>IF(OR(L110="3.2.1.", L110="3.2.2."), VLOOKUP(L110, Работы!$A$3:$D$184, 4, 0), 0)</f>
        <v>0</v>
      </c>
      <c r="Z110" s="247">
        <f>IF(OR(L110="3.4.1.", L110="3.4.2."), VLOOKUP(L110, Работы!$A$3:$D$184, 4, 0), 0)</f>
        <v>0</v>
      </c>
      <c r="AA110" s="68">
        <f>P110*O110+Q110*T110+R110*T110+S110*T110+U110+V110+W110*Y110+X110*Y110+Z110</f>
        <v>4515</v>
      </c>
      <c r="AB110" s="295"/>
      <c r="AC110" s="296"/>
      <c r="AD110" s="296"/>
      <c r="AE110" s="69">
        <f>AC110*AD110</f>
        <v>0</v>
      </c>
      <c r="AF110" s="71">
        <f>C110*Работы!$D$180</f>
        <v>3336.2200000000003</v>
      </c>
      <c r="AG110" s="68">
        <f>AA110+AE110+AF110+AL110+AM110</f>
        <v>7851.22</v>
      </c>
      <c r="AH110" s="72"/>
      <c r="AI110" s="73"/>
      <c r="AJ110" s="245">
        <f>AG110-AA110*AI110</f>
        <v>7851.22</v>
      </c>
      <c r="AK110" s="251"/>
      <c r="AL110" s="302">
        <f>IF(OR(E110="да"), 4040, 0)</f>
        <v>0</v>
      </c>
      <c r="AM110" s="365">
        <f>IF(OR(D110="доп."), AA110*0.1, 0)</f>
        <v>0</v>
      </c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43"/>
      <c r="BW110" s="43"/>
      <c r="BX110" s="43"/>
      <c r="BY110" s="43"/>
      <c r="BZ110" s="43"/>
      <c r="CA110" s="43"/>
      <c r="CB110" s="43"/>
      <c r="CC110" s="43"/>
      <c r="CD110" s="43"/>
      <c r="CE110" s="43"/>
      <c r="CF110" s="43"/>
      <c r="CG110" s="43"/>
      <c r="CH110" s="43"/>
      <c r="CI110" s="43"/>
      <c r="CJ110" s="43"/>
      <c r="CK110" s="43"/>
      <c r="CL110" s="43"/>
      <c r="CM110" s="43"/>
      <c r="CN110" s="43"/>
      <c r="CO110" s="43"/>
      <c r="CP110" s="43"/>
      <c r="CQ110" s="43"/>
    </row>
    <row r="111" spans="1:95" s="46" customFormat="1" ht="89.25" x14ac:dyDescent="0.25">
      <c r="A111" s="241">
        <f>ROW(A111)-10</f>
        <v>101</v>
      </c>
      <c r="B111" s="335" t="s">
        <v>566</v>
      </c>
      <c r="C111" s="241">
        <f>VLOOKUP(B111, Расстояния!B:J, 9, 0)</f>
        <v>62</v>
      </c>
      <c r="D111" s="242" t="str">
        <f>VLOOKUP(B111, Расстояния!B:K, 10, 0)</f>
        <v>осн.</v>
      </c>
      <c r="E111" s="242" t="str">
        <f>VLOOKUP(B111, Расстояния!B:F, 5, 0)</f>
        <v>нет</v>
      </c>
      <c r="F111" s="290" t="s">
        <v>4114</v>
      </c>
      <c r="G111" s="305">
        <v>46098.571527777778</v>
      </c>
      <c r="H111" s="305">
        <v>46101.554166666669</v>
      </c>
      <c r="I111" s="305">
        <v>46101.654861111114</v>
      </c>
      <c r="J111" s="303" t="s">
        <v>4043</v>
      </c>
      <c r="K111" s="306"/>
      <c r="L111" s="292" t="s">
        <v>239</v>
      </c>
      <c r="M111" s="241" t="str">
        <f>VLOOKUP(L111, Работы!A:B, 2, 0)</f>
        <v>Осмотр и тестирование аккумуляторов источников бесперебойного питания (ИБП) по упрощенной методике (разряд на штатную нагрузку ИБП до 2 (двух) часов с измерением их параметров)</v>
      </c>
      <c r="N111" s="330" t="s">
        <v>4305</v>
      </c>
      <c r="O111" s="298">
        <v>1</v>
      </c>
      <c r="P111" s="248">
        <f>IF(OR(L111="3.3.1.", L111="3.3.2.", L111="3.3.3.", L111="3.1.1.", L111="3.1.2.", L111="3.4.1.", L111="3.4.2."), 0, VLOOKUP(L111, Работы!$A$3:$D$184, 4, 0))</f>
        <v>1778</v>
      </c>
      <c r="Q111" s="243"/>
      <c r="R111" s="293"/>
      <c r="S111" s="293"/>
      <c r="T111" s="244">
        <f>IF(OR(L111="3.3.1.", L111="3.3.2.", L111="3.3.3."), VLOOKUP(L111, Работы!$A$3:$D$184, 4, 0), 0)</f>
        <v>0</v>
      </c>
      <c r="U111" s="246">
        <f>IF(OR(L111="3.1.1."), VLOOKUP(L111, Работы!$A$3:$D$184, 4, 0), 0)</f>
        <v>0</v>
      </c>
      <c r="V111" s="246">
        <f>IF(OR(L111="3.1.2."), VLOOKUP(L111, Работы!$A$3:$D$184, 4, 0), 0)</f>
        <v>0</v>
      </c>
      <c r="W111" s="294"/>
      <c r="X111" s="294"/>
      <c r="Y111" s="247">
        <f>IF(OR(L111="3.2.1.", L111="3.2.2."), VLOOKUP(L111, Работы!$A$3:$D$184, 4, 0), 0)</f>
        <v>0</v>
      </c>
      <c r="Z111" s="247">
        <f>IF(OR(L111="3.4.1.", L111="3.4.2."), VLOOKUP(L111, Работы!$A$3:$D$184, 4, 0), 0)</f>
        <v>0</v>
      </c>
      <c r="AA111" s="68">
        <f>P111*O111+Q111*T111+R111*T111+S111*T111+U111+V111+W111*Y111+X111*Y111+Z111</f>
        <v>1778</v>
      </c>
      <c r="AB111" s="295"/>
      <c r="AC111" s="296"/>
      <c r="AD111" s="296"/>
      <c r="AE111" s="69">
        <f>AC111*AD111</f>
        <v>0</v>
      </c>
      <c r="AF111" s="71">
        <f>C111*Работы!$D$180</f>
        <v>3336.2200000000003</v>
      </c>
      <c r="AG111" s="68">
        <f>AA111+AE111+AF111+AL111+AM111</f>
        <v>5114.22</v>
      </c>
      <c r="AH111" s="72"/>
      <c r="AI111" s="73"/>
      <c r="AJ111" s="245">
        <f>AG111-AA111*AI111</f>
        <v>5114.22</v>
      </c>
      <c r="AK111" s="251"/>
      <c r="AL111" s="302">
        <f>IF(OR(E111="да"), 4040, 0)</f>
        <v>0</v>
      </c>
      <c r="AM111" s="365">
        <f>IF(OR(D111="доп."), AA111*0.1, 0)</f>
        <v>0</v>
      </c>
      <c r="AN111" s="34"/>
      <c r="AO111" s="34"/>
      <c r="AP111" s="34"/>
      <c r="AQ111" s="1287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43"/>
      <c r="BW111" s="43"/>
      <c r="BX111" s="43"/>
      <c r="BY111" s="43"/>
      <c r="BZ111" s="43"/>
      <c r="CA111" s="43"/>
      <c r="CB111" s="43"/>
      <c r="CC111" s="43"/>
      <c r="CD111" s="43"/>
      <c r="CE111" s="43"/>
      <c r="CF111" s="43"/>
      <c r="CG111" s="43"/>
      <c r="CH111" s="43"/>
      <c r="CI111" s="43"/>
      <c r="CJ111" s="43"/>
      <c r="CK111" s="43"/>
      <c r="CL111" s="43"/>
      <c r="CM111" s="43"/>
      <c r="CN111" s="43"/>
      <c r="CO111" s="43"/>
      <c r="CP111" s="43"/>
      <c r="CQ111" s="43"/>
    </row>
    <row r="112" spans="1:95" s="46" customFormat="1" ht="76.5" x14ac:dyDescent="0.25">
      <c r="A112" s="241">
        <f>ROW(A112)-10</f>
        <v>102</v>
      </c>
      <c r="B112" s="335" t="s">
        <v>566</v>
      </c>
      <c r="C112" s="241">
        <v>0</v>
      </c>
      <c r="D112" s="242" t="str">
        <f>VLOOKUP(B112, Расстояния!B:K, 10, 0)</f>
        <v>осн.</v>
      </c>
      <c r="E112" s="242" t="str">
        <f>VLOOKUP(B112, Расстояния!B:F, 5, 0)</f>
        <v>нет</v>
      </c>
      <c r="F112" s="290" t="s">
        <v>4114</v>
      </c>
      <c r="G112" s="305">
        <v>46098.571527777778</v>
      </c>
      <c r="H112" s="305">
        <v>46101.554166666669</v>
      </c>
      <c r="I112" s="305">
        <v>46101.654861111114</v>
      </c>
      <c r="J112" s="303" t="s">
        <v>4043</v>
      </c>
      <c r="K112" s="306"/>
      <c r="L112" s="292" t="s">
        <v>303</v>
      </c>
      <c r="M112" s="241" t="str">
        <f>VLOOKUP(L112, Работы!A:B, 2, 0)</f>
        <v>Устранение нарушений конструкций обеспечивающих безопасность объектов (антивандальные ограждение и т.п., без учета стоимости материалов)</v>
      </c>
      <c r="N112" s="330" t="s">
        <v>4242</v>
      </c>
      <c r="O112" s="298">
        <v>1</v>
      </c>
      <c r="P112" s="248">
        <f>IF(OR(L112="3.3.1.", L112="3.3.2.", L112="3.3.3.", L112="3.1.1.", L112="3.1.2.", L112="3.4.1.", L112="3.4.2."), 0, VLOOKUP(L112, Работы!$A$3:$D$184, 4, 0))</f>
        <v>2122</v>
      </c>
      <c r="Q112" s="243"/>
      <c r="R112" s="293"/>
      <c r="S112" s="293"/>
      <c r="T112" s="244">
        <f>IF(OR(L112="3.3.1.", L112="3.3.2.", L112="3.3.3."), VLOOKUP(L112, Работы!$A$3:$D$184, 4, 0), 0)</f>
        <v>0</v>
      </c>
      <c r="U112" s="246">
        <f>IF(OR(L112="3.1.1."), VLOOKUP(L112, Работы!$A$3:$D$184, 4, 0), 0)</f>
        <v>0</v>
      </c>
      <c r="V112" s="246">
        <f>IF(OR(L112="3.1.2."), VLOOKUP(L112, Работы!$A$3:$D$184, 4, 0), 0)</f>
        <v>0</v>
      </c>
      <c r="W112" s="294"/>
      <c r="X112" s="294"/>
      <c r="Y112" s="247">
        <f>IF(OR(L112="3.2.1.", L112="3.2.2."), VLOOKUP(L112, Работы!$A$3:$D$184, 4, 0), 0)</f>
        <v>0</v>
      </c>
      <c r="Z112" s="247">
        <f>IF(OR(L112="3.4.1.", L112="3.4.2."), VLOOKUP(L112, Работы!$A$3:$D$184, 4, 0), 0)</f>
        <v>0</v>
      </c>
      <c r="AA112" s="68">
        <f>P112*O112+Q112*T112+R112*T112+S112*T112+U112+V112+W112*Y112+X112*Y112+Z112</f>
        <v>2122</v>
      </c>
      <c r="AB112" s="295"/>
      <c r="AC112" s="296"/>
      <c r="AD112" s="296"/>
      <c r="AE112" s="69">
        <f>AC112*AD112</f>
        <v>0</v>
      </c>
      <c r="AF112" s="71">
        <f>C112*Работы!$D$180</f>
        <v>0</v>
      </c>
      <c r="AG112" s="68">
        <f>AA112+AE112+AF112+AL112+AM112</f>
        <v>2122</v>
      </c>
      <c r="AH112" s="72"/>
      <c r="AI112" s="73"/>
      <c r="AJ112" s="245">
        <f>AG112-AA112*AI112</f>
        <v>2122</v>
      </c>
      <c r="AK112" s="251"/>
      <c r="AL112" s="302">
        <f>IF(OR(E112="да"), 4040, 0)</f>
        <v>0</v>
      </c>
      <c r="AM112" s="365">
        <f>IF(OR(D112="доп."), AA112*0.1, 0)</f>
        <v>0</v>
      </c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43"/>
      <c r="BW112" s="43"/>
      <c r="BX112" s="43"/>
      <c r="BY112" s="43"/>
      <c r="BZ112" s="43"/>
      <c r="CA112" s="43"/>
      <c r="CB112" s="43"/>
      <c r="CC112" s="43"/>
      <c r="CD112" s="43"/>
      <c r="CE112" s="43"/>
      <c r="CF112" s="43"/>
      <c r="CG112" s="43"/>
      <c r="CH112" s="43"/>
      <c r="CI112" s="43"/>
      <c r="CJ112" s="43"/>
      <c r="CK112" s="43"/>
      <c r="CL112" s="43"/>
      <c r="CM112" s="43"/>
      <c r="CN112" s="43"/>
      <c r="CO112" s="43"/>
      <c r="CP112" s="43"/>
      <c r="CQ112" s="43"/>
    </row>
    <row r="113" spans="1:95" s="46" customFormat="1" ht="63.75" x14ac:dyDescent="0.25">
      <c r="A113" s="241">
        <f>ROW(A113)-10</f>
        <v>103</v>
      </c>
      <c r="B113" s="335" t="s">
        <v>591</v>
      </c>
      <c r="C113" s="241">
        <v>30</v>
      </c>
      <c r="D113" s="242" t="str">
        <f>VLOOKUP(B113, Расстояния!B:K, 10, 0)</f>
        <v>осн.</v>
      </c>
      <c r="E113" s="242" t="str">
        <f>VLOOKUP(B113, Расстояния!B:F, 5, 0)</f>
        <v>нет</v>
      </c>
      <c r="F113" s="290" t="s">
        <v>4309</v>
      </c>
      <c r="G113" s="305">
        <v>46105.861805555556</v>
      </c>
      <c r="H113" s="305">
        <v>46105.920138888891</v>
      </c>
      <c r="I113" s="305">
        <v>46105.920138888891</v>
      </c>
      <c r="J113" s="303" t="s">
        <v>4043</v>
      </c>
      <c r="K113" s="306"/>
      <c r="L113" s="250" t="s">
        <v>371</v>
      </c>
      <c r="M113" s="241" t="str">
        <f>VLOOKUP(L113, Работы!A:B, 2, 0)</f>
        <v>Стоимость отменённого вызова на Аварийно-восстановительные работы, заявка по которым получена во внерабочее время</v>
      </c>
      <c r="N113" s="346" t="s">
        <v>3882</v>
      </c>
      <c r="O113" s="298"/>
      <c r="P113" s="248">
        <f>IF(OR(L113="3.3.1.", L113="3.3.2.", L113="3.3.3.", L113="3.1.1.", L113="3.1.2.", L113="3.4.1.", L113="3.4.2."), 0, VLOOKUP(L113, Работы!$A$3:$D$184, 4, 0))</f>
        <v>0</v>
      </c>
      <c r="Q113" s="243"/>
      <c r="R113" s="293"/>
      <c r="S113" s="293"/>
      <c r="T113" s="244">
        <f>IF(OR(L113="3.3.1.", L113="3.3.2.", L113="3.3.3."), VLOOKUP(L113, Работы!$A$3:$D$184, 4, 0), 0)</f>
        <v>0</v>
      </c>
      <c r="U113" s="246">
        <f>IF(OR(L113="3.1.1."), VLOOKUP(L113, Работы!$A$3:$D$184, 4, 0), 0)</f>
        <v>0</v>
      </c>
      <c r="V113" s="246">
        <f>IF(OR(L113="3.1.2."), VLOOKUP(L113, Работы!$A$3:$D$184, 4, 0), 0)</f>
        <v>0</v>
      </c>
      <c r="W113" s="294"/>
      <c r="X113" s="294"/>
      <c r="Y113" s="247">
        <f>IF(OR(L113="3.2.1.", L113="3.2.2."), VLOOKUP(L113, Работы!$A$3:$D$184, 4, 0), 0)</f>
        <v>0</v>
      </c>
      <c r="Z113" s="247">
        <f>IF(OR(L113="3.4.1.", L113="3.4.2."), VLOOKUP(L113, Работы!$A$3:$D$184, 4, 0), 0)</f>
        <v>1731</v>
      </c>
      <c r="AA113" s="68">
        <f>P113*O113+Q113*T113+R113*T113+S113*T113+U113+V113+W113*Y113+X113*Y113+Z113</f>
        <v>1731</v>
      </c>
      <c r="AB113" s="295"/>
      <c r="AC113" s="296"/>
      <c r="AD113" s="296"/>
      <c r="AE113" s="69">
        <f>AC113*AD113</f>
        <v>0</v>
      </c>
      <c r="AF113" s="71">
        <f>C113*Работы!$D$180</f>
        <v>1614.3000000000002</v>
      </c>
      <c r="AG113" s="68">
        <f>AA113+AE113+AF113+AL113+AM113</f>
        <v>3345.3</v>
      </c>
      <c r="AH113" s="72"/>
      <c r="AI113" s="73"/>
      <c r="AJ113" s="245">
        <f>AG113-AA113*AI113</f>
        <v>3345.3</v>
      </c>
      <c r="AK113" s="251"/>
      <c r="AL113" s="302">
        <f>IF(OR(E113="да"), 4040, 0)</f>
        <v>0</v>
      </c>
      <c r="AM113" s="365">
        <f>IF(OR(D113="доп."), AA113*0.1, 0)</f>
        <v>0</v>
      </c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43"/>
      <c r="BW113" s="43"/>
      <c r="BX113" s="43"/>
      <c r="BY113" s="43"/>
      <c r="BZ113" s="43"/>
      <c r="CA113" s="43"/>
      <c r="CB113" s="43"/>
      <c r="CC113" s="43"/>
      <c r="CD113" s="43"/>
      <c r="CE113" s="43"/>
      <c r="CF113" s="43"/>
      <c r="CG113" s="43"/>
      <c r="CH113" s="43"/>
      <c r="CI113" s="43"/>
      <c r="CJ113" s="43"/>
      <c r="CK113" s="43"/>
      <c r="CL113" s="43"/>
      <c r="CM113" s="43"/>
      <c r="CN113" s="43"/>
      <c r="CO113" s="43"/>
      <c r="CP113" s="43"/>
      <c r="CQ113" s="43"/>
    </row>
    <row r="114" spans="1:95" s="46" customFormat="1" ht="38.25" x14ac:dyDescent="0.25">
      <c r="A114" s="241">
        <f>ROW(A114)-10</f>
        <v>104</v>
      </c>
      <c r="B114" s="335" t="s">
        <v>591</v>
      </c>
      <c r="C114" s="241">
        <f>VLOOKUP(B114, Расстояния!B:J, 9, 0)*0.5</f>
        <v>17.5</v>
      </c>
      <c r="D114" s="242" t="str">
        <f>VLOOKUP(B114, Расстояния!B:K, 10, 0)</f>
        <v>осн.</v>
      </c>
      <c r="E114" s="242" t="str">
        <f>VLOOKUP(B114, Расстояния!B:F, 5, 0)</f>
        <v>нет</v>
      </c>
      <c r="F114" s="290"/>
      <c r="G114" s="305"/>
      <c r="H114" s="305">
        <v>46108.640972222223</v>
      </c>
      <c r="I114" s="305">
        <v>46108.770833333336</v>
      </c>
      <c r="J114" s="303" t="s">
        <v>4043</v>
      </c>
      <c r="K114" s="306"/>
      <c r="L114" s="250" t="s">
        <v>296</v>
      </c>
      <c r="M114" s="241" t="str">
        <f>VLOOKUP(L114, Работы!A:B, 2, 0)</f>
        <v>Техническое обслуживание БС</v>
      </c>
      <c r="N114" s="330" t="s">
        <v>298</v>
      </c>
      <c r="O114" s="298">
        <v>1</v>
      </c>
      <c r="P114" s="248">
        <f>IF(OR(L114="3.3.1.", L114="3.3.2.", L114="3.3.3.", L114="3.1.1.", L114="3.1.2.", L114="3.4.1.", L114="3.4.2."), 0, VLOOKUP(L114, Работы!$A$3:$D$184, 4, 0))</f>
        <v>4143</v>
      </c>
      <c r="Q114" s="243"/>
      <c r="R114" s="293"/>
      <c r="S114" s="293"/>
      <c r="T114" s="244">
        <f>IF(OR(L114="3.3.1.", L114="3.3.2.", L114="3.3.3."), VLOOKUP(L114, Работы!$A$3:$D$184, 4, 0), 0)</f>
        <v>0</v>
      </c>
      <c r="U114" s="246">
        <f>IF(OR(L114="3.1.1."), VLOOKUP(L114, Работы!$A$3:$D$184, 4, 0), 0)</f>
        <v>0</v>
      </c>
      <c r="V114" s="246">
        <f>IF(OR(L114="3.1.2."), VLOOKUP(L114, Работы!$A$3:$D$184, 4, 0), 0)</f>
        <v>0</v>
      </c>
      <c r="W114" s="294"/>
      <c r="X114" s="294"/>
      <c r="Y114" s="247">
        <f>IF(OR(L114="3.2.1.", L114="3.2.2."), VLOOKUP(L114, Работы!$A$3:$D$184, 4, 0), 0)</f>
        <v>0</v>
      </c>
      <c r="Z114" s="247">
        <f>IF(OR(L114="3.4.1.", L114="3.4.2."), VLOOKUP(L114, Работы!$A$3:$D$184, 4, 0), 0)</f>
        <v>0</v>
      </c>
      <c r="AA114" s="68">
        <f>P114*O114+Q114*T114+R114*T114+S114*T114+U114+V114+W114*Y114+X114*Y114+Z114</f>
        <v>4143</v>
      </c>
      <c r="AB114" s="295"/>
      <c r="AC114" s="296"/>
      <c r="AD114" s="296"/>
      <c r="AE114" s="69">
        <f>AC114*AD114</f>
        <v>0</v>
      </c>
      <c r="AF114" s="71">
        <f>C114*Работы!$D$180</f>
        <v>941.67500000000007</v>
      </c>
      <c r="AG114" s="68">
        <f>AA114+AE114+AF114+AL114+AM114</f>
        <v>5084.6750000000002</v>
      </c>
      <c r="AH114" s="72"/>
      <c r="AI114" s="73"/>
      <c r="AJ114" s="245">
        <f>AG114-AA114*AI114</f>
        <v>5084.6750000000002</v>
      </c>
      <c r="AK114" s="251"/>
      <c r="AL114" s="302">
        <f>IF(OR(E114="да"), 4040, 0)</f>
        <v>0</v>
      </c>
      <c r="AM114" s="365">
        <f>IF(OR(D114="доп."), AA114*0.1, 0)</f>
        <v>0</v>
      </c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43"/>
      <c r="BW114" s="43"/>
      <c r="BX114" s="43"/>
      <c r="BY114" s="43"/>
      <c r="BZ114" s="43"/>
      <c r="CA114" s="43"/>
      <c r="CB114" s="43"/>
      <c r="CC114" s="43"/>
      <c r="CD114" s="43"/>
      <c r="CE114" s="43"/>
      <c r="CF114" s="43"/>
      <c r="CG114" s="43"/>
      <c r="CH114" s="43"/>
      <c r="CI114" s="43"/>
      <c r="CJ114" s="43"/>
      <c r="CK114" s="43"/>
      <c r="CL114" s="43"/>
      <c r="CM114" s="43"/>
      <c r="CN114" s="43"/>
      <c r="CO114" s="43"/>
      <c r="CP114" s="43"/>
      <c r="CQ114" s="43"/>
    </row>
    <row r="115" spans="1:95" s="46" customFormat="1" ht="114.75" x14ac:dyDescent="0.25">
      <c r="A115" s="241">
        <f>ROW(A115)-10</f>
        <v>105</v>
      </c>
      <c r="B115" s="335" t="s">
        <v>591</v>
      </c>
      <c r="C115" s="241">
        <v>0</v>
      </c>
      <c r="D115" s="242" t="str">
        <f>VLOOKUP(B115, Расстояния!B:K, 10, 0)</f>
        <v>осн.</v>
      </c>
      <c r="E115" s="242" t="str">
        <f>VLOOKUP(B115, Расстояния!B:F, 5, 0)</f>
        <v>нет</v>
      </c>
      <c r="F115" s="290"/>
      <c r="G115" s="305"/>
      <c r="H115" s="305">
        <v>46108.640972222223</v>
      </c>
      <c r="I115" s="305">
        <v>46108.770833333336</v>
      </c>
      <c r="J115" s="303" t="s">
        <v>4043</v>
      </c>
      <c r="K115" s="306"/>
      <c r="L115" s="292" t="s">
        <v>198</v>
      </c>
      <c r="M115" s="241" t="str">
        <f>VLOOKUP(L115, Работы!A:B, 2, 0)</f>
        <v>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</v>
      </c>
      <c r="N115" s="330" t="s">
        <v>4125</v>
      </c>
      <c r="O115" s="298">
        <v>1</v>
      </c>
      <c r="P115" s="248">
        <f>IF(OR(L115="3.3.1.", L115="3.3.2.", L115="3.3.3.", L115="3.1.1.", L115="3.1.2.", L115="3.4.1.", L115="3.4.2."), 0, VLOOKUP(L115, Работы!$A$3:$D$184, 4, 0))</f>
        <v>735</v>
      </c>
      <c r="Q115" s="243"/>
      <c r="R115" s="293"/>
      <c r="S115" s="293"/>
      <c r="T115" s="244">
        <f>IF(OR(L115="3.3.1.", L115="3.3.2.", L115="3.3.3."), VLOOKUP(L115, Работы!$A$3:$D$184, 4, 0), 0)</f>
        <v>0</v>
      </c>
      <c r="U115" s="246">
        <f>IF(OR(L115="3.1.1."), VLOOKUP(L115, Работы!$A$3:$D$184, 4, 0), 0)</f>
        <v>0</v>
      </c>
      <c r="V115" s="246">
        <f>IF(OR(L115="3.1.2."), VLOOKUP(L115, Работы!$A$3:$D$184, 4, 0), 0)</f>
        <v>0</v>
      </c>
      <c r="W115" s="294"/>
      <c r="X115" s="294"/>
      <c r="Y115" s="247">
        <f>IF(OR(L115="3.2.1.", L115="3.2.2."), VLOOKUP(L115, Работы!$A$3:$D$184, 4, 0), 0)</f>
        <v>0</v>
      </c>
      <c r="Z115" s="247">
        <f>IF(OR(L115="3.4.1.", L115="3.4.2."), VLOOKUP(L115, Работы!$A$3:$D$184, 4, 0), 0)</f>
        <v>0</v>
      </c>
      <c r="AA115" s="68">
        <f>P115*O115+Q115*T115+R115*T115+S115*T115+U115+V115+W115*Y115+X115*Y115+Z115</f>
        <v>735</v>
      </c>
      <c r="AB115" s="295"/>
      <c r="AC115" s="296"/>
      <c r="AD115" s="296"/>
      <c r="AE115" s="69">
        <f>AC115*AD115</f>
        <v>0</v>
      </c>
      <c r="AF115" s="71">
        <f>C115*Работы!$D$180</f>
        <v>0</v>
      </c>
      <c r="AG115" s="68">
        <f>AA115+AE115+AF115+AL115+AM115</f>
        <v>735</v>
      </c>
      <c r="AH115" s="72"/>
      <c r="AI115" s="73"/>
      <c r="AJ115" s="245">
        <f>AG115-AA115*AI115</f>
        <v>735</v>
      </c>
      <c r="AK115" s="251"/>
      <c r="AL115" s="302">
        <f>IF(OR(E115="да"), 4040, 0)</f>
        <v>0</v>
      </c>
      <c r="AM115" s="365">
        <f>IF(OR(D115="доп."), AA115*0.1, 0)</f>
        <v>0</v>
      </c>
      <c r="AN115" s="251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43"/>
      <c r="BW115" s="43"/>
      <c r="BX115" s="43"/>
      <c r="BY115" s="43"/>
      <c r="BZ115" s="43"/>
      <c r="CA115" s="43"/>
      <c r="CB115" s="43"/>
      <c r="CC115" s="43"/>
      <c r="CD115" s="43"/>
      <c r="CE115" s="43"/>
      <c r="CF115" s="43"/>
      <c r="CG115" s="43"/>
      <c r="CH115" s="43"/>
      <c r="CI115" s="43"/>
      <c r="CJ115" s="43"/>
      <c r="CK115" s="43"/>
      <c r="CL115" s="43"/>
      <c r="CM115" s="43"/>
      <c r="CN115" s="43"/>
      <c r="CO115" s="43"/>
      <c r="CP115" s="43"/>
      <c r="CQ115" s="43"/>
    </row>
    <row r="116" spans="1:95" s="46" customFormat="1" ht="140.25" x14ac:dyDescent="0.25">
      <c r="A116" s="241">
        <f>ROW(A116)-10</f>
        <v>106</v>
      </c>
      <c r="B116" s="335" t="s">
        <v>4085</v>
      </c>
      <c r="C116" s="241">
        <v>26</v>
      </c>
      <c r="D116" s="242" t="str">
        <f>VLOOKUP(B116, Расстояния!B:K, 10, 0)</f>
        <v>осн.</v>
      </c>
      <c r="E116" s="242" t="str">
        <f>VLOOKUP(B116, Расстояния!B:F, 5, 0)</f>
        <v>нет</v>
      </c>
      <c r="F116" s="290" t="s">
        <v>4091</v>
      </c>
      <c r="G116" s="305">
        <v>46104.662499999999</v>
      </c>
      <c r="H116" s="345">
        <v>46105.40625</v>
      </c>
      <c r="I116" s="345">
        <v>46105.506944444445</v>
      </c>
      <c r="J116" s="304" t="s">
        <v>4046</v>
      </c>
      <c r="K116" s="306"/>
      <c r="L116" s="292" t="s">
        <v>208</v>
      </c>
      <c r="M116" s="241" t="str">
        <f>VLOOKUP(L116, Работы!A:B, 2, 0)</f>
        <v>Работы по осмотру и проверке работоспособности нового Объекта. Оплата Работ по Драйв-тесту, выполняемых в ходе осмотра и проверки работоспособности нового Объекта, осуществляется отдельно в соответствии с условиями пункта 9 настоящего Приложения №10.3</v>
      </c>
      <c r="N116" s="330" t="s">
        <v>4248</v>
      </c>
      <c r="O116" s="298">
        <v>1</v>
      </c>
      <c r="P116" s="248">
        <f>IF(OR(L116="3.3.1.", L116="3.3.2.", L116="3.3.3.", L116="3.1.1.", L116="3.1.2.", L116="3.4.1.", L116="3.4.2."), 0, VLOOKUP(L116, Работы!$A$3:$D$184, 4, 0))</f>
        <v>3221</v>
      </c>
      <c r="Q116" s="243"/>
      <c r="R116" s="293"/>
      <c r="S116" s="293"/>
      <c r="T116" s="244">
        <f>IF(OR(L116="3.3.1.", L116="3.3.2.", L116="3.3.3."), VLOOKUP(L116, Работы!$A$3:$D$184, 4, 0), 0)</f>
        <v>0</v>
      </c>
      <c r="U116" s="246">
        <f>IF(OR(L116="3.1.1."), VLOOKUP(L116, Работы!$A$3:$D$184, 4, 0), 0)</f>
        <v>0</v>
      </c>
      <c r="V116" s="246">
        <f>IF(OR(L116="3.1.2."), VLOOKUP(L116, Работы!$A$3:$D$184, 4, 0), 0)</f>
        <v>0</v>
      </c>
      <c r="W116" s="294"/>
      <c r="X116" s="294"/>
      <c r="Y116" s="247">
        <f>IF(OR(L116="3.2.1.", L116="3.2.2."), VLOOKUP(L116, Работы!$A$3:$D$184, 4, 0), 0)</f>
        <v>0</v>
      </c>
      <c r="Z116" s="247">
        <f>IF(OR(L116="3.4.1.", L116="3.4.2."), VLOOKUP(L116, Работы!$A$3:$D$184, 4, 0), 0)</f>
        <v>0</v>
      </c>
      <c r="AA116" s="68">
        <f>P116*O116+Q116*T116+R116*T116+S116*T116+U116+V116+W116*Y116+X116*Y116+Z116</f>
        <v>3221</v>
      </c>
      <c r="AB116" s="295"/>
      <c r="AC116" s="296"/>
      <c r="AD116" s="296"/>
      <c r="AE116" s="69">
        <f>AC116*AD116</f>
        <v>0</v>
      </c>
      <c r="AF116" s="71">
        <f>C116*Работы!$D$180</f>
        <v>1399.06</v>
      </c>
      <c r="AG116" s="68">
        <f>AA116+AE116+AF116+AL116+AM116</f>
        <v>4620.0599999999995</v>
      </c>
      <c r="AH116" s="72"/>
      <c r="AI116" s="73"/>
      <c r="AJ116" s="245">
        <f>AG116-AA116*AI116</f>
        <v>4620.0599999999995</v>
      </c>
      <c r="AK116" s="301"/>
      <c r="AL116" s="302">
        <f>IF(OR(E116="да"), 4040, 0)</f>
        <v>0</v>
      </c>
      <c r="AM116" s="365">
        <f>IF(OR(D116="доп."), AA116*0.1, 0)</f>
        <v>0</v>
      </c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  <c r="CO116" s="34"/>
      <c r="CP116" s="34"/>
      <c r="CQ116" s="34"/>
    </row>
    <row r="117" spans="1:95" s="46" customFormat="1" ht="114.75" x14ac:dyDescent="0.25">
      <c r="A117" s="241">
        <f>ROW(A117)-10</f>
        <v>107</v>
      </c>
      <c r="B117" s="335" t="s">
        <v>4085</v>
      </c>
      <c r="C117" s="241">
        <v>0</v>
      </c>
      <c r="D117" s="242" t="str">
        <f>VLOOKUP(B117, Расстояния!B:K, 10, 0)</f>
        <v>осн.</v>
      </c>
      <c r="E117" s="242" t="str">
        <f>VLOOKUP(B117, Расстояния!B:F, 5, 0)</f>
        <v>нет</v>
      </c>
      <c r="F117" s="290" t="s">
        <v>4092</v>
      </c>
      <c r="G117" s="305">
        <v>46105.417361111111</v>
      </c>
      <c r="H117" s="305">
        <v>46105.417361111111</v>
      </c>
      <c r="I117" s="345">
        <v>46105.506944444445</v>
      </c>
      <c r="J117" s="304" t="s">
        <v>4046</v>
      </c>
      <c r="K117" s="306"/>
      <c r="L117" s="292" t="s">
        <v>198</v>
      </c>
      <c r="M117" s="241" t="str">
        <f>VLOOKUP(L117, Работы!A:B, 2, 0)</f>
        <v>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</v>
      </c>
      <c r="N117" s="346" t="s">
        <v>4245</v>
      </c>
      <c r="O117" s="298">
        <v>1</v>
      </c>
      <c r="P117" s="248">
        <f>IF(OR(L117="3.3.1.", L117="3.3.2.", L117="3.3.3.", L117="3.1.1.", L117="3.1.2.", L117="3.4.1.", L117="3.4.2."), 0, VLOOKUP(L117, Работы!$A$3:$D$184, 4, 0))</f>
        <v>735</v>
      </c>
      <c r="Q117" s="243"/>
      <c r="R117" s="293"/>
      <c r="S117" s="293"/>
      <c r="T117" s="244">
        <f>IF(OR(L117="3.3.1.", L117="3.3.2.", L117="3.3.3."), VLOOKUP(L117, Работы!$A$3:$D$184, 4, 0), 0)</f>
        <v>0</v>
      </c>
      <c r="U117" s="246">
        <f>IF(OR(L117="3.1.1."), VLOOKUP(L117, Работы!$A$3:$D$184, 4, 0), 0)</f>
        <v>0</v>
      </c>
      <c r="V117" s="246">
        <f>IF(OR(L117="3.1.2."), VLOOKUP(L117, Работы!$A$3:$D$184, 4, 0), 0)</f>
        <v>0</v>
      </c>
      <c r="W117" s="294"/>
      <c r="X117" s="294"/>
      <c r="Y117" s="247">
        <f>IF(OR(L117="3.2.1.", L117="3.2.2."), VLOOKUP(L117, Работы!$A$3:$D$184, 4, 0), 0)</f>
        <v>0</v>
      </c>
      <c r="Z117" s="247">
        <f>IF(OR(L117="3.4.1.", L117="3.4.2."), VLOOKUP(L117, Работы!$A$3:$D$184, 4, 0), 0)</f>
        <v>0</v>
      </c>
      <c r="AA117" s="68">
        <f>P117*O117+Q117*T117+R117*T117+S117*T117+U117+V117+W117*Y117+X117*Y117+Z117</f>
        <v>735</v>
      </c>
      <c r="AB117" s="295"/>
      <c r="AC117" s="296"/>
      <c r="AD117" s="296"/>
      <c r="AE117" s="69">
        <f>AC117*AD117</f>
        <v>0</v>
      </c>
      <c r="AF117" s="71">
        <f>C117*Работы!$D$180</f>
        <v>0</v>
      </c>
      <c r="AG117" s="68">
        <f>AA117+AE117+AF117+AL117+AM117</f>
        <v>735</v>
      </c>
      <c r="AH117" s="72"/>
      <c r="AI117" s="73"/>
      <c r="AJ117" s="245">
        <f>AG117-AA117*AI117</f>
        <v>735</v>
      </c>
      <c r="AK117" s="301"/>
      <c r="AL117" s="302">
        <f>IF(OR(E117="да"), 4040, 0)</f>
        <v>0</v>
      </c>
      <c r="AM117" s="365">
        <f>IF(OR(D117="доп."), AA117*0.1, 0)</f>
        <v>0</v>
      </c>
      <c r="AN117" s="1287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  <c r="CO117" s="34"/>
      <c r="CP117" s="34"/>
      <c r="CQ117" s="34"/>
    </row>
    <row r="118" spans="1:95" s="46" customFormat="1" ht="102" x14ac:dyDescent="0.25">
      <c r="A118" s="241">
        <f>ROW(A118)-10</f>
        <v>108</v>
      </c>
      <c r="B118" s="335" t="s">
        <v>4084</v>
      </c>
      <c r="C118" s="329">
        <f>VLOOKUP(B118, Расстояния!B:J, 9, 0)</f>
        <v>45</v>
      </c>
      <c r="D118" s="242" t="str">
        <f>VLOOKUP(B118, Расстояния!B:K, 10, 0)</f>
        <v>осн.</v>
      </c>
      <c r="E118" s="242" t="str">
        <f>VLOOKUP(B118, Расстояния!B:F, 5, 0)</f>
        <v>нет</v>
      </c>
      <c r="F118" s="290" t="s">
        <v>4088</v>
      </c>
      <c r="G118" s="305">
        <v>46104.532638888886</v>
      </c>
      <c r="H118" s="345">
        <v>46104.604861111111</v>
      </c>
      <c r="I118" s="345">
        <v>46104.623611111114</v>
      </c>
      <c r="J118" s="304" t="s">
        <v>4046</v>
      </c>
      <c r="K118" s="332"/>
      <c r="L118" s="250" t="s">
        <v>367</v>
      </c>
      <c r="M118" s="241" t="str">
        <f>VLOOKUP(L118,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18" s="330" t="s">
        <v>3843</v>
      </c>
      <c r="O118" s="298"/>
      <c r="P118" s="248">
        <f>IF(OR(L118="3.3.1.", L118="3.3.2.", L118="3.3.3.", L118="3.1.1.", L118="3.1.2.", L118="3.4.1.", L118="3.4.2."), 0, VLOOKUP(L118, Работы!$A$3:$D$184, 4, 0))</f>
        <v>0</v>
      </c>
      <c r="Q118" s="243">
        <f>ROUNDUP((I118-H118)*24, 0)</f>
        <v>1</v>
      </c>
      <c r="R118" s="293"/>
      <c r="S118" s="293"/>
      <c r="T118" s="244">
        <f>IF(OR(L118="3.3.1.", L118="3.3.2.", L118="3.3.3."), VLOOKUP(L118, Работы!$A$3:$D$184, 4, 0), 0)</f>
        <v>903</v>
      </c>
      <c r="U118" s="246">
        <f>IF(OR(L118="3.1.1."), VLOOKUP(L118, Работы!$A$3:$D$184, 4, 0), 0)</f>
        <v>0</v>
      </c>
      <c r="V118" s="246">
        <f>IF(OR(L118="3.1.2."), VLOOKUP(L118, Работы!$A$3:$D$184, 4, 0), 0)</f>
        <v>0</v>
      </c>
      <c r="W118" s="294"/>
      <c r="X118" s="294"/>
      <c r="Y118" s="247">
        <f>IF(OR(L118="3.2.1.", L118="3.2.2."), VLOOKUP(L118, Работы!$A$3:$D$184, 4, 0), 0)</f>
        <v>0</v>
      </c>
      <c r="Z118" s="247">
        <f>IF(OR(L118="3.4.1.", L118="3.4.2."), VLOOKUP(L118, Работы!$A$3:$D$184, 4, 0), 0)</f>
        <v>0</v>
      </c>
      <c r="AA118" s="68">
        <f>P118*O118+Q118*T118+R118*T118+S118*T118+U118+V118+W118*Y118+X118*Y118+Z118</f>
        <v>903</v>
      </c>
      <c r="AB118" s="295"/>
      <c r="AC118" s="296"/>
      <c r="AD118" s="296"/>
      <c r="AE118" s="69">
        <f>AC118*AD118</f>
        <v>0</v>
      </c>
      <c r="AF118" s="71">
        <f>C118*Работы!$D$180</f>
        <v>2421.4500000000003</v>
      </c>
      <c r="AG118" s="68">
        <f>AA118+AE118+AF118+AL118+AM118</f>
        <v>3324.4500000000003</v>
      </c>
      <c r="AH118" s="72"/>
      <c r="AI118" s="73"/>
      <c r="AJ118" s="245">
        <f>AG118-AA118*AI118</f>
        <v>3324.4500000000003</v>
      </c>
      <c r="AK118" s="251"/>
      <c r="AL118" s="302">
        <f>IF(OR(E118="да"), 4040, 0)</f>
        <v>0</v>
      </c>
      <c r="AM118" s="365">
        <f>IF(OR(D118="доп."), AA118*0.1, 0)</f>
        <v>0</v>
      </c>
      <c r="AN118" s="251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</row>
    <row r="119" spans="1:95" s="46" customFormat="1" ht="114.75" x14ac:dyDescent="0.25">
      <c r="A119" s="241">
        <f>ROW(A119)-10</f>
        <v>109</v>
      </c>
      <c r="B119" s="335" t="s">
        <v>2141</v>
      </c>
      <c r="C119" s="241">
        <f>VLOOKUP(B119, Расстояния!B:J, 9, 0)</f>
        <v>68</v>
      </c>
      <c r="D119" s="242" t="str">
        <f>VLOOKUP(B119, Расстояния!B:K, 10, 0)</f>
        <v>осн.</v>
      </c>
      <c r="E119" s="242" t="str">
        <f>VLOOKUP(B119, Расстояния!B:F, 5, 0)</f>
        <v>нет</v>
      </c>
      <c r="F119" s="290" t="s">
        <v>4166</v>
      </c>
      <c r="G119" s="305">
        <v>46098.607638888891</v>
      </c>
      <c r="H119" s="345">
        <v>46099.379166666666</v>
      </c>
      <c r="I119" s="345">
        <v>46099.405555555553</v>
      </c>
      <c r="J119" s="304" t="s">
        <v>4164</v>
      </c>
      <c r="K119" s="306"/>
      <c r="L119" s="292" t="s">
        <v>198</v>
      </c>
      <c r="M119" s="241" t="str">
        <f>VLOOKUP(L119, Работы!A:B, 2, 0)</f>
        <v>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</v>
      </c>
      <c r="N119" s="330" t="s">
        <v>4264</v>
      </c>
      <c r="O119" s="298">
        <v>1</v>
      </c>
      <c r="P119" s="248">
        <f>IF(OR(L119="3.3.1.", L119="3.3.2.", L119="3.3.3.", L119="3.1.1.", L119="3.1.2.", L119="3.4.1.", L119="3.4.2."), 0, VLOOKUP(L119, Работы!$A$3:$D$184, 4, 0))</f>
        <v>735</v>
      </c>
      <c r="Q119" s="243"/>
      <c r="R119" s="293"/>
      <c r="S119" s="293"/>
      <c r="T119" s="244">
        <f>IF(OR(L119="3.3.1.", L119="3.3.2.", L119="3.3.3."), VLOOKUP(L119, Работы!$A$3:$D$184, 4, 0), 0)</f>
        <v>0</v>
      </c>
      <c r="U119" s="246">
        <f>IF(OR(L119="3.1.1."), VLOOKUP(L119, Работы!$A$3:$D$184, 4, 0), 0)</f>
        <v>0</v>
      </c>
      <c r="V119" s="246">
        <f>IF(OR(L119="3.1.2."), VLOOKUP(L119, Работы!$A$3:$D$184, 4, 0), 0)</f>
        <v>0</v>
      </c>
      <c r="W119" s="294"/>
      <c r="X119" s="294"/>
      <c r="Y119" s="247">
        <f>IF(OR(L119="3.2.1.", L119="3.2.2."), VLOOKUP(L119, Работы!$A$3:$D$184, 4, 0), 0)</f>
        <v>0</v>
      </c>
      <c r="Z119" s="247">
        <f>IF(OR(L119="3.4.1.", L119="3.4.2."), VLOOKUP(L119, Работы!$A$3:$D$184, 4, 0), 0)</f>
        <v>0</v>
      </c>
      <c r="AA119" s="68">
        <f>P119*O119+Q119*T119+R119*T119+S119*T119+U119+V119+W119*Y119+X119*Y119+Z119</f>
        <v>735</v>
      </c>
      <c r="AB119" s="295"/>
      <c r="AC119" s="296"/>
      <c r="AD119" s="296"/>
      <c r="AE119" s="69">
        <f>AC119*AD119</f>
        <v>0</v>
      </c>
      <c r="AF119" s="71">
        <f>C119*Работы!$D$180</f>
        <v>3659.08</v>
      </c>
      <c r="AG119" s="68">
        <f>AA119+AE119+AF119+AL119+AM119</f>
        <v>4394.08</v>
      </c>
      <c r="AH119" s="72"/>
      <c r="AI119" s="73"/>
      <c r="AJ119" s="245">
        <f>AG119-AA119*AI119</f>
        <v>4394.08</v>
      </c>
      <c r="AK119" s="251"/>
      <c r="AL119" s="302">
        <f>IF(OR(E119="да"), 4040, 0)</f>
        <v>0</v>
      </c>
      <c r="AM119" s="365">
        <f>IF(OR(D119="доп."), AA119*0.1, 0)</f>
        <v>0</v>
      </c>
      <c r="AN119" s="1288"/>
      <c r="AO119" s="34"/>
      <c r="AP119" s="34"/>
      <c r="AQ119" s="34"/>
      <c r="AR119" s="34"/>
      <c r="AS119" s="34"/>
    </row>
    <row r="120" spans="1:95" s="46" customFormat="1" ht="51" x14ac:dyDescent="0.25">
      <c r="A120" s="241">
        <f>ROW(A120)-10</f>
        <v>110</v>
      </c>
      <c r="B120" s="335" t="s">
        <v>2141</v>
      </c>
      <c r="C120" s="241">
        <f>VLOOKUP(B120, Расстояния!B:J, 9, 0)</f>
        <v>68</v>
      </c>
      <c r="D120" s="242" t="str">
        <f>VLOOKUP(B120, Расстояния!B:K, 10, 0)</f>
        <v>осн.</v>
      </c>
      <c r="E120" s="242" t="str">
        <f>VLOOKUP(B120, Расстояния!B:F, 5, 0)</f>
        <v>нет</v>
      </c>
      <c r="F120" s="290" t="s">
        <v>4212</v>
      </c>
      <c r="G120" s="305">
        <v>46102.27002314815</v>
      </c>
      <c r="H120" s="345">
        <v>46102.345833333333</v>
      </c>
      <c r="I120" s="345">
        <v>46102.367361111108</v>
      </c>
      <c r="J120" s="303" t="s">
        <v>4207</v>
      </c>
      <c r="K120" s="306"/>
      <c r="L120" s="292" t="s">
        <v>332</v>
      </c>
      <c r="M120" s="241" t="str">
        <f>VLOOKUP(L120, Работы!A:B, 2, 0)</f>
        <v>Стоимость аварийно-восстановительных работ, заявка по которым получена во внерабочее время</v>
      </c>
      <c r="N120" s="346" t="s">
        <v>4261</v>
      </c>
      <c r="O120" s="298"/>
      <c r="P120" s="248">
        <f>IF(OR(L120="3.3.1.", L120="3.3.2.", L120="3.3.3.", L120="3.1.1.", L120="3.1.2.", L120="3.4.1.", L120="3.4.2."), 0, VLOOKUP(L120, Работы!$A$3:$D$184, 4, 0))</f>
        <v>0</v>
      </c>
      <c r="Q120" s="243"/>
      <c r="R120" s="293"/>
      <c r="S120" s="293"/>
      <c r="T120" s="244">
        <f>IF(OR(L120="3.3.1.", L120="3.3.2.", L120="3.3.3."), VLOOKUP(L120, Работы!$A$3:$D$184, 4, 0), 0)</f>
        <v>0</v>
      </c>
      <c r="U120" s="246">
        <f>IF(OR(L120="3.1.1."), VLOOKUP(L120, Работы!$A$3:$D$184, 4, 0), 0)</f>
        <v>0</v>
      </c>
      <c r="V120" s="246">
        <f>IF(OR(L120="3.1.2."), VLOOKUP(L120, Работы!$A$3:$D$184, 4, 0), 0)</f>
        <v>7187</v>
      </c>
      <c r="W120" s="294"/>
      <c r="X120" s="294"/>
      <c r="Y120" s="247">
        <f>IF(OR(L120="3.2.1.", L120="3.2.2."), VLOOKUP(L120, Работы!$A$3:$D$184, 4, 0), 0)</f>
        <v>0</v>
      </c>
      <c r="Z120" s="247">
        <f>IF(OR(L120="3.4.1.", L120="3.4.2."), VLOOKUP(L120, Работы!$A$3:$D$184, 4, 0), 0)</f>
        <v>0</v>
      </c>
      <c r="AA120" s="68">
        <f>P120*O120+Q120*T120+R120*T120+S120*T120+U120+V120+W120*Y120+X120*Y120+Z120</f>
        <v>7187</v>
      </c>
      <c r="AB120" s="295"/>
      <c r="AC120" s="296"/>
      <c r="AD120" s="296"/>
      <c r="AE120" s="69">
        <f>AC120*AD120</f>
        <v>0</v>
      </c>
      <c r="AF120" s="71">
        <f>C120*Работы!$D$180</f>
        <v>3659.08</v>
      </c>
      <c r="AG120" s="68">
        <f>AA120+AE120+AF120+AL120+AM120</f>
        <v>10846.08</v>
      </c>
      <c r="AH120" s="72"/>
      <c r="AI120" s="73"/>
      <c r="AJ120" s="245">
        <f>AG120-AA120*AI120</f>
        <v>10846.08</v>
      </c>
      <c r="AK120" s="301"/>
      <c r="AL120" s="302">
        <f>IF(OR(E120="да"), 4040, 0)</f>
        <v>0</v>
      </c>
      <c r="AM120" s="365">
        <f>IF(OR(D120="доп."), AA120*0.1, 0)</f>
        <v>0</v>
      </c>
      <c r="AN120" s="251"/>
      <c r="AO120" s="34"/>
      <c r="AP120" s="34"/>
      <c r="AQ120" s="34"/>
      <c r="AR120" s="34"/>
      <c r="AS120" s="34"/>
    </row>
    <row r="121" spans="1:95" s="46" customFormat="1" ht="102" x14ac:dyDescent="0.25">
      <c r="A121" s="241">
        <f>ROW(A121)-10</f>
        <v>111</v>
      </c>
      <c r="B121" s="335" t="s">
        <v>2141</v>
      </c>
      <c r="C121" s="241">
        <f>VLOOKUP(B121, Расстояния!B:J, 9, 0)</f>
        <v>68</v>
      </c>
      <c r="D121" s="242" t="str">
        <f>VLOOKUP(B121, Расстояния!B:K, 10, 0)</f>
        <v>осн.</v>
      </c>
      <c r="E121" s="242" t="str">
        <f>VLOOKUP(B121, Расстояния!B:F, 5, 0)</f>
        <v>нет</v>
      </c>
      <c r="F121" s="290" t="s">
        <v>4219</v>
      </c>
      <c r="G121" s="305">
        <v>46106.987835648149</v>
      </c>
      <c r="H121" s="345">
        <v>46106.061111111114</v>
      </c>
      <c r="I121" s="345">
        <v>46106.069444444445</v>
      </c>
      <c r="J121" s="303" t="s">
        <v>4207</v>
      </c>
      <c r="K121" s="306"/>
      <c r="L121" s="250" t="s">
        <v>367</v>
      </c>
      <c r="M121" s="241" t="str">
        <f>VLOOKUP(L121,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21" s="348" t="s">
        <v>3843</v>
      </c>
      <c r="O121" s="298"/>
      <c r="P121" s="248">
        <f>IF(OR(L121="3.3.1.", L121="3.3.2.", L121="3.3.3.", L121="3.1.1.", L121="3.1.2.", L121="3.4.1.", L121="3.4.2."), 0, VLOOKUP(L121, Работы!$A$3:$D$184, 4, 0))</f>
        <v>0</v>
      </c>
      <c r="Q121" s="243">
        <f>ROUNDUP((I121-H121)*24, 0)</f>
        <v>1</v>
      </c>
      <c r="R121" s="293"/>
      <c r="S121" s="293"/>
      <c r="T121" s="244">
        <f>IF(OR(L121="3.3.1.", L121="3.3.2.", L121="3.3.3."), VLOOKUP(L121, Работы!$A$3:$D$184, 4, 0), 0)</f>
        <v>903</v>
      </c>
      <c r="U121" s="246">
        <f>IF(OR(L121="3.1.1."), VLOOKUP(L121, Работы!$A$3:$D$184, 4, 0), 0)</f>
        <v>0</v>
      </c>
      <c r="V121" s="246">
        <f>IF(OR(L121="3.1.2."), VLOOKUP(L121, Работы!$A$3:$D$184, 4, 0), 0)</f>
        <v>0</v>
      </c>
      <c r="W121" s="294"/>
      <c r="X121" s="294"/>
      <c r="Y121" s="247">
        <f>IF(OR(L121="3.2.1.", L121="3.2.2."), VLOOKUP(L121, Работы!$A$3:$D$184, 4, 0), 0)</f>
        <v>0</v>
      </c>
      <c r="Z121" s="247">
        <f>IF(OR(L121="3.4.1.", L121="3.4.2."), VLOOKUP(L121, Работы!$A$3:$D$184, 4, 0), 0)</f>
        <v>0</v>
      </c>
      <c r="AA121" s="68">
        <f>P121*O121+Q121*T121+R121*T121+S121*T121+U121+V121+W121*Y121+X121*Y121+Z121</f>
        <v>903</v>
      </c>
      <c r="AB121" s="295"/>
      <c r="AC121" s="296"/>
      <c r="AD121" s="296"/>
      <c r="AE121" s="69">
        <f>AC121*AD121</f>
        <v>0</v>
      </c>
      <c r="AF121" s="71">
        <f>C121*Работы!$D$180</f>
        <v>3659.08</v>
      </c>
      <c r="AG121" s="68">
        <f>AA121+AE121+AF121+AL121+AM121</f>
        <v>4562.08</v>
      </c>
      <c r="AH121" s="72"/>
      <c r="AI121" s="73"/>
      <c r="AJ121" s="245">
        <f>AG121-AA121*AI121</f>
        <v>4562.08</v>
      </c>
      <c r="AK121" s="301"/>
      <c r="AL121" s="302">
        <f>IF(OR(E121="да"), 4040, 0)</f>
        <v>0</v>
      </c>
      <c r="AM121" s="365">
        <f>IF(OR(D121="доп."), AA121*0.1, 0)</f>
        <v>0</v>
      </c>
      <c r="AN121" s="251"/>
      <c r="AO121" s="34"/>
      <c r="AP121" s="34"/>
      <c r="AQ121" s="34"/>
      <c r="AR121" s="34"/>
      <c r="AS121" s="34"/>
    </row>
    <row r="122" spans="1:95" s="46" customFormat="1" ht="102" x14ac:dyDescent="0.25">
      <c r="A122" s="241">
        <f>ROW(A122)-10</f>
        <v>112</v>
      </c>
      <c r="B122" s="335" t="s">
        <v>2141</v>
      </c>
      <c r="C122" s="241">
        <f>VLOOKUP(B122, Расстояния!B:J, 9, 0)</f>
        <v>68</v>
      </c>
      <c r="D122" s="242" t="str">
        <f>VLOOKUP(B122, Расстояния!B:K, 10, 0)</f>
        <v>осн.</v>
      </c>
      <c r="E122" s="242" t="str">
        <f>VLOOKUP(B122, Расстояния!B:F, 5, 0)</f>
        <v>нет</v>
      </c>
      <c r="F122" s="290" t="s">
        <v>4220</v>
      </c>
      <c r="G122" s="305">
        <v>46107.108159722222</v>
      </c>
      <c r="H122" s="345">
        <v>46107.154861111114</v>
      </c>
      <c r="I122" s="345">
        <v>46107.532638888886</v>
      </c>
      <c r="J122" s="303" t="s">
        <v>4207</v>
      </c>
      <c r="K122" s="306"/>
      <c r="L122" s="250" t="s">
        <v>367</v>
      </c>
      <c r="M122" s="241" t="str">
        <f>VLOOKUP(L122,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22" s="330" t="s">
        <v>3843</v>
      </c>
      <c r="O122" s="298"/>
      <c r="P122" s="248">
        <f>IF(OR(L122="3.3.1.", L122="3.3.2.", L122="3.3.3.", L122="3.1.1.", L122="3.1.2.", L122="3.4.1.", L122="3.4.2."), 0, VLOOKUP(L122, Работы!$A$3:$D$184, 4, 0))</f>
        <v>0</v>
      </c>
      <c r="Q122" s="243">
        <f>ROUNDUP((I122-H122)*24, 0)</f>
        <v>10</v>
      </c>
      <c r="R122" s="293"/>
      <c r="S122" s="293"/>
      <c r="T122" s="244">
        <f>IF(OR(L122="3.3.1.", L122="3.3.2.", L122="3.3.3."), VLOOKUP(L122, Работы!$A$3:$D$184, 4, 0), 0)</f>
        <v>903</v>
      </c>
      <c r="U122" s="246">
        <f>IF(OR(L122="3.1.1."), VLOOKUP(L122, Работы!$A$3:$D$184, 4, 0), 0)</f>
        <v>0</v>
      </c>
      <c r="V122" s="246">
        <f>IF(OR(L122="3.1.2."), VLOOKUP(L122, Работы!$A$3:$D$184, 4, 0), 0)</f>
        <v>0</v>
      </c>
      <c r="W122" s="294"/>
      <c r="X122" s="294"/>
      <c r="Y122" s="247">
        <f>IF(OR(L122="3.2.1.", L122="3.2.2."), VLOOKUP(L122, Работы!$A$3:$D$184, 4, 0), 0)</f>
        <v>0</v>
      </c>
      <c r="Z122" s="247">
        <f>IF(OR(L122="3.4.1.", L122="3.4.2."), VLOOKUP(L122, Работы!$A$3:$D$184, 4, 0), 0)</f>
        <v>0</v>
      </c>
      <c r="AA122" s="68">
        <f>P122*O122+Q122*T122+R122*T122+S122*T122+U122+V122+W122*Y122+X122*Y122+Z122</f>
        <v>9030</v>
      </c>
      <c r="AB122" s="295"/>
      <c r="AC122" s="296"/>
      <c r="AD122" s="296"/>
      <c r="AE122" s="69">
        <f>AC122*AD122</f>
        <v>0</v>
      </c>
      <c r="AF122" s="71">
        <f>C122*Работы!$D$180</f>
        <v>3659.08</v>
      </c>
      <c r="AG122" s="68">
        <f>AA122+AE122+AF122+AL122+AM122</f>
        <v>12689.08</v>
      </c>
      <c r="AH122" s="72"/>
      <c r="AI122" s="73"/>
      <c r="AJ122" s="245">
        <f>AG122-AA122*AI122</f>
        <v>12689.08</v>
      </c>
      <c r="AK122" s="301"/>
      <c r="AL122" s="302">
        <f>IF(OR(E122="да"), 4040, 0)</f>
        <v>0</v>
      </c>
      <c r="AM122" s="365">
        <f>IF(OR(D122="доп."), AA122*0.1, 0)</f>
        <v>0</v>
      </c>
      <c r="AN122" s="1287"/>
      <c r="AO122" s="34"/>
      <c r="AP122" s="34"/>
      <c r="AQ122" s="34"/>
      <c r="AR122" s="34"/>
      <c r="AS122" s="34"/>
      <c r="AT122" s="370"/>
      <c r="AU122" s="370"/>
      <c r="AV122" s="370"/>
      <c r="AW122" s="370"/>
      <c r="AX122" s="370"/>
      <c r="AY122" s="370"/>
      <c r="AZ122" s="370"/>
      <c r="BA122" s="370"/>
      <c r="BB122" s="370"/>
      <c r="BC122" s="370"/>
      <c r="BD122" s="370"/>
      <c r="BE122" s="370"/>
      <c r="BF122" s="370"/>
      <c r="BG122" s="370"/>
      <c r="BH122" s="370"/>
      <c r="BI122" s="370"/>
      <c r="BJ122" s="370"/>
      <c r="BK122" s="370"/>
      <c r="BL122" s="370"/>
      <c r="BM122" s="370"/>
      <c r="BN122" s="370"/>
      <c r="BO122" s="370"/>
      <c r="BP122" s="370"/>
      <c r="BQ122" s="370"/>
      <c r="BR122" s="370"/>
      <c r="BS122" s="370"/>
      <c r="BT122" s="370"/>
      <c r="BU122" s="370"/>
      <c r="BV122" s="370"/>
      <c r="BW122" s="370"/>
      <c r="BX122" s="370"/>
      <c r="BY122" s="370"/>
      <c r="BZ122" s="370"/>
      <c r="CA122" s="370"/>
      <c r="CB122" s="370"/>
      <c r="CC122" s="370"/>
      <c r="CD122" s="370"/>
      <c r="CE122" s="370"/>
      <c r="CF122" s="370"/>
      <c r="CG122" s="370"/>
      <c r="CH122" s="370"/>
      <c r="CI122" s="370"/>
      <c r="CJ122" s="370"/>
      <c r="CK122" s="370"/>
      <c r="CL122" s="370"/>
      <c r="CM122" s="370"/>
      <c r="CN122" s="370"/>
      <c r="CO122" s="370"/>
      <c r="CP122" s="370"/>
      <c r="CQ122" s="370"/>
    </row>
    <row r="123" spans="1:95" s="46" customFormat="1" ht="51" x14ac:dyDescent="0.25">
      <c r="A123" s="241">
        <f>ROW(A123)-10</f>
        <v>113</v>
      </c>
      <c r="B123" s="335" t="s">
        <v>2141</v>
      </c>
      <c r="C123" s="241">
        <f>VLOOKUP(B123, Расстояния!B:J, 9, 0)</f>
        <v>68</v>
      </c>
      <c r="D123" s="242" t="str">
        <f>VLOOKUP(B123, Расстояния!B:K, 10, 0)</f>
        <v>осн.</v>
      </c>
      <c r="E123" s="242" t="str">
        <f>VLOOKUP(B123, Расстояния!B:F, 5, 0)</f>
        <v>нет</v>
      </c>
      <c r="F123" s="290" t="s">
        <v>4224</v>
      </c>
      <c r="G123" s="305">
        <v>46108.587199074071</v>
      </c>
      <c r="H123" s="345">
        <v>46108.652777777781</v>
      </c>
      <c r="I123" s="345">
        <v>46108.686111111114</v>
      </c>
      <c r="J123" s="303" t="s">
        <v>4207</v>
      </c>
      <c r="K123" s="306"/>
      <c r="L123" s="340" t="s">
        <v>321</v>
      </c>
      <c r="M123" s="241" t="str">
        <f>VLOOKUP(L123, Работы!A:B, 2, 0)</f>
        <v>Стоимость аварийно-восстановительных работ, заявка по которым получена в течение рабочего времени</v>
      </c>
      <c r="N123" s="347" t="s">
        <v>4261</v>
      </c>
      <c r="O123" s="298"/>
      <c r="P123" s="248">
        <f>IF(OR(L123="3.3.1.", L123="3.3.2.", L123="3.3.3.", L123="3.1.1.", L123="3.1.2.", L123="3.4.1.", L123="3.4.2."), 0, VLOOKUP(L123, Работы!$A$3:$D$184, 4, 0))</f>
        <v>0</v>
      </c>
      <c r="Q123" s="243"/>
      <c r="R123" s="293"/>
      <c r="S123" s="293"/>
      <c r="T123" s="244">
        <f>IF(OR(L123="3.3.1.", L123="3.3.2.", L123="3.3.3."), VLOOKUP(L123, Работы!$A$3:$D$184, 4, 0), 0)</f>
        <v>0</v>
      </c>
      <c r="U123" s="246">
        <f>IF(OR(L123="3.1.1."), VLOOKUP(L123, Работы!$A$3:$D$184, 4, 0), 0)</f>
        <v>3956</v>
      </c>
      <c r="V123" s="246">
        <f>IF(OR(L123="3.1.2."), VLOOKUP(L123, Работы!$A$3:$D$184, 4, 0), 0)</f>
        <v>0</v>
      </c>
      <c r="W123" s="294"/>
      <c r="X123" s="294"/>
      <c r="Y123" s="247">
        <f>IF(OR(L123="3.2.1.", L123="3.2.2."), VLOOKUP(L123, Работы!$A$3:$D$184, 4, 0), 0)</f>
        <v>0</v>
      </c>
      <c r="Z123" s="247">
        <f>IF(OR(L123="3.4.1.", L123="3.4.2."), VLOOKUP(L123, Работы!$A$3:$D$184, 4, 0), 0)</f>
        <v>0</v>
      </c>
      <c r="AA123" s="68">
        <f>P123*O123+Q123*T123+R123*T123+S123*T123+U123+V123+W123*Y123+X123*Y123+Z123</f>
        <v>3956</v>
      </c>
      <c r="AB123" s="295"/>
      <c r="AC123" s="296"/>
      <c r="AD123" s="296"/>
      <c r="AE123" s="69">
        <f>AC123*AD123</f>
        <v>0</v>
      </c>
      <c r="AF123" s="71">
        <f>C123*Работы!$D$180</f>
        <v>3659.08</v>
      </c>
      <c r="AG123" s="68">
        <f>AA123+AE123+AF123+AL123+AM123</f>
        <v>7615.08</v>
      </c>
      <c r="AH123" s="72"/>
      <c r="AI123" s="73"/>
      <c r="AJ123" s="245">
        <f>AG123-AA123*AI123</f>
        <v>7615.08</v>
      </c>
      <c r="AK123" s="301"/>
      <c r="AL123" s="302">
        <f>IF(OR(E123="да"), 4040, 0)</f>
        <v>0</v>
      </c>
      <c r="AM123" s="365">
        <f>IF(OR(D123="доп."), AA123*0.1, 0)</f>
        <v>0</v>
      </c>
      <c r="AN123" s="1287"/>
      <c r="AO123" s="34"/>
      <c r="AP123" s="34"/>
      <c r="AQ123" s="34"/>
      <c r="AR123" s="34"/>
      <c r="AS123" s="34"/>
      <c r="AT123" s="370"/>
      <c r="AU123" s="370"/>
      <c r="AV123" s="370"/>
      <c r="AW123" s="370"/>
      <c r="AX123" s="370"/>
      <c r="AY123" s="370"/>
      <c r="AZ123" s="370"/>
      <c r="BA123" s="370"/>
      <c r="BB123" s="370"/>
      <c r="BC123" s="370"/>
      <c r="BD123" s="370"/>
      <c r="BE123" s="370"/>
      <c r="BF123" s="370"/>
      <c r="BG123" s="370"/>
      <c r="BH123" s="370"/>
      <c r="BI123" s="370"/>
      <c r="BJ123" s="370"/>
      <c r="BK123" s="370"/>
      <c r="BL123" s="370"/>
      <c r="BM123" s="370"/>
      <c r="BN123" s="370"/>
      <c r="BO123" s="370"/>
      <c r="BP123" s="370"/>
      <c r="BQ123" s="370"/>
      <c r="BR123" s="370"/>
      <c r="BS123" s="370"/>
      <c r="BT123" s="370"/>
      <c r="BU123" s="370"/>
      <c r="BV123" s="370"/>
      <c r="BW123" s="370"/>
      <c r="BX123" s="370"/>
      <c r="BY123" s="370"/>
      <c r="BZ123" s="370"/>
      <c r="CA123" s="370"/>
      <c r="CB123" s="370"/>
      <c r="CC123" s="370"/>
      <c r="CD123" s="370"/>
      <c r="CE123" s="370"/>
      <c r="CF123" s="370"/>
      <c r="CG123" s="370"/>
      <c r="CH123" s="370"/>
      <c r="CI123" s="370"/>
      <c r="CJ123" s="370"/>
      <c r="CK123" s="370"/>
      <c r="CL123" s="370"/>
      <c r="CM123" s="370"/>
      <c r="CN123" s="370"/>
      <c r="CO123" s="370"/>
      <c r="CP123" s="370"/>
      <c r="CQ123" s="370"/>
    </row>
    <row r="124" spans="1:95" s="46" customFormat="1" ht="102" x14ac:dyDescent="0.25">
      <c r="A124" s="241">
        <f>ROW(A124)-10</f>
        <v>114</v>
      </c>
      <c r="B124" s="335" t="s">
        <v>606</v>
      </c>
      <c r="C124" s="241">
        <f>VLOOKUP(B124, Расстояния!B:J, 9, 0)</f>
        <v>43</v>
      </c>
      <c r="D124" s="242" t="str">
        <f>VLOOKUP(B124, Расстояния!B:K, 10, 0)</f>
        <v>осн.</v>
      </c>
      <c r="E124" s="242" t="str">
        <f>VLOOKUP(B124, Расстояния!B:F, 5, 0)</f>
        <v>нет</v>
      </c>
      <c r="F124" s="290" t="s">
        <v>4108</v>
      </c>
      <c r="G124" s="305">
        <v>46098.512499999997</v>
      </c>
      <c r="H124" s="305">
        <v>46098.57708333333</v>
      </c>
      <c r="I124" s="305">
        <v>46098.753472222219</v>
      </c>
      <c r="J124" s="303" t="s">
        <v>4043</v>
      </c>
      <c r="K124" s="306"/>
      <c r="L124" s="250" t="s">
        <v>367</v>
      </c>
      <c r="M124" s="241" t="str">
        <f>VLOOKUP(L124,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24" s="330" t="s">
        <v>3843</v>
      </c>
      <c r="O124" s="298"/>
      <c r="P124" s="248">
        <f>IF(OR(L124="3.3.1.", L124="3.3.2.", L124="3.3.3.", L124="3.1.1.", L124="3.1.2.", L124="3.4.1.", L124="3.4.2."), 0, VLOOKUP(L124, Работы!$A$3:$D$184, 4, 0))</f>
        <v>0</v>
      </c>
      <c r="Q124" s="243">
        <f>ROUNDUP((I124-H124)*24, 0)</f>
        <v>5</v>
      </c>
      <c r="R124" s="293"/>
      <c r="S124" s="293"/>
      <c r="T124" s="244">
        <f>IF(OR(L124="3.3.1.", L124="3.3.2.", L124="3.3.3."), VLOOKUP(L124, Работы!$A$3:$D$184, 4, 0), 0)</f>
        <v>903</v>
      </c>
      <c r="U124" s="246">
        <f>IF(OR(L124="3.1.1."), VLOOKUP(L124, Работы!$A$3:$D$184, 4, 0), 0)</f>
        <v>0</v>
      </c>
      <c r="V124" s="246">
        <f>IF(OR(L124="3.1.2."), VLOOKUP(L124, Работы!$A$3:$D$184, 4, 0), 0)</f>
        <v>0</v>
      </c>
      <c r="W124" s="294"/>
      <c r="X124" s="294"/>
      <c r="Y124" s="247">
        <f>IF(OR(L124="3.2.1.", L124="3.2.2."), VLOOKUP(L124, Работы!$A$3:$D$184, 4, 0), 0)</f>
        <v>0</v>
      </c>
      <c r="Z124" s="247">
        <f>IF(OR(L124="3.4.1.", L124="3.4.2."), VLOOKUP(L124, Работы!$A$3:$D$184, 4, 0), 0)</f>
        <v>0</v>
      </c>
      <c r="AA124" s="68">
        <f>P124*O124+Q124*T124+R124*T124+S124*T124+U124+V124+W124*Y124+X124*Y124+Z124</f>
        <v>4515</v>
      </c>
      <c r="AB124" s="295"/>
      <c r="AC124" s="296"/>
      <c r="AD124" s="296"/>
      <c r="AE124" s="69">
        <f>AC124*AD124</f>
        <v>0</v>
      </c>
      <c r="AF124" s="71">
        <f>C124*Работы!$D$180</f>
        <v>2313.83</v>
      </c>
      <c r="AG124" s="68">
        <f>AA124+AE124+AF124+AL124+AM124</f>
        <v>6828.83</v>
      </c>
      <c r="AH124" s="72"/>
      <c r="AI124" s="73"/>
      <c r="AJ124" s="245">
        <f>AG124-AA124*AI124</f>
        <v>6828.83</v>
      </c>
      <c r="AK124" s="251"/>
      <c r="AL124" s="302">
        <f>IF(OR(E124="да"), 4040, 0)</f>
        <v>0</v>
      </c>
      <c r="AM124" s="365">
        <f>IF(OR(D124="доп."), AA124*0.1, 0)</f>
        <v>0</v>
      </c>
      <c r="AN124" s="251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O124" s="34"/>
      <c r="CP124" s="34"/>
      <c r="CQ124" s="34"/>
    </row>
    <row r="125" spans="1:95" s="46" customFormat="1" ht="38.25" x14ac:dyDescent="0.25">
      <c r="A125" s="241">
        <f>ROW(A125)-10</f>
        <v>115</v>
      </c>
      <c r="B125" s="335" t="s">
        <v>606</v>
      </c>
      <c r="C125" s="241">
        <v>0</v>
      </c>
      <c r="D125" s="242" t="str">
        <f>VLOOKUP(B125, Расстояния!B:K, 10, 0)</f>
        <v>осн.</v>
      </c>
      <c r="E125" s="242" t="str">
        <f>VLOOKUP(B125, Расстояния!B:F, 5, 0)</f>
        <v>нет</v>
      </c>
      <c r="F125" s="290"/>
      <c r="G125" s="305"/>
      <c r="H125" s="305">
        <v>46098.665972222225</v>
      </c>
      <c r="I125" s="305">
        <v>46098.753472222219</v>
      </c>
      <c r="J125" s="303" t="s">
        <v>4043</v>
      </c>
      <c r="K125" s="306"/>
      <c r="L125" s="250" t="s">
        <v>296</v>
      </c>
      <c r="M125" s="241" t="str">
        <f>VLOOKUP(L125, Работы!A:B, 2, 0)</f>
        <v>Техническое обслуживание БС</v>
      </c>
      <c r="N125" s="330" t="s">
        <v>298</v>
      </c>
      <c r="O125" s="298">
        <v>1</v>
      </c>
      <c r="P125" s="248">
        <f>IF(OR(L125="3.3.1.", L125="3.3.2.", L125="3.3.3.", L125="3.1.1.", L125="3.1.2.", L125="3.4.1.", L125="3.4.2."), 0, VLOOKUP(L125, Работы!$A$3:$D$184, 4, 0))</f>
        <v>4143</v>
      </c>
      <c r="Q125" s="243"/>
      <c r="R125" s="293"/>
      <c r="S125" s="293"/>
      <c r="T125" s="244">
        <f>IF(OR(L125="3.3.1.", L125="3.3.2.", L125="3.3.3."), VLOOKUP(L125, Работы!$A$3:$D$184, 4, 0), 0)</f>
        <v>0</v>
      </c>
      <c r="U125" s="246">
        <f>IF(OR(L125="3.1.1."), VLOOKUP(L125, Работы!$A$3:$D$184, 4, 0), 0)</f>
        <v>0</v>
      </c>
      <c r="V125" s="246">
        <f>IF(OR(L125="3.1.2."), VLOOKUP(L125, Работы!$A$3:$D$184, 4, 0), 0)</f>
        <v>0</v>
      </c>
      <c r="W125" s="294"/>
      <c r="X125" s="294"/>
      <c r="Y125" s="247">
        <f>IF(OR(L125="3.2.1.", L125="3.2.2."), VLOOKUP(L125, Работы!$A$3:$D$184, 4, 0), 0)</f>
        <v>0</v>
      </c>
      <c r="Z125" s="247">
        <f>IF(OR(L125="3.4.1.", L125="3.4.2."), VLOOKUP(L125, Работы!$A$3:$D$184, 4, 0), 0)</f>
        <v>0</v>
      </c>
      <c r="AA125" s="68">
        <f>P125*O125+Q125*T125+R125*T125+S125*T125+U125+V125+W125*Y125+X125*Y125+Z125</f>
        <v>4143</v>
      </c>
      <c r="AB125" s="295"/>
      <c r="AC125" s="296"/>
      <c r="AD125" s="296"/>
      <c r="AE125" s="69">
        <f>AC125*AD125</f>
        <v>0</v>
      </c>
      <c r="AF125" s="71">
        <f>C125*Работы!$D$180</f>
        <v>0</v>
      </c>
      <c r="AG125" s="68">
        <f>AA125+AE125+AF125+AL125+AM125</f>
        <v>4143</v>
      </c>
      <c r="AH125" s="72"/>
      <c r="AI125" s="73"/>
      <c r="AJ125" s="245">
        <f>AG125-AA125*AI125</f>
        <v>4143</v>
      </c>
      <c r="AK125" s="251"/>
      <c r="AL125" s="302">
        <f>IF(OR(E125="да"), 4040, 0)</f>
        <v>0</v>
      </c>
      <c r="AM125" s="365">
        <f>IF(OR(D125="доп."), AA125*0.1, 0)</f>
        <v>0</v>
      </c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  <c r="CO125" s="34"/>
      <c r="CP125" s="34"/>
      <c r="CQ125" s="34"/>
    </row>
    <row r="126" spans="1:95" s="46" customFormat="1" ht="102" x14ac:dyDescent="0.25">
      <c r="A126" s="241">
        <f>ROW(A126)-10</f>
        <v>116</v>
      </c>
      <c r="B126" s="360" t="s">
        <v>3550</v>
      </c>
      <c r="C126" s="241">
        <f>VLOOKUP(B126, Расстояния!B:J, 9, 0)</f>
        <v>72</v>
      </c>
      <c r="D126" s="242" t="str">
        <f>VLOOKUP(B126, Расстояния!B:K, 10, 0)</f>
        <v>осн.</v>
      </c>
      <c r="E126" s="242" t="str">
        <f>VLOOKUP(B126, Расстояния!B:F, 5, 0)</f>
        <v>нет</v>
      </c>
      <c r="F126" s="328" t="s">
        <v>4225</v>
      </c>
      <c r="G126" s="305">
        <v>46108.71974537037</v>
      </c>
      <c r="H126" s="345">
        <v>46108.780555555553</v>
      </c>
      <c r="I126" s="345">
        <v>46108.802777777775</v>
      </c>
      <c r="J126" s="303" t="s">
        <v>4207</v>
      </c>
      <c r="K126" s="306"/>
      <c r="L126" s="250" t="s">
        <v>367</v>
      </c>
      <c r="M126" s="241" t="str">
        <f>VLOOKUP(L126,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26" s="330" t="s">
        <v>3843</v>
      </c>
      <c r="O126" s="298"/>
      <c r="P126" s="248">
        <f>IF(OR(L126="3.3.1.", L126="3.3.2.", L126="3.3.3.", L126="3.1.1.", L126="3.1.2.", L126="3.4.1.", L126="3.4.2."), 0, VLOOKUP(L126, Работы!$A$3:$D$184, 4, 0))</f>
        <v>0</v>
      </c>
      <c r="Q126" s="243">
        <f>ROUNDUP((I126-H126)*24, 0)</f>
        <v>1</v>
      </c>
      <c r="R126" s="293"/>
      <c r="S126" s="293"/>
      <c r="T126" s="244">
        <f>IF(OR(L126="3.3.1.", L126="3.3.2.", L126="3.3.3."), VLOOKUP(L126, Работы!$A$3:$D$184, 4, 0), 0)</f>
        <v>903</v>
      </c>
      <c r="U126" s="246">
        <f>IF(OR(L126="3.1.1."), VLOOKUP(L126, Работы!$A$3:$D$184, 4, 0), 0)</f>
        <v>0</v>
      </c>
      <c r="V126" s="246">
        <f>IF(OR(L126="3.1.2."), VLOOKUP(L126, Работы!$A$3:$D$184, 4, 0), 0)</f>
        <v>0</v>
      </c>
      <c r="W126" s="294"/>
      <c r="X126" s="294"/>
      <c r="Y126" s="247">
        <f>IF(OR(L126="3.2.1.", L126="3.2.2."), VLOOKUP(L126, Работы!$A$3:$D$184, 4, 0), 0)</f>
        <v>0</v>
      </c>
      <c r="Z126" s="247">
        <f>IF(OR(L126="3.4.1.", L126="3.4.2."), VLOOKUP(L126, Работы!$A$3:$D$184, 4, 0), 0)</f>
        <v>0</v>
      </c>
      <c r="AA126" s="68">
        <f>P126*O126+Q126*T126+R126*T126+S126*T126+U126+V126+W126*Y126+X126*Y126+Z126</f>
        <v>903</v>
      </c>
      <c r="AB126" s="295"/>
      <c r="AC126" s="296"/>
      <c r="AD126" s="296"/>
      <c r="AE126" s="69">
        <f>AC126*AD126</f>
        <v>0</v>
      </c>
      <c r="AF126" s="71">
        <f>C126*Работы!$D$180</f>
        <v>3874.32</v>
      </c>
      <c r="AG126" s="68">
        <f>AA126+AE126+AF126+AL126+AM126</f>
        <v>4777.32</v>
      </c>
      <c r="AH126" s="72"/>
      <c r="AI126" s="73"/>
      <c r="AJ126" s="245">
        <f>AG126-AA126*AI126</f>
        <v>4777.32</v>
      </c>
      <c r="AK126" s="251"/>
      <c r="AL126" s="302">
        <f>IF(OR(E126="да"), 4040, 0)</f>
        <v>0</v>
      </c>
      <c r="AM126" s="365">
        <f>IF(OR(D126="доп."), AA126*0.1, 0)</f>
        <v>0</v>
      </c>
      <c r="AN126" s="1287"/>
      <c r="AO126" s="34"/>
      <c r="AP126" s="34"/>
      <c r="AQ126" s="34"/>
      <c r="AR126" s="34"/>
      <c r="AS126" s="34"/>
      <c r="AT126" s="370"/>
      <c r="AU126" s="370"/>
      <c r="AV126" s="370"/>
      <c r="AW126" s="370"/>
      <c r="AX126" s="370"/>
      <c r="AY126" s="370"/>
      <c r="AZ126" s="370"/>
      <c r="BA126" s="370"/>
      <c r="BB126" s="370"/>
      <c r="BC126" s="370"/>
      <c r="BD126" s="370"/>
      <c r="BE126" s="370"/>
      <c r="BF126" s="370"/>
      <c r="BG126" s="370"/>
      <c r="BH126" s="370"/>
      <c r="BI126" s="370"/>
      <c r="BJ126" s="370"/>
      <c r="BK126" s="370"/>
      <c r="BL126" s="370"/>
      <c r="BM126" s="370"/>
      <c r="BN126" s="370"/>
      <c r="BO126" s="370"/>
      <c r="BP126" s="370"/>
      <c r="BQ126" s="370"/>
      <c r="BR126" s="370"/>
      <c r="BS126" s="370"/>
      <c r="BT126" s="370"/>
      <c r="BU126" s="370"/>
      <c r="BV126" s="370"/>
      <c r="BW126" s="370"/>
      <c r="BX126" s="370"/>
      <c r="BY126" s="370"/>
      <c r="BZ126" s="370"/>
      <c r="CA126" s="370"/>
      <c r="CB126" s="370"/>
      <c r="CC126" s="370"/>
      <c r="CD126" s="370"/>
      <c r="CE126" s="370"/>
      <c r="CF126" s="370"/>
      <c r="CG126" s="370"/>
      <c r="CH126" s="370"/>
      <c r="CI126" s="370"/>
      <c r="CJ126" s="370"/>
      <c r="CK126" s="370"/>
      <c r="CL126" s="370"/>
      <c r="CM126" s="370"/>
      <c r="CN126" s="370"/>
      <c r="CO126" s="370"/>
      <c r="CP126" s="370"/>
      <c r="CQ126" s="370"/>
    </row>
    <row r="127" spans="1:95" s="46" customFormat="1" ht="102" x14ac:dyDescent="0.25">
      <c r="A127" s="241">
        <f>ROW(A127)-10</f>
        <v>117</v>
      </c>
      <c r="B127" s="335" t="s">
        <v>1918</v>
      </c>
      <c r="C127" s="241">
        <f>VLOOKUP(B127, Расстояния!B:J, 9, 0)</f>
        <v>69</v>
      </c>
      <c r="D127" s="242" t="str">
        <f>VLOOKUP(B127, Расстояния!B:K, 10, 0)</f>
        <v>осн.</v>
      </c>
      <c r="E127" s="242" t="str">
        <f>VLOOKUP(B127, Расстояния!B:F, 5, 0)</f>
        <v>нет</v>
      </c>
      <c r="F127" s="290" t="s">
        <v>4143</v>
      </c>
      <c r="G127" s="305">
        <v>46100.462500000001</v>
      </c>
      <c r="H127" s="345">
        <v>46100.495138888888</v>
      </c>
      <c r="I127" s="345">
        <v>46100.530555555553</v>
      </c>
      <c r="J127" s="304" t="s">
        <v>3883</v>
      </c>
      <c r="K127" s="306"/>
      <c r="L127" s="292" t="s">
        <v>367</v>
      </c>
      <c r="M127" s="241" t="str">
        <f>VLOOKUP(L127,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27" s="330" t="s">
        <v>3843</v>
      </c>
      <c r="O127" s="298"/>
      <c r="P127" s="248">
        <f>IF(OR(L127="3.3.1.", L127="3.3.2.", L127="3.3.3.", L127="3.1.1.", L127="3.1.2.", L127="3.4.1.", L127="3.4.2."), 0, VLOOKUP(L127, Работы!$A$3:$D$184, 4, 0))</f>
        <v>0</v>
      </c>
      <c r="Q127" s="243">
        <f>ROUNDUP((I127-H127)*24, 0)</f>
        <v>1</v>
      </c>
      <c r="R127" s="293"/>
      <c r="S127" s="293"/>
      <c r="T127" s="244">
        <f>IF(OR(L127="3.3.1.", L127="3.3.2.", L127="3.3.3."), VLOOKUP(L127, Работы!$A$3:$D$184, 4, 0), 0)</f>
        <v>903</v>
      </c>
      <c r="U127" s="246">
        <f>IF(OR(L127="3.1.1."), VLOOKUP(L127, Работы!$A$3:$D$184, 4, 0), 0)</f>
        <v>0</v>
      </c>
      <c r="V127" s="246">
        <f>IF(OR(L127="3.1.2."), VLOOKUP(L127, Работы!$A$3:$D$184, 4, 0), 0)</f>
        <v>0</v>
      </c>
      <c r="W127" s="294"/>
      <c r="X127" s="294"/>
      <c r="Y127" s="247">
        <f>IF(OR(L127="3.2.1.", L127="3.2.2."), VLOOKUP(L127, Работы!$A$3:$D$184, 4, 0), 0)</f>
        <v>0</v>
      </c>
      <c r="Z127" s="247">
        <f>IF(OR(L127="3.4.1.", L127="3.4.2."), VLOOKUP(L127, Работы!$A$3:$D$184, 4, 0), 0)</f>
        <v>0</v>
      </c>
      <c r="AA127" s="68">
        <f>P127*O127+Q127*T127+R127*T127+S127*T127+U127+V127+W127*Y127+X127*Y127+Z127</f>
        <v>903</v>
      </c>
      <c r="AB127" s="295"/>
      <c r="AC127" s="296"/>
      <c r="AD127" s="296"/>
      <c r="AE127" s="69">
        <f>AC127*AD127</f>
        <v>0</v>
      </c>
      <c r="AF127" s="71">
        <f>C127*Работы!$D$180</f>
        <v>3712.8900000000003</v>
      </c>
      <c r="AG127" s="68">
        <f>AA127+AE127+AF127+AL127+AM127</f>
        <v>4615.8900000000003</v>
      </c>
      <c r="AH127" s="72"/>
      <c r="AI127" s="73"/>
      <c r="AJ127" s="245">
        <f>AG127-AA127*AI127</f>
        <v>4615.8900000000003</v>
      </c>
      <c r="AK127" s="251"/>
      <c r="AL127" s="302">
        <f>IF(OR(E127="да"), 4040, 0)</f>
        <v>0</v>
      </c>
      <c r="AM127" s="365">
        <f>IF(OR(D127="доп."), AA127*0.1, 0)</f>
        <v>0</v>
      </c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43"/>
      <c r="BW127" s="43"/>
      <c r="BX127" s="43"/>
      <c r="BY127" s="43"/>
      <c r="BZ127" s="43"/>
      <c r="CA127" s="43"/>
      <c r="CB127" s="43"/>
      <c r="CC127" s="43"/>
      <c r="CD127" s="43"/>
      <c r="CE127" s="43"/>
      <c r="CF127" s="43"/>
      <c r="CG127" s="43"/>
      <c r="CH127" s="43"/>
      <c r="CI127" s="43"/>
      <c r="CJ127" s="43"/>
      <c r="CK127" s="43"/>
      <c r="CL127" s="43"/>
      <c r="CM127" s="43"/>
      <c r="CN127" s="43"/>
      <c r="CO127" s="43"/>
      <c r="CP127" s="43"/>
      <c r="CQ127" s="43"/>
    </row>
    <row r="128" spans="1:95" s="46" customFormat="1" ht="114.75" x14ac:dyDescent="0.25">
      <c r="A128" s="241">
        <f>ROW(A128)-10</f>
        <v>118</v>
      </c>
      <c r="B128" s="335" t="s">
        <v>2391</v>
      </c>
      <c r="C128" s="241">
        <f>VLOOKUP(B128, Расстояния!B:J, 9, 0)</f>
        <v>67</v>
      </c>
      <c r="D128" s="242" t="str">
        <f>VLOOKUP(B128, Расстояния!B:K, 10, 0)</f>
        <v>осн.</v>
      </c>
      <c r="E128" s="242" t="str">
        <f>VLOOKUP(B128, Расстояния!B:F, 5, 0)</f>
        <v>нет</v>
      </c>
      <c r="F128" s="290" t="s">
        <v>4144</v>
      </c>
      <c r="G128" s="305">
        <v>46101.413194444445</v>
      </c>
      <c r="H128" s="345">
        <v>46101.439583333333</v>
      </c>
      <c r="I128" s="345">
        <v>46101.466666666667</v>
      </c>
      <c r="J128" s="304" t="s">
        <v>3883</v>
      </c>
      <c r="K128" s="306"/>
      <c r="L128" s="292" t="s">
        <v>198</v>
      </c>
      <c r="M128" s="241" t="str">
        <f>VLOOKUP(L128, Работы!A:B, 2, 0)</f>
        <v>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</v>
      </c>
      <c r="N128" s="346" t="s">
        <v>4262</v>
      </c>
      <c r="O128" s="298">
        <v>1</v>
      </c>
      <c r="P128" s="248">
        <f>IF(OR(L128="3.3.1.", L128="3.3.2.", L128="3.3.3.", L128="3.1.1.", L128="3.1.2.", L128="3.4.1.", L128="3.4.2."), 0, VLOOKUP(L128, Работы!$A$3:$D$184, 4, 0))</f>
        <v>735</v>
      </c>
      <c r="Q128" s="243"/>
      <c r="R128" s="293"/>
      <c r="S128" s="293"/>
      <c r="T128" s="244">
        <f>IF(OR(L128="3.3.1.", L128="3.3.2.", L128="3.3.3."), VLOOKUP(L128, Работы!$A$3:$D$184, 4, 0), 0)</f>
        <v>0</v>
      </c>
      <c r="U128" s="246">
        <f>IF(OR(L128="3.1.1."), VLOOKUP(L128, Работы!$A$3:$D$184, 4, 0), 0)</f>
        <v>0</v>
      </c>
      <c r="V128" s="246">
        <f>IF(OR(L128="3.1.2."), VLOOKUP(L128, Работы!$A$3:$D$184, 4, 0), 0)</f>
        <v>0</v>
      </c>
      <c r="W128" s="294"/>
      <c r="X128" s="294"/>
      <c r="Y128" s="247">
        <f>IF(OR(L128="3.2.1.", L128="3.2.2."), VLOOKUP(L128, Работы!$A$3:$D$184, 4, 0), 0)</f>
        <v>0</v>
      </c>
      <c r="Z128" s="247">
        <f>IF(OR(L128="3.4.1.", L128="3.4.2."), VLOOKUP(L128, Работы!$A$3:$D$184, 4, 0), 0)</f>
        <v>0</v>
      </c>
      <c r="AA128" s="68">
        <f>P128*O128+Q128*T128+R128*T128+S128*T128+U128+V128+W128*Y128+X128*Y128+Z128</f>
        <v>735</v>
      </c>
      <c r="AB128" s="295"/>
      <c r="AC128" s="296"/>
      <c r="AD128" s="296"/>
      <c r="AE128" s="69">
        <f>AC128*AD128</f>
        <v>0</v>
      </c>
      <c r="AF128" s="71">
        <f>C128*Работы!$D$180</f>
        <v>3605.27</v>
      </c>
      <c r="AG128" s="68">
        <f>AA128+AE128+AF128+AL128+AM128</f>
        <v>4340.2700000000004</v>
      </c>
      <c r="AH128" s="72"/>
      <c r="AI128" s="73"/>
      <c r="AJ128" s="245">
        <f>AG128-AA128*AI128</f>
        <v>4340.2700000000004</v>
      </c>
      <c r="AK128" s="251"/>
      <c r="AL128" s="302">
        <f>IF(OR(E128="да"), 4040, 0)</f>
        <v>0</v>
      </c>
      <c r="AM128" s="365">
        <f>IF(OR(D128="доп."), AA128*0.1, 0)</f>
        <v>0</v>
      </c>
      <c r="AN128" s="251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43"/>
      <c r="BW128" s="43"/>
      <c r="BX128" s="43"/>
      <c r="BY128" s="43"/>
      <c r="BZ128" s="43"/>
      <c r="CA128" s="43"/>
      <c r="CB128" s="43"/>
      <c r="CC128" s="43"/>
      <c r="CD128" s="43"/>
      <c r="CE128" s="43"/>
      <c r="CF128" s="43"/>
      <c r="CG128" s="43"/>
      <c r="CH128" s="43"/>
      <c r="CI128" s="43"/>
      <c r="CJ128" s="43"/>
      <c r="CK128" s="43"/>
      <c r="CL128" s="43"/>
      <c r="CM128" s="43"/>
      <c r="CN128" s="43"/>
      <c r="CO128" s="43"/>
      <c r="CP128" s="43"/>
      <c r="CQ128" s="43"/>
    </row>
    <row r="129" spans="1:95" s="46" customFormat="1" ht="102" x14ac:dyDescent="0.25">
      <c r="A129" s="241">
        <f>ROW(A129)-10</f>
        <v>119</v>
      </c>
      <c r="B129" s="335" t="s">
        <v>1409</v>
      </c>
      <c r="C129" s="241">
        <f>VLOOKUP(B129, Расстояния!B:J, 9, 0)</f>
        <v>94</v>
      </c>
      <c r="D129" s="242" t="str">
        <f>VLOOKUP(B129, Расстояния!B:K, 10, 0)</f>
        <v>осн.</v>
      </c>
      <c r="E129" s="242" t="str">
        <f>VLOOKUP(B129, Расстояния!B:F, 5, 0)</f>
        <v>нет</v>
      </c>
      <c r="F129" s="290" t="s">
        <v>4098</v>
      </c>
      <c r="G129" s="305">
        <v>46107.568749999999</v>
      </c>
      <c r="H129" s="345">
        <v>46107.661805555559</v>
      </c>
      <c r="I129" s="345">
        <v>46107.67083333333</v>
      </c>
      <c r="J129" s="304" t="s">
        <v>4046</v>
      </c>
      <c r="K129" s="306"/>
      <c r="L129" s="250" t="s">
        <v>367</v>
      </c>
      <c r="M129" s="241" t="str">
        <f>VLOOKUP(L129,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29" s="330" t="s">
        <v>3843</v>
      </c>
      <c r="O129" s="298"/>
      <c r="P129" s="248">
        <f>IF(OR(L129="3.3.1.", L129="3.3.2.", L129="3.3.3.", L129="3.1.1.", L129="3.1.2.", L129="3.4.1.", L129="3.4.2."), 0, VLOOKUP(L129, Работы!$A$3:$D$184, 4, 0))</f>
        <v>0</v>
      </c>
      <c r="Q129" s="243">
        <f>ROUNDUP((I129-H129)*24, 0)</f>
        <v>1</v>
      </c>
      <c r="R129" s="293"/>
      <c r="S129" s="293"/>
      <c r="T129" s="244">
        <f>IF(OR(L129="3.3.1.", L129="3.3.2.", L129="3.3.3."), VLOOKUP(L129, Работы!$A$3:$D$184, 4, 0), 0)</f>
        <v>903</v>
      </c>
      <c r="U129" s="246">
        <f>IF(OR(L129="3.1.1."), VLOOKUP(L129, Работы!$A$3:$D$184, 4, 0), 0)</f>
        <v>0</v>
      </c>
      <c r="V129" s="246">
        <f>IF(OR(L129="3.1.2."), VLOOKUP(L129, Работы!$A$3:$D$184, 4, 0), 0)</f>
        <v>0</v>
      </c>
      <c r="W129" s="294"/>
      <c r="X129" s="294"/>
      <c r="Y129" s="247">
        <f>IF(OR(L129="3.2.1.", L129="3.2.2."), VLOOKUP(L129, Работы!$A$3:$D$184, 4, 0), 0)</f>
        <v>0</v>
      </c>
      <c r="Z129" s="247">
        <f>IF(OR(L129="3.4.1.", L129="3.4.2."), VLOOKUP(L129, Работы!$A$3:$D$184, 4, 0), 0)</f>
        <v>0</v>
      </c>
      <c r="AA129" s="68">
        <f>P129*O129+Q129*T129+R129*T129+S129*T129+U129+V129+W129*Y129+X129*Y129+Z129</f>
        <v>903</v>
      </c>
      <c r="AB129" s="295"/>
      <c r="AC129" s="296"/>
      <c r="AD129" s="296"/>
      <c r="AE129" s="69">
        <f>AC129*AD129</f>
        <v>0</v>
      </c>
      <c r="AF129" s="71">
        <f>C129*Работы!$D$180</f>
        <v>5058.1400000000003</v>
      </c>
      <c r="AG129" s="68">
        <f>AA129+AE129+AF129+AL129+AM129</f>
        <v>5961.14</v>
      </c>
      <c r="AH129" s="72"/>
      <c r="AI129" s="73"/>
      <c r="AJ129" s="245">
        <f>AG129-AA129*AI129</f>
        <v>5961.14</v>
      </c>
      <c r="AK129" s="251"/>
      <c r="AL129" s="302">
        <f>IF(OR(E129="да"), 4040, 0)</f>
        <v>0</v>
      </c>
      <c r="AM129" s="365">
        <f>IF(OR(D129="доп."), AA129*0.1, 0)</f>
        <v>0</v>
      </c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</row>
    <row r="130" spans="1:95" s="46" customFormat="1" ht="102" x14ac:dyDescent="0.25">
      <c r="A130" s="241">
        <f>ROW(A130)-10</f>
        <v>120</v>
      </c>
      <c r="B130" s="335" t="s">
        <v>1409</v>
      </c>
      <c r="C130" s="241">
        <f>VLOOKUP(B130, Расстояния!B:J, 9, 0)</f>
        <v>94</v>
      </c>
      <c r="D130" s="242" t="str">
        <f>VLOOKUP(B130, Расстояния!B:K, 10, 0)</f>
        <v>осн.</v>
      </c>
      <c r="E130" s="242" t="str">
        <f>VLOOKUP(B130, Расстояния!B:F, 5, 0)</f>
        <v>нет</v>
      </c>
      <c r="F130" s="290" t="s">
        <v>4228</v>
      </c>
      <c r="G130" s="305">
        <v>46104.573611111111</v>
      </c>
      <c r="H130" s="345">
        <v>46104.680555555555</v>
      </c>
      <c r="I130" s="345">
        <v>46104.71597222222</v>
      </c>
      <c r="J130" s="304" t="s">
        <v>4227</v>
      </c>
      <c r="K130" s="306"/>
      <c r="L130" s="340" t="s">
        <v>367</v>
      </c>
      <c r="M130" s="241" t="str">
        <f>VLOOKUP(L130,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30" s="330" t="s">
        <v>3843</v>
      </c>
      <c r="O130" s="298"/>
      <c r="P130" s="248">
        <f>IF(OR(L130="3.3.1.", L130="3.3.2.", L130="3.3.3.", L130="3.1.1.", L130="3.1.2.", L130="3.4.1.", L130="3.4.2."), 0, VLOOKUP(L130, Работы!$A$3:$D$184, 4, 0))</f>
        <v>0</v>
      </c>
      <c r="Q130" s="243">
        <f>ROUNDUP((I130-H130)*24, 0)</f>
        <v>1</v>
      </c>
      <c r="R130" s="293"/>
      <c r="S130" s="293"/>
      <c r="T130" s="244">
        <f>IF(OR(L130="3.3.1.", L130="3.3.2.", L130="3.3.3."), VLOOKUP(L130, Работы!$A$3:$D$184, 4, 0), 0)</f>
        <v>903</v>
      </c>
      <c r="U130" s="246">
        <f>IF(OR(L130="3.1.1."), VLOOKUP(L130, Работы!$A$3:$D$184, 4, 0), 0)</f>
        <v>0</v>
      </c>
      <c r="V130" s="246">
        <f>IF(OR(L130="3.1.2."), VLOOKUP(L130, Работы!$A$3:$D$184, 4, 0), 0)</f>
        <v>0</v>
      </c>
      <c r="W130" s="294"/>
      <c r="X130" s="294"/>
      <c r="Y130" s="247">
        <f>IF(OR(L130="3.2.1.", L130="3.2.2."), VLOOKUP(L130, Работы!$A$3:$D$184, 4, 0), 0)</f>
        <v>0</v>
      </c>
      <c r="Z130" s="247">
        <f>IF(OR(L130="3.4.1.", L130="3.4.2."), VLOOKUP(L130, Работы!$A$3:$D$184, 4, 0), 0)</f>
        <v>0</v>
      </c>
      <c r="AA130" s="68">
        <f>P130*O130+Q130*T130+R130*T130+S130*T130+U130+V130+W130*Y130+X130*Y130+Z130</f>
        <v>903</v>
      </c>
      <c r="AB130" s="295"/>
      <c r="AC130" s="296"/>
      <c r="AD130" s="296"/>
      <c r="AE130" s="69">
        <f>AC130*AD130</f>
        <v>0</v>
      </c>
      <c r="AF130" s="71">
        <f>C130*Работы!$D$180</f>
        <v>5058.1400000000003</v>
      </c>
      <c r="AG130" s="68">
        <f>AA130+AE130+AF130+AL130+AM130</f>
        <v>5961.14</v>
      </c>
      <c r="AH130" s="72"/>
      <c r="AI130" s="73"/>
      <c r="AJ130" s="245">
        <f>AG130-AA130*AI130</f>
        <v>5961.14</v>
      </c>
      <c r="AK130" s="301"/>
      <c r="AL130" s="302">
        <f>IF(OR(E130="да"), 4040, 0)</f>
        <v>0</v>
      </c>
      <c r="AM130" s="365">
        <f>IF(OR(D130="доп."), AA130*0.1, 0)</f>
        <v>0</v>
      </c>
      <c r="AN130" s="1287"/>
      <c r="AO130" s="34"/>
      <c r="AP130" s="34"/>
      <c r="AQ130" s="34"/>
      <c r="AR130" s="34"/>
      <c r="AS130" s="34"/>
      <c r="AT130" s="370"/>
      <c r="AU130" s="370"/>
      <c r="AV130" s="370"/>
      <c r="AW130" s="370"/>
      <c r="AX130" s="370"/>
      <c r="AY130" s="370"/>
      <c r="AZ130" s="370"/>
      <c r="BA130" s="370"/>
      <c r="BB130" s="370"/>
      <c r="BC130" s="370"/>
      <c r="BD130" s="370"/>
      <c r="BE130" s="370"/>
      <c r="BF130" s="370"/>
      <c r="BG130" s="370"/>
      <c r="BH130" s="370"/>
      <c r="BI130" s="370"/>
      <c r="BJ130" s="370"/>
      <c r="BK130" s="370"/>
      <c r="BL130" s="370"/>
      <c r="BM130" s="370"/>
      <c r="BN130" s="370"/>
      <c r="BO130" s="370"/>
      <c r="BP130" s="370"/>
      <c r="BQ130" s="370"/>
      <c r="BR130" s="370"/>
      <c r="BS130" s="370"/>
      <c r="BT130" s="370"/>
      <c r="BU130" s="370"/>
      <c r="BV130" s="370"/>
      <c r="BW130" s="370"/>
      <c r="BX130" s="370"/>
      <c r="BY130" s="370"/>
      <c r="BZ130" s="370"/>
      <c r="CA130" s="370"/>
      <c r="CB130" s="370"/>
      <c r="CC130" s="370"/>
      <c r="CD130" s="370"/>
      <c r="CE130" s="370"/>
      <c r="CF130" s="370"/>
      <c r="CG130" s="370"/>
      <c r="CH130" s="370"/>
      <c r="CI130" s="370"/>
      <c r="CJ130" s="370"/>
      <c r="CK130" s="370"/>
      <c r="CL130" s="370"/>
      <c r="CM130" s="370"/>
      <c r="CN130" s="370"/>
      <c r="CO130" s="370"/>
      <c r="CP130" s="370"/>
      <c r="CQ130" s="370"/>
    </row>
    <row r="131" spans="1:95" s="46" customFormat="1" ht="63.75" x14ac:dyDescent="0.25">
      <c r="A131" s="241">
        <f>ROW(A131)-10</f>
        <v>121</v>
      </c>
      <c r="B131" s="335" t="s">
        <v>2190</v>
      </c>
      <c r="C131" s="241">
        <v>0</v>
      </c>
      <c r="D131" s="242" t="str">
        <f>VLOOKUP(B131, Расстояния!B:K, 10, 0)</f>
        <v>осн.</v>
      </c>
      <c r="E131" s="242" t="str">
        <f>VLOOKUP(B131, Расстояния!B:F, 5, 0)</f>
        <v>нет</v>
      </c>
      <c r="F131" s="290" t="s">
        <v>4103</v>
      </c>
      <c r="G131" s="305">
        <v>46109.027083333334</v>
      </c>
      <c r="H131" s="345">
        <v>46109.052777777775</v>
      </c>
      <c r="I131" s="345">
        <v>46109.052777777775</v>
      </c>
      <c r="J131" s="303" t="s">
        <v>4046</v>
      </c>
      <c r="K131" s="306"/>
      <c r="L131" s="250" t="s">
        <v>371</v>
      </c>
      <c r="M131" s="241" t="str">
        <f>VLOOKUP(L131, Работы!A:B, 2, 0)</f>
        <v>Стоимость отменённого вызова на Аварийно-восстановительные работы, заявка по которым получена во внерабочее время</v>
      </c>
      <c r="N131" s="346" t="s">
        <v>3882</v>
      </c>
      <c r="O131" s="298"/>
      <c r="P131" s="248">
        <f>IF(OR(L131="3.3.1.", L131="3.3.2.", L131="3.3.3.", L131="3.1.1.", L131="3.1.2.", L131="3.4.1.", L131="3.4.2."), 0, VLOOKUP(L131, Работы!$A$3:$D$184, 4, 0))</f>
        <v>0</v>
      </c>
      <c r="Q131" s="243"/>
      <c r="R131" s="293"/>
      <c r="S131" s="293"/>
      <c r="T131" s="244">
        <f>IF(OR(L131="3.3.1.", L131="3.3.2.", L131="3.3.3."), VLOOKUP(L131, Работы!$A$3:$D$184, 4, 0), 0)</f>
        <v>0</v>
      </c>
      <c r="U131" s="246">
        <f>IF(OR(L131="3.1.1."), VLOOKUP(L131, Работы!$A$3:$D$184, 4, 0), 0)</f>
        <v>0</v>
      </c>
      <c r="V131" s="246">
        <f>IF(OR(L131="3.1.2."), VLOOKUP(L131, Работы!$A$3:$D$184, 4, 0), 0)</f>
        <v>0</v>
      </c>
      <c r="W131" s="294"/>
      <c r="X131" s="294"/>
      <c r="Y131" s="247">
        <f>IF(OR(L131="3.2.1.", L131="3.2.2."), VLOOKUP(L131, Работы!$A$3:$D$184, 4, 0), 0)</f>
        <v>0</v>
      </c>
      <c r="Z131" s="247">
        <f>IF(OR(L131="3.4.1.", L131="3.4.2."), VLOOKUP(L131, Работы!$A$3:$D$184, 4, 0), 0)</f>
        <v>1731</v>
      </c>
      <c r="AA131" s="68">
        <f>P131*O131+Q131*T131+R131*T131+S131*T131+U131+V131+W131*Y131+X131*Y131+Z131</f>
        <v>1731</v>
      </c>
      <c r="AB131" s="295"/>
      <c r="AC131" s="296"/>
      <c r="AD131" s="296"/>
      <c r="AE131" s="69">
        <f>AC131*AD131</f>
        <v>0</v>
      </c>
      <c r="AF131" s="71">
        <f>C131*Работы!$D$180</f>
        <v>0</v>
      </c>
      <c r="AG131" s="68">
        <f>AA131+AE131+AF131+AL131+AM131</f>
        <v>1731</v>
      </c>
      <c r="AH131" s="72"/>
      <c r="AI131" s="73"/>
      <c r="AJ131" s="245">
        <f>AG131-AA131*AI131</f>
        <v>1731</v>
      </c>
      <c r="AK131" s="251"/>
      <c r="AL131" s="302">
        <f>IF(OR(E131="да"), 4040, 0)</f>
        <v>0</v>
      </c>
      <c r="AM131" s="365">
        <f>IF(OR(D131="доп."), AA131*0.1, 0)</f>
        <v>0</v>
      </c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O131" s="34"/>
      <c r="CP131" s="34"/>
      <c r="CQ131" s="34"/>
    </row>
    <row r="132" spans="1:95" s="46" customFormat="1" ht="51" x14ac:dyDescent="0.25">
      <c r="A132" s="241">
        <f>ROW(A132)-10</f>
        <v>122</v>
      </c>
      <c r="B132" s="335" t="s">
        <v>1994</v>
      </c>
      <c r="C132" s="241">
        <f>VLOOKUP(B132, Расстояния!B:J, 9, 0)</f>
        <v>63</v>
      </c>
      <c r="D132" s="242" t="str">
        <f>VLOOKUP(B132, Расстояния!B:K, 10, 0)</f>
        <v>осн.</v>
      </c>
      <c r="E132" s="242" t="str">
        <f>VLOOKUP(B132, Расстояния!B:F, 5, 0)</f>
        <v>нет</v>
      </c>
      <c r="F132" s="290" t="s">
        <v>4145</v>
      </c>
      <c r="G132" s="305">
        <v>46101.548611111109</v>
      </c>
      <c r="H132" s="345">
        <v>46101.552083333336</v>
      </c>
      <c r="I132" s="345">
        <v>46101.558333333334</v>
      </c>
      <c r="J132" s="331" t="s">
        <v>3883</v>
      </c>
      <c r="K132" s="306"/>
      <c r="L132" s="250" t="s">
        <v>321</v>
      </c>
      <c r="M132" s="241" t="str">
        <f>VLOOKUP(L132, Работы!A:B, 2, 0)</f>
        <v>Стоимость аварийно-восстановительных работ, заявка по которым получена в течение рабочего времени</v>
      </c>
      <c r="N132" s="347" t="s">
        <v>4246</v>
      </c>
      <c r="O132" s="298"/>
      <c r="P132" s="248">
        <f>IF(OR(L132="3.3.1.", L132="3.3.2.", L132="3.3.3.", L132="3.1.1.", L132="3.1.2.", L132="3.4.1.", L132="3.4.2."), 0, VLOOKUP(L132, Работы!$A$3:$D$184, 4, 0))</f>
        <v>0</v>
      </c>
      <c r="Q132" s="243"/>
      <c r="R132" s="293"/>
      <c r="S132" s="293"/>
      <c r="T132" s="244">
        <f>IF(OR(L132="3.3.1.", L132="3.3.2.", L132="3.3.3."), VLOOKUP(L132, Работы!$A$3:$D$184, 4, 0), 0)</f>
        <v>0</v>
      </c>
      <c r="U132" s="246">
        <f>IF(OR(L132="3.1.1."), VLOOKUP(L132, Работы!$A$3:$D$184, 4, 0), 0)</f>
        <v>3956</v>
      </c>
      <c r="V132" s="246">
        <f>IF(OR(L132="3.1.2."), VLOOKUP(L132, Работы!$A$3:$D$184, 4, 0), 0)</f>
        <v>0</v>
      </c>
      <c r="W132" s="294"/>
      <c r="X132" s="294"/>
      <c r="Y132" s="247">
        <f>IF(OR(L132="3.2.1.", L132="3.2.2."), VLOOKUP(L132, Работы!$A$3:$D$184, 4, 0), 0)</f>
        <v>0</v>
      </c>
      <c r="Z132" s="247">
        <f>IF(OR(L132="3.4.1.", L132="3.4.2."), VLOOKUP(L132, Работы!$A$3:$D$184, 4, 0), 0)</f>
        <v>0</v>
      </c>
      <c r="AA132" s="68">
        <f>P132*O132+Q132*T132+R132*T132+S132*T132+U132+V132+W132*Y132+X132*Y132+Z132</f>
        <v>3956</v>
      </c>
      <c r="AB132" s="295"/>
      <c r="AC132" s="296"/>
      <c r="AD132" s="296"/>
      <c r="AE132" s="69">
        <f>AC132*AD132</f>
        <v>0</v>
      </c>
      <c r="AF132" s="71">
        <f>C132*Работы!$D$180</f>
        <v>3390.03</v>
      </c>
      <c r="AG132" s="68">
        <f>AA132+AE132+AF132+AL132+AM132</f>
        <v>7346.0300000000007</v>
      </c>
      <c r="AH132" s="72"/>
      <c r="AI132" s="73"/>
      <c r="AJ132" s="245">
        <f>AG132-AA132*AI132</f>
        <v>7346.0300000000007</v>
      </c>
      <c r="AK132" s="251"/>
      <c r="AL132" s="302">
        <f>IF(OR(E132="да"), 4040, 0)</f>
        <v>0</v>
      </c>
      <c r="AM132" s="365">
        <f>IF(OR(D132="доп."), AA132*0.1, 0)</f>
        <v>0</v>
      </c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43"/>
      <c r="BW132" s="43"/>
      <c r="BX132" s="43"/>
      <c r="BY132" s="43"/>
      <c r="BZ132" s="43"/>
      <c r="CA132" s="43"/>
      <c r="CB132" s="43"/>
      <c r="CC132" s="43"/>
      <c r="CD132" s="43"/>
      <c r="CE132" s="43"/>
      <c r="CF132" s="43"/>
      <c r="CG132" s="43"/>
      <c r="CH132" s="43"/>
      <c r="CI132" s="43"/>
      <c r="CJ132" s="43"/>
      <c r="CK132" s="43"/>
      <c r="CL132" s="43"/>
      <c r="CM132" s="43"/>
      <c r="CN132" s="43"/>
      <c r="CO132" s="43"/>
      <c r="CP132" s="43"/>
      <c r="CQ132" s="43"/>
    </row>
    <row r="133" spans="1:95" s="46" customFormat="1" ht="38.25" x14ac:dyDescent="0.25">
      <c r="A133" s="241">
        <f>ROW(A133)-10</f>
        <v>123</v>
      </c>
      <c r="B133" s="335" t="s">
        <v>2198</v>
      </c>
      <c r="C133" s="241">
        <f>VLOOKUP(B133, Расстояния!B:J, 9, 0)</f>
        <v>65</v>
      </c>
      <c r="D133" s="242" t="str">
        <f>VLOOKUP(B133, Расстояния!B:K, 10, 0)</f>
        <v>осн.</v>
      </c>
      <c r="E133" s="242" t="str">
        <f>VLOOKUP(B133, Расстояния!B:F, 5, 0)</f>
        <v>нет</v>
      </c>
      <c r="F133" s="290"/>
      <c r="G133" s="305"/>
      <c r="H133" s="345">
        <v>46104.604166666664</v>
      </c>
      <c r="I133" s="345">
        <v>46104.673611111109</v>
      </c>
      <c r="J133" s="303" t="s">
        <v>4047</v>
      </c>
      <c r="K133" s="306"/>
      <c r="L133" s="292" t="s">
        <v>296</v>
      </c>
      <c r="M133" s="241" t="str">
        <f>VLOOKUP(L133, Работы!A:B, 2, 0)</f>
        <v>Техническое обслуживание БС</v>
      </c>
      <c r="N133" s="330" t="s">
        <v>298</v>
      </c>
      <c r="O133" s="298">
        <v>1</v>
      </c>
      <c r="P133" s="248">
        <f>IF(OR(L133="3.3.1.", L133="3.3.2.", L133="3.3.3.", L133="3.1.1.", L133="3.1.2.", L133="3.4.1.", L133="3.4.2."), 0, VLOOKUP(L133, Работы!$A$3:$D$184, 4, 0))</f>
        <v>4143</v>
      </c>
      <c r="Q133" s="243"/>
      <c r="R133" s="293"/>
      <c r="S133" s="293"/>
      <c r="T133" s="244">
        <f>IF(OR(L133="3.3.1.", L133="3.3.2.", L133="3.3.3."), VLOOKUP(L133, Работы!$A$3:$D$184, 4, 0), 0)</f>
        <v>0</v>
      </c>
      <c r="U133" s="246">
        <f>IF(OR(L133="3.1.1."), VLOOKUP(L133, Работы!$A$3:$D$184, 4, 0), 0)</f>
        <v>0</v>
      </c>
      <c r="V133" s="246">
        <f>IF(OR(L133="3.1.2."), VLOOKUP(L133, Работы!$A$3:$D$184, 4, 0), 0)</f>
        <v>0</v>
      </c>
      <c r="W133" s="294"/>
      <c r="X133" s="294"/>
      <c r="Y133" s="247">
        <f>IF(OR(L133="3.2.1.", L133="3.2.2."), VLOOKUP(L133, Работы!$A$3:$D$184, 4, 0), 0)</f>
        <v>0</v>
      </c>
      <c r="Z133" s="247">
        <f>IF(OR(L133="3.4.1.", L133="3.4.2."), VLOOKUP(L133, Работы!$A$3:$D$184, 4, 0), 0)</f>
        <v>0</v>
      </c>
      <c r="AA133" s="68">
        <f>P133*O133+Q133*T133+R133*T133+S133*T133+U133+V133+W133*Y133+X133*Y133+Z133</f>
        <v>4143</v>
      </c>
      <c r="AB133" s="295"/>
      <c r="AC133" s="296"/>
      <c r="AD133" s="296"/>
      <c r="AE133" s="69">
        <f>AC133*AD133</f>
        <v>0</v>
      </c>
      <c r="AF133" s="71">
        <f>C133*Работы!$D$180</f>
        <v>3497.65</v>
      </c>
      <c r="AG133" s="68">
        <f>AA133+AE133+AF133+AL133+AM133</f>
        <v>7640.65</v>
      </c>
      <c r="AH133" s="72"/>
      <c r="AI133" s="73"/>
      <c r="AJ133" s="245">
        <f>AG133-AA133*AI133</f>
        <v>7640.65</v>
      </c>
      <c r="AK133" s="251"/>
      <c r="AL133" s="302">
        <f>IF(OR(E133="да"), 4040, 0)</f>
        <v>0</v>
      </c>
      <c r="AM133" s="365">
        <f>IF(OR(D133="доп."), AA133*0.1, 0)</f>
        <v>0</v>
      </c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43"/>
      <c r="BW133" s="43"/>
      <c r="BX133" s="43"/>
      <c r="BY133" s="43"/>
      <c r="BZ133" s="43"/>
      <c r="CA133" s="43"/>
      <c r="CB133" s="43"/>
      <c r="CC133" s="43"/>
      <c r="CD133" s="43"/>
      <c r="CE133" s="43"/>
      <c r="CF133" s="43"/>
      <c r="CG133" s="43"/>
      <c r="CH133" s="43"/>
      <c r="CI133" s="43"/>
      <c r="CJ133" s="43"/>
      <c r="CK133" s="43"/>
      <c r="CL133" s="43"/>
      <c r="CM133" s="43"/>
      <c r="CN133" s="43"/>
      <c r="CO133" s="43"/>
      <c r="CP133" s="43"/>
      <c r="CQ133" s="43"/>
    </row>
    <row r="134" spans="1:95" s="46" customFormat="1" ht="102" x14ac:dyDescent="0.25">
      <c r="A134" s="241">
        <f>ROW(A134)-10</f>
        <v>124</v>
      </c>
      <c r="B134" s="335" t="s">
        <v>2154</v>
      </c>
      <c r="C134" s="241">
        <f>VLOOKUP(B134, Расстояния!B:J, 9, 0)</f>
        <v>70</v>
      </c>
      <c r="D134" s="242" t="str">
        <f>VLOOKUP(B134, Расстояния!B:K, 10, 0)</f>
        <v>осн.</v>
      </c>
      <c r="E134" s="242" t="str">
        <f>VLOOKUP(B134, Расстояния!B:F, 5, 0)</f>
        <v>нет</v>
      </c>
      <c r="F134" s="290" t="s">
        <v>4146</v>
      </c>
      <c r="G134" s="305">
        <v>46106.418749999997</v>
      </c>
      <c r="H134" s="345">
        <v>46106.447916666664</v>
      </c>
      <c r="I134" s="345">
        <v>46106.657638888886</v>
      </c>
      <c r="J134" s="304" t="s">
        <v>3883</v>
      </c>
      <c r="K134" s="306"/>
      <c r="L134" s="250" t="s">
        <v>367</v>
      </c>
      <c r="M134" s="241" t="str">
        <f>VLOOKUP(L134,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34" s="330" t="s">
        <v>3843</v>
      </c>
      <c r="O134" s="298"/>
      <c r="P134" s="248">
        <f>IF(OR(L134="3.3.1.", L134="3.3.2.", L134="3.3.3.", L134="3.1.1.", L134="3.1.2.", L134="3.4.1.", L134="3.4.2."), 0, VLOOKUP(L134, Работы!$A$3:$D$184, 4, 0))</f>
        <v>0</v>
      </c>
      <c r="Q134" s="243">
        <f>ROUNDUP((I134-H134)*24, 0)</f>
        <v>6</v>
      </c>
      <c r="R134" s="293"/>
      <c r="S134" s="293"/>
      <c r="T134" s="244">
        <f>IF(OR(L134="3.3.1.", L134="3.3.2.", L134="3.3.3."), VLOOKUP(L134, Работы!$A$3:$D$184, 4, 0), 0)</f>
        <v>903</v>
      </c>
      <c r="U134" s="246">
        <f>IF(OR(L134="3.1.1."), VLOOKUP(L134, Работы!$A$3:$D$184, 4, 0), 0)</f>
        <v>0</v>
      </c>
      <c r="V134" s="246">
        <f>IF(OR(L134="3.1.2."), VLOOKUP(L134, Работы!$A$3:$D$184, 4, 0), 0)</f>
        <v>0</v>
      </c>
      <c r="W134" s="294"/>
      <c r="X134" s="294"/>
      <c r="Y134" s="247">
        <f>IF(OR(L134="3.2.1.", L134="3.2.2."), VLOOKUP(L134, Работы!$A$3:$D$184, 4, 0), 0)</f>
        <v>0</v>
      </c>
      <c r="Z134" s="247">
        <f>IF(OR(L134="3.4.1.", L134="3.4.2."), VLOOKUP(L134, Работы!$A$3:$D$184, 4, 0), 0)</f>
        <v>0</v>
      </c>
      <c r="AA134" s="68">
        <f>P134*O134+Q134*T134+R134*T134+S134*T134+U134+V134+W134*Y134+X134*Y134+Z134</f>
        <v>5418</v>
      </c>
      <c r="AB134" s="295"/>
      <c r="AC134" s="296"/>
      <c r="AD134" s="296"/>
      <c r="AE134" s="69">
        <f>AC134*AD134</f>
        <v>0</v>
      </c>
      <c r="AF134" s="71">
        <f>C134*Работы!$D$180</f>
        <v>3766.7000000000003</v>
      </c>
      <c r="AG134" s="68">
        <f>AA134+AE134+AF134+AL134+AM134</f>
        <v>9184.7000000000007</v>
      </c>
      <c r="AH134" s="72"/>
      <c r="AI134" s="73"/>
      <c r="AJ134" s="245">
        <f>AG134-AA134*AI134</f>
        <v>9184.7000000000007</v>
      </c>
      <c r="AK134" s="251"/>
      <c r="AL134" s="302">
        <f>IF(OR(E134="да"), 4040, 0)</f>
        <v>0</v>
      </c>
      <c r="AM134" s="365">
        <f>IF(OR(D134="доп."), AA134*0.1, 0)</f>
        <v>0</v>
      </c>
      <c r="AN134" s="251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43"/>
      <c r="BW134" s="43"/>
      <c r="BX134" s="43"/>
      <c r="BY134" s="43"/>
      <c r="BZ134" s="43"/>
      <c r="CA134" s="43"/>
      <c r="CB134" s="43"/>
      <c r="CC134" s="43"/>
      <c r="CD134" s="43"/>
      <c r="CE134" s="43"/>
      <c r="CF134" s="43"/>
      <c r="CG134" s="43"/>
      <c r="CH134" s="43"/>
      <c r="CI134" s="43"/>
      <c r="CJ134" s="43"/>
      <c r="CK134" s="43"/>
      <c r="CL134" s="43"/>
      <c r="CM134" s="43"/>
      <c r="CN134" s="43"/>
      <c r="CO134" s="43"/>
      <c r="CP134" s="43"/>
      <c r="CQ134" s="43"/>
    </row>
    <row r="135" spans="1:95" s="46" customFormat="1" ht="102" x14ac:dyDescent="0.25">
      <c r="A135" s="241">
        <f>ROW(A135)-10</f>
        <v>125</v>
      </c>
      <c r="B135" s="335" t="s">
        <v>2209</v>
      </c>
      <c r="C135" s="241">
        <f>VLOOKUP(B135, Расстояния!B:J, 9, 0)</f>
        <v>70</v>
      </c>
      <c r="D135" s="242" t="str">
        <f>VLOOKUP(B135, Расстояния!B:K, 10, 0)</f>
        <v>осн.</v>
      </c>
      <c r="E135" s="242" t="str">
        <f>VLOOKUP(B135, Расстояния!B:F, 5, 0)</f>
        <v>нет</v>
      </c>
      <c r="F135" s="290" t="s">
        <v>4147</v>
      </c>
      <c r="G135" s="305">
        <v>46106.418749999997</v>
      </c>
      <c r="H135" s="345">
        <v>46106.459027777775</v>
      </c>
      <c r="I135" s="345">
        <v>46106.664583333331</v>
      </c>
      <c r="J135" s="304" t="s">
        <v>3883</v>
      </c>
      <c r="K135" s="332"/>
      <c r="L135" s="292" t="s">
        <v>367</v>
      </c>
      <c r="M135" s="241" t="str">
        <f>VLOOKUP(L135,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35" s="330" t="s">
        <v>3843</v>
      </c>
      <c r="O135" s="298"/>
      <c r="P135" s="248">
        <f>IF(OR(L135="3.3.1.", L135="3.3.2.", L135="3.3.3.", L135="3.1.1.", L135="3.1.2.", L135="3.4.1.", L135="3.4.2."), 0, VLOOKUP(L135, Работы!$A$3:$D$184, 4, 0))</f>
        <v>0</v>
      </c>
      <c r="Q135" s="243">
        <f>ROUNDUP((I135-H135)*24, 0)</f>
        <v>5</v>
      </c>
      <c r="R135" s="293"/>
      <c r="S135" s="293"/>
      <c r="T135" s="244">
        <f>IF(OR(L135="3.3.1.", L135="3.3.2.", L135="3.3.3."), VLOOKUP(L135, Работы!$A$3:$D$184, 4, 0), 0)</f>
        <v>903</v>
      </c>
      <c r="U135" s="246">
        <f>IF(OR(L135="3.1.1."), VLOOKUP(L135, Работы!$A$3:$D$184, 4, 0), 0)</f>
        <v>0</v>
      </c>
      <c r="V135" s="246">
        <f>IF(OR(L135="3.1.2."), VLOOKUP(L135, Работы!$A$3:$D$184, 4, 0), 0)</f>
        <v>0</v>
      </c>
      <c r="W135" s="294"/>
      <c r="X135" s="294"/>
      <c r="Y135" s="247">
        <f>IF(OR(L135="3.2.1.", L135="3.2.2."), VLOOKUP(L135, Работы!$A$3:$D$184, 4, 0), 0)</f>
        <v>0</v>
      </c>
      <c r="Z135" s="247">
        <f>IF(OR(L135="3.4.1.", L135="3.4.2."), VLOOKUP(L135, Работы!$A$3:$D$184, 4, 0), 0)</f>
        <v>0</v>
      </c>
      <c r="AA135" s="68">
        <f>P135*O135+Q135*T135+R135*T135+S135*T135+U135+V135+W135*Y135+X135*Y135+Z135</f>
        <v>4515</v>
      </c>
      <c r="AB135" s="295"/>
      <c r="AC135" s="296"/>
      <c r="AD135" s="296"/>
      <c r="AE135" s="69">
        <f>AC135*AD135</f>
        <v>0</v>
      </c>
      <c r="AF135" s="71">
        <f>C135*Работы!$D$180</f>
        <v>3766.7000000000003</v>
      </c>
      <c r="AG135" s="68">
        <f>AA135+AE135+AF135+AL135+AM135</f>
        <v>8281.7000000000007</v>
      </c>
      <c r="AH135" s="72"/>
      <c r="AI135" s="73"/>
      <c r="AJ135" s="245">
        <f>AG135-AA135*AI135</f>
        <v>8281.7000000000007</v>
      </c>
      <c r="AK135" s="251"/>
      <c r="AL135" s="302">
        <f>IF(OR(E135="да"), 4040, 0)</f>
        <v>0</v>
      </c>
      <c r="AM135" s="365">
        <f>IF(OR(D135="доп."), AA135*0.1, 0)</f>
        <v>0</v>
      </c>
      <c r="AN135" s="251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43"/>
      <c r="BW135" s="43"/>
      <c r="BX135" s="43"/>
      <c r="BY135" s="43"/>
      <c r="BZ135" s="43"/>
      <c r="CA135" s="43"/>
      <c r="CB135" s="43"/>
      <c r="CC135" s="43"/>
      <c r="CD135" s="43"/>
      <c r="CE135" s="43"/>
      <c r="CF135" s="43"/>
      <c r="CG135" s="43"/>
      <c r="CH135" s="43"/>
      <c r="CI135" s="43"/>
      <c r="CJ135" s="43"/>
      <c r="CK135" s="43"/>
      <c r="CL135" s="43"/>
      <c r="CM135" s="43"/>
      <c r="CN135" s="43"/>
      <c r="CO135" s="43"/>
      <c r="CP135" s="43"/>
      <c r="CQ135" s="43"/>
    </row>
    <row r="136" spans="1:95" s="46" customFormat="1" ht="102" x14ac:dyDescent="0.25">
      <c r="A136" s="241">
        <f>ROW(A136)-10</f>
        <v>126</v>
      </c>
      <c r="B136" s="335" t="s">
        <v>1417</v>
      </c>
      <c r="C136" s="241">
        <f>VLOOKUP(B136, Расстояния!B:J, 9, 0)</f>
        <v>13</v>
      </c>
      <c r="D136" s="242" t="str">
        <f>VLOOKUP(B136, Расстояния!B:K, 10, 0)</f>
        <v>осн.</v>
      </c>
      <c r="E136" s="242" t="str">
        <f>VLOOKUP(B136, Расстояния!B:F, 5, 0)</f>
        <v>нет</v>
      </c>
      <c r="F136" s="290" t="s">
        <v>4089</v>
      </c>
      <c r="G136" s="305">
        <v>46104.598611111112</v>
      </c>
      <c r="H136" s="345">
        <v>46104.645833333336</v>
      </c>
      <c r="I136" s="345">
        <v>46104.716666666667</v>
      </c>
      <c r="J136" s="304" t="s">
        <v>4046</v>
      </c>
      <c r="K136" s="306"/>
      <c r="L136" s="250" t="s">
        <v>367</v>
      </c>
      <c r="M136" s="241" t="str">
        <f>VLOOKUP(L136,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36" s="330" t="s">
        <v>3843</v>
      </c>
      <c r="O136" s="298"/>
      <c r="P136" s="248">
        <f>IF(OR(L136="3.3.1.", L136="3.3.2.", L136="3.3.3.", L136="3.1.1.", L136="3.1.2.", L136="3.4.1.", L136="3.4.2."), 0, VLOOKUP(L136, Работы!$A$3:$D$184, 4, 0))</f>
        <v>0</v>
      </c>
      <c r="Q136" s="243">
        <f>ROUNDUP((I136-H136)*24, 0)</f>
        <v>2</v>
      </c>
      <c r="R136" s="293"/>
      <c r="S136" s="293"/>
      <c r="T136" s="244">
        <f>IF(OR(L136="3.3.1.", L136="3.3.2.", L136="3.3.3."), VLOOKUP(L136, Работы!$A$3:$D$184, 4, 0), 0)</f>
        <v>903</v>
      </c>
      <c r="U136" s="246">
        <f>IF(OR(L136="3.1.1."), VLOOKUP(L136, Работы!$A$3:$D$184, 4, 0), 0)</f>
        <v>0</v>
      </c>
      <c r="V136" s="246">
        <f>IF(OR(L136="3.1.2."), VLOOKUP(L136, Работы!$A$3:$D$184, 4, 0), 0)</f>
        <v>0</v>
      </c>
      <c r="W136" s="294"/>
      <c r="X136" s="294"/>
      <c r="Y136" s="247">
        <f>IF(OR(L136="3.2.1.", L136="3.2.2."), VLOOKUP(L136, Работы!$A$3:$D$184, 4, 0), 0)</f>
        <v>0</v>
      </c>
      <c r="Z136" s="247">
        <f>IF(OR(L136="3.4.1.", L136="3.4.2."), VLOOKUP(L136, Работы!$A$3:$D$184, 4, 0), 0)</f>
        <v>0</v>
      </c>
      <c r="AA136" s="68">
        <f>P136*O136+Q136*T136+R136*T136+S136*T136+U136+V136+W136*Y136+X136*Y136+Z136</f>
        <v>1806</v>
      </c>
      <c r="AB136" s="295"/>
      <c r="AC136" s="296"/>
      <c r="AD136" s="296"/>
      <c r="AE136" s="69">
        <f>AC136*AD136</f>
        <v>0</v>
      </c>
      <c r="AF136" s="71">
        <f>C136*Работы!$D$180</f>
        <v>699.53</v>
      </c>
      <c r="AG136" s="68">
        <f>AA136+AE136+AF136+AL136+AM136</f>
        <v>2505.5299999999997</v>
      </c>
      <c r="AH136" s="72"/>
      <c r="AI136" s="73"/>
      <c r="AJ136" s="245">
        <f>AG136-AA136*AI136</f>
        <v>2505.5299999999997</v>
      </c>
      <c r="AK136" s="301"/>
      <c r="AL136" s="302">
        <f>IF(OR(E136="да"), 4040, 0)</f>
        <v>0</v>
      </c>
      <c r="AM136" s="365">
        <f>IF(OR(D136="доп."), AA136*0.1, 0)</f>
        <v>0</v>
      </c>
      <c r="AN136" s="1287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O136" s="34"/>
      <c r="CP136" s="34"/>
      <c r="CQ136" s="34"/>
    </row>
    <row r="137" spans="1:95" s="46" customFormat="1" ht="102" x14ac:dyDescent="0.25">
      <c r="A137" s="241">
        <f>ROW(A137)-10</f>
        <v>127</v>
      </c>
      <c r="B137" s="335" t="s">
        <v>1417</v>
      </c>
      <c r="C137" s="241">
        <v>9</v>
      </c>
      <c r="D137" s="242" t="str">
        <f>VLOOKUP(B137, Расстояния!B:K, 10, 0)</f>
        <v>осн.</v>
      </c>
      <c r="E137" s="242" t="str">
        <f>VLOOKUP(B137, Расстояния!B:F, 5, 0)</f>
        <v>нет</v>
      </c>
      <c r="F137" s="290" t="s">
        <v>4230</v>
      </c>
      <c r="G137" s="305">
        <v>46105.64166666667</v>
      </c>
      <c r="H137" s="345">
        <v>46105.686805555553</v>
      </c>
      <c r="I137" s="345">
        <v>46105.740972222222</v>
      </c>
      <c r="J137" s="304" t="s">
        <v>4227</v>
      </c>
      <c r="K137" s="306"/>
      <c r="L137" s="250" t="s">
        <v>367</v>
      </c>
      <c r="M137" s="241" t="str">
        <f>VLOOKUP(L137,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37" s="330" t="s">
        <v>3843</v>
      </c>
      <c r="O137" s="298"/>
      <c r="P137" s="248">
        <f>IF(OR(L137="3.3.1.", L137="3.3.2.", L137="3.3.3.", L137="3.1.1.", L137="3.1.2.", L137="3.4.1.", L137="3.4.2."), 0, VLOOKUP(L137, Работы!$A$3:$D$184, 4, 0))</f>
        <v>0</v>
      </c>
      <c r="Q137" s="243">
        <f>ROUNDUP((I137-H137)*24, 0)</f>
        <v>2</v>
      </c>
      <c r="R137" s="293"/>
      <c r="S137" s="293"/>
      <c r="T137" s="244">
        <f>IF(OR(L137="3.3.1.", L137="3.3.2.", L137="3.3.3."), VLOOKUP(L137, Работы!$A$3:$D$184, 4, 0), 0)</f>
        <v>903</v>
      </c>
      <c r="U137" s="246">
        <f>IF(OR(L137="3.1.1."), VLOOKUP(L137, Работы!$A$3:$D$184, 4, 0), 0)</f>
        <v>0</v>
      </c>
      <c r="V137" s="246">
        <f>IF(OR(L137="3.1.2."), VLOOKUP(L137, Работы!$A$3:$D$184, 4, 0), 0)</f>
        <v>0</v>
      </c>
      <c r="W137" s="294"/>
      <c r="X137" s="294"/>
      <c r="Y137" s="247">
        <f>IF(OR(L137="3.2.1.", L137="3.2.2."), VLOOKUP(L137, Работы!$A$3:$D$184, 4, 0), 0)</f>
        <v>0</v>
      </c>
      <c r="Z137" s="247">
        <f>IF(OR(L137="3.4.1.", L137="3.4.2."), VLOOKUP(L137, Работы!$A$3:$D$184, 4, 0), 0)</f>
        <v>0</v>
      </c>
      <c r="AA137" s="68">
        <f>P137*O137+Q137*T137+R137*T137+S137*T137+U137+V137+W137*Y137+X137*Y137+Z137</f>
        <v>1806</v>
      </c>
      <c r="AB137" s="295"/>
      <c r="AC137" s="296"/>
      <c r="AD137" s="296"/>
      <c r="AE137" s="69">
        <f>AC137*AD137</f>
        <v>0</v>
      </c>
      <c r="AF137" s="71">
        <f>C137*Работы!$D$180</f>
        <v>484.29</v>
      </c>
      <c r="AG137" s="68">
        <f>AA137+AE137+AF137+AL137+AM137</f>
        <v>2290.29</v>
      </c>
      <c r="AH137" s="72"/>
      <c r="AI137" s="73"/>
      <c r="AJ137" s="245">
        <f>AG137-AA137*AI137</f>
        <v>2290.29</v>
      </c>
      <c r="AK137" s="301"/>
      <c r="AL137" s="302">
        <f>IF(OR(E137="да"), 4040, 0)</f>
        <v>0</v>
      </c>
      <c r="AM137" s="365">
        <f>IF(OR(D137="доп."), AA137*0.1, 0)</f>
        <v>0</v>
      </c>
      <c r="AN137" s="1287"/>
      <c r="AO137" s="34"/>
      <c r="AP137" s="34"/>
      <c r="AQ137" s="34"/>
      <c r="AR137" s="34"/>
      <c r="AS137" s="34"/>
      <c r="AT137" s="370"/>
      <c r="AU137" s="370"/>
      <c r="AV137" s="370"/>
      <c r="AW137" s="370"/>
      <c r="AX137" s="370"/>
      <c r="AY137" s="370"/>
      <c r="AZ137" s="370"/>
      <c r="BA137" s="370"/>
      <c r="BB137" s="370"/>
      <c r="BC137" s="370"/>
      <c r="BD137" s="370"/>
      <c r="BE137" s="370"/>
      <c r="BF137" s="370"/>
      <c r="BG137" s="370"/>
      <c r="BH137" s="370"/>
      <c r="BI137" s="370"/>
      <c r="BJ137" s="370"/>
      <c r="BK137" s="370"/>
      <c r="BL137" s="370"/>
      <c r="BM137" s="370"/>
      <c r="BN137" s="370"/>
      <c r="BO137" s="370"/>
      <c r="BP137" s="370"/>
      <c r="BQ137" s="370"/>
      <c r="BR137" s="370"/>
      <c r="BS137" s="370"/>
      <c r="BT137" s="370"/>
      <c r="BU137" s="370"/>
      <c r="BV137" s="370"/>
      <c r="BW137" s="370"/>
      <c r="BX137" s="370"/>
      <c r="BY137" s="370"/>
      <c r="BZ137" s="370"/>
      <c r="CA137" s="370"/>
      <c r="CB137" s="370"/>
      <c r="CC137" s="370"/>
      <c r="CD137" s="370"/>
      <c r="CE137" s="370"/>
      <c r="CF137" s="370"/>
      <c r="CG137" s="370"/>
      <c r="CH137" s="370"/>
      <c r="CI137" s="370"/>
      <c r="CJ137" s="370"/>
      <c r="CK137" s="370"/>
      <c r="CL137" s="370"/>
      <c r="CM137" s="370"/>
      <c r="CN137" s="370"/>
      <c r="CO137" s="370"/>
      <c r="CP137" s="370"/>
      <c r="CQ137" s="370"/>
    </row>
    <row r="138" spans="1:95" s="46" customFormat="1" ht="51" x14ac:dyDescent="0.25">
      <c r="A138" s="241">
        <f>ROW(A138)-10</f>
        <v>128</v>
      </c>
      <c r="B138" s="335" t="s">
        <v>2218</v>
      </c>
      <c r="C138" s="241">
        <f>VLOOKUP(B138, Расстояния!B:J, 9, 0)</f>
        <v>65</v>
      </c>
      <c r="D138" s="242" t="str">
        <f>VLOOKUP(B138, Расстояния!B:K, 10, 0)</f>
        <v>осн.</v>
      </c>
      <c r="E138" s="242" t="str">
        <f>VLOOKUP(B138, Расстояния!B:F, 5, 0)</f>
        <v>нет</v>
      </c>
      <c r="F138" s="290" t="s">
        <v>4168</v>
      </c>
      <c r="G138" s="305">
        <v>46094.644444444442</v>
      </c>
      <c r="H138" s="345">
        <v>46100.366666666669</v>
      </c>
      <c r="I138" s="345">
        <v>46100.40902777778</v>
      </c>
      <c r="J138" s="304" t="s">
        <v>4047</v>
      </c>
      <c r="K138" s="306"/>
      <c r="L138" s="250" t="s">
        <v>66</v>
      </c>
      <c r="M138" s="241" t="str">
        <f>VLOOKUP(L138, Работы!A:B, 2, 0)</f>
        <v>Изменение механического угла наклона или азимута одной антенны</v>
      </c>
      <c r="N138" s="346" t="s">
        <v>4298</v>
      </c>
      <c r="O138" s="298">
        <v>1</v>
      </c>
      <c r="P138" s="248">
        <f>IF(OR(L138="3.3.1.", L138="3.3.2.", L138="3.3.3.", L138="3.1.1.", L138="3.1.2.", L138="3.4.1.", L138="3.4.2."), 0, VLOOKUP(L138, Работы!$A$3:$D$184, 4, 0))</f>
        <v>2085</v>
      </c>
      <c r="Q138" s="243"/>
      <c r="R138" s="293"/>
      <c r="S138" s="293"/>
      <c r="T138" s="244">
        <f>IF(OR(L138="3.3.1.", L138="3.3.2.", L138="3.3.3."), VLOOKUP(L138, Работы!$A$3:$D$184, 4, 0), 0)</f>
        <v>0</v>
      </c>
      <c r="U138" s="246">
        <f>IF(OR(L138="3.1.1."), VLOOKUP(L138, Работы!$A$3:$D$184, 4, 0), 0)</f>
        <v>0</v>
      </c>
      <c r="V138" s="246">
        <f>IF(OR(L138="3.1.2."), VLOOKUP(L138, Работы!$A$3:$D$184, 4, 0), 0)</f>
        <v>0</v>
      </c>
      <c r="W138" s="294"/>
      <c r="X138" s="294"/>
      <c r="Y138" s="247">
        <f>IF(OR(L138="3.2.1.", L138="3.2.2."), VLOOKUP(L138, Работы!$A$3:$D$184, 4, 0), 0)</f>
        <v>0</v>
      </c>
      <c r="Z138" s="247">
        <f>IF(OR(L138="3.4.1.", L138="3.4.2."), VLOOKUP(L138, Работы!$A$3:$D$184, 4, 0), 0)</f>
        <v>0</v>
      </c>
      <c r="AA138" s="68">
        <f>P138*O138+Q138*T138+R138*T138+S138*T138+U138+V138+W138*Y138+X138*Y138+Z138</f>
        <v>2085</v>
      </c>
      <c r="AB138" s="295"/>
      <c r="AC138" s="296"/>
      <c r="AD138" s="296"/>
      <c r="AE138" s="69">
        <f>AC138*AD138</f>
        <v>0</v>
      </c>
      <c r="AF138" s="71">
        <f>C138*Работы!$D$180</f>
        <v>3497.65</v>
      </c>
      <c r="AG138" s="68">
        <f>AA138+AE138+AF138+AL138+AM138</f>
        <v>5582.65</v>
      </c>
      <c r="AH138" s="72"/>
      <c r="AI138" s="73"/>
      <c r="AJ138" s="245">
        <f>AG138-AA138*AI138</f>
        <v>5582.65</v>
      </c>
      <c r="AK138" s="251"/>
      <c r="AL138" s="302">
        <f>IF(OR(E138="да"), 4040, 0)</f>
        <v>0</v>
      </c>
      <c r="AM138" s="365">
        <f>IF(OR(D138="доп."), AA138*0.1, 0)</f>
        <v>0</v>
      </c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O138" s="34"/>
      <c r="CP138" s="34"/>
      <c r="CQ138" s="34"/>
    </row>
    <row r="139" spans="1:95" s="46" customFormat="1" ht="102" x14ac:dyDescent="0.25">
      <c r="A139" s="241">
        <f>ROW(A139)-10</f>
        <v>129</v>
      </c>
      <c r="B139" s="335" t="s">
        <v>2221</v>
      </c>
      <c r="C139" s="241">
        <f>VLOOKUP(B139, Расстояния!B:J, 9, 0)</f>
        <v>60</v>
      </c>
      <c r="D139" s="242" t="str">
        <f>VLOOKUP(B139, Расстояния!B:K, 10, 0)</f>
        <v>осн.</v>
      </c>
      <c r="E139" s="242" t="str">
        <f>VLOOKUP(B139, Расстояния!B:F, 5, 0)</f>
        <v>нет</v>
      </c>
      <c r="F139" s="290" t="s">
        <v>4074</v>
      </c>
      <c r="G139" s="305">
        <v>46098.508333333331</v>
      </c>
      <c r="H139" s="345">
        <v>46098.590277777781</v>
      </c>
      <c r="I139" s="345">
        <v>46098.599305555559</v>
      </c>
      <c r="J139" s="304" t="s">
        <v>4046</v>
      </c>
      <c r="K139" s="306"/>
      <c r="L139" s="250" t="s">
        <v>367</v>
      </c>
      <c r="M139" s="241" t="str">
        <f>VLOOKUP(L139,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39" s="330" t="s">
        <v>3843</v>
      </c>
      <c r="O139" s="298"/>
      <c r="P139" s="248">
        <f>IF(OR(L139="3.3.1.", L139="3.3.2.", L139="3.3.3.", L139="3.1.1.", L139="3.1.2.", L139="3.4.1.", L139="3.4.2."), 0, VLOOKUP(L139, Работы!$A$3:$D$184, 4, 0))</f>
        <v>0</v>
      </c>
      <c r="Q139" s="243">
        <f>ROUNDUP((I139-H139)*24, 0)</f>
        <v>1</v>
      </c>
      <c r="R139" s="293"/>
      <c r="S139" s="293"/>
      <c r="T139" s="244">
        <f>IF(OR(L139="3.3.1.", L139="3.3.2.", L139="3.3.3."), VLOOKUP(L139, Работы!$A$3:$D$184, 4, 0), 0)</f>
        <v>903</v>
      </c>
      <c r="U139" s="246">
        <f>IF(OR(L139="3.1.1."), VLOOKUP(L139, Работы!$A$3:$D$184, 4, 0), 0)</f>
        <v>0</v>
      </c>
      <c r="V139" s="246">
        <f>IF(OR(L139="3.1.2."), VLOOKUP(L139, Работы!$A$3:$D$184, 4, 0), 0)</f>
        <v>0</v>
      </c>
      <c r="W139" s="294"/>
      <c r="X139" s="294"/>
      <c r="Y139" s="247">
        <f>IF(OR(L139="3.2.1.", L139="3.2.2."), VLOOKUP(L139, Работы!$A$3:$D$184, 4, 0), 0)</f>
        <v>0</v>
      </c>
      <c r="Z139" s="247">
        <f>IF(OR(L139="3.4.1.", L139="3.4.2."), VLOOKUP(L139, Работы!$A$3:$D$184, 4, 0), 0)</f>
        <v>0</v>
      </c>
      <c r="AA139" s="68">
        <f>P139*O139+Q139*T139+R139*T139+S139*T139+U139+V139+W139*Y139+X139*Y139+Z139</f>
        <v>903</v>
      </c>
      <c r="AB139" s="295"/>
      <c r="AC139" s="296"/>
      <c r="AD139" s="296"/>
      <c r="AE139" s="69">
        <f>AC139*AD139</f>
        <v>0</v>
      </c>
      <c r="AF139" s="71">
        <f>C139*Работы!$D$180</f>
        <v>3228.6000000000004</v>
      </c>
      <c r="AG139" s="68">
        <f>AA139+AE139+AF139+AL139+AM139</f>
        <v>4131.6000000000004</v>
      </c>
      <c r="AH139" s="72"/>
      <c r="AI139" s="73"/>
      <c r="AJ139" s="245">
        <f>AG139-AA139*AI139</f>
        <v>4131.6000000000004</v>
      </c>
      <c r="AK139" s="251"/>
      <c r="AL139" s="302">
        <f>IF(OR(E139="да"), 4040, 0)</f>
        <v>0</v>
      </c>
      <c r="AM139" s="365">
        <f>IF(OR(D139="доп."), AA139*0.1, 0)</f>
        <v>0</v>
      </c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O139" s="34"/>
      <c r="CP139" s="34"/>
      <c r="CQ139" s="34"/>
    </row>
    <row r="140" spans="1:95" s="46" customFormat="1" ht="25.5" x14ac:dyDescent="0.25">
      <c r="A140" s="241">
        <f>ROW(A140)-10</f>
        <v>130</v>
      </c>
      <c r="B140" s="335" t="s">
        <v>1435</v>
      </c>
      <c r="C140" s="241">
        <f>VLOOKUP(B140, Расстояния!B:J, 9, 0)</f>
        <v>51</v>
      </c>
      <c r="D140" s="242" t="str">
        <f>VLOOKUP(B140, Расстояния!B:K, 10, 0)</f>
        <v>осн.</v>
      </c>
      <c r="E140" s="242" t="str">
        <f>VLOOKUP(B140, Расстояния!B:F, 5, 0)</f>
        <v>нет</v>
      </c>
      <c r="F140" s="290" t="s">
        <v>4080</v>
      </c>
      <c r="G140" s="305">
        <v>46099.375694444447</v>
      </c>
      <c r="H140" s="345">
        <v>46102.46875</v>
      </c>
      <c r="I140" s="345">
        <v>46102.557638888888</v>
      </c>
      <c r="J140" s="303" t="s">
        <v>4046</v>
      </c>
      <c r="K140" s="332"/>
      <c r="L140" s="292" t="s">
        <v>246</v>
      </c>
      <c r="M140" s="241" t="str">
        <f>VLOOKUP(L140, Работы!A:B, 2, 0)</f>
        <v>Замена группы аккумуляторных батарей</v>
      </c>
      <c r="N140" s="330" t="s">
        <v>4244</v>
      </c>
      <c r="O140" s="298">
        <v>1</v>
      </c>
      <c r="P140" s="248">
        <f>IF(OR(L140="3.3.1.", L140="3.3.2.", L140="3.3.3.", L140="3.1.1.", L140="3.1.2.", L140="3.4.1.", L140="3.4.2."), 0, VLOOKUP(L140, Работы!$A$3:$D$184, 4, 0))</f>
        <v>7345</v>
      </c>
      <c r="Q140" s="243"/>
      <c r="R140" s="293"/>
      <c r="S140" s="293"/>
      <c r="T140" s="244">
        <f>IF(OR(L140="3.3.1.", L140="3.3.2.", L140="3.3.3."), VLOOKUP(L140, Работы!$A$3:$D$184, 4, 0), 0)</f>
        <v>0</v>
      </c>
      <c r="U140" s="246">
        <f>IF(OR(L140="3.1.1."), VLOOKUP(L140, Работы!$A$3:$D$184, 4, 0), 0)</f>
        <v>0</v>
      </c>
      <c r="V140" s="246">
        <f>IF(OR(L140="3.1.2."), VLOOKUP(L140, Работы!$A$3:$D$184, 4, 0), 0)</f>
        <v>0</v>
      </c>
      <c r="W140" s="294"/>
      <c r="X140" s="294"/>
      <c r="Y140" s="247">
        <f>IF(OR(L140="3.2.1.", L140="3.2.2."), VLOOKUP(L140, Работы!$A$3:$D$184, 4, 0), 0)</f>
        <v>0</v>
      </c>
      <c r="Z140" s="247">
        <f>IF(OR(L140="3.4.1.", L140="3.4.2."), VLOOKUP(L140, Работы!$A$3:$D$184, 4, 0), 0)</f>
        <v>0</v>
      </c>
      <c r="AA140" s="68">
        <f>P140*O140+Q140*T140+R140*T140+S140*T140+U140+V140+W140*Y140+X140*Y140+Z140</f>
        <v>7345</v>
      </c>
      <c r="AB140" s="295"/>
      <c r="AC140" s="296"/>
      <c r="AD140" s="296"/>
      <c r="AE140" s="69">
        <f>AC140*AD140</f>
        <v>0</v>
      </c>
      <c r="AF140" s="71">
        <f>C140*Работы!$D$180</f>
        <v>2744.31</v>
      </c>
      <c r="AG140" s="68">
        <f>AA140+AE140+AF140+AL140+AM140</f>
        <v>10089.31</v>
      </c>
      <c r="AH140" s="72"/>
      <c r="AI140" s="73"/>
      <c r="AJ140" s="245">
        <f>AG140-AA140*AI140</f>
        <v>10089.31</v>
      </c>
      <c r="AK140" s="301"/>
      <c r="AL140" s="302">
        <f>IF(OR(E140="да"), 4040, 0)</f>
        <v>0</v>
      </c>
      <c r="AM140" s="365">
        <f>IF(OR(D140="доп."), AA140*0.1, 0)</f>
        <v>0</v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</row>
    <row r="141" spans="1:95" s="46" customFormat="1" ht="63.75" x14ac:dyDescent="0.25">
      <c r="A141" s="241">
        <f>ROW(A141)-10</f>
        <v>131</v>
      </c>
      <c r="B141" s="335" t="s">
        <v>1435</v>
      </c>
      <c r="C141" s="241">
        <v>0</v>
      </c>
      <c r="D141" s="242" t="str">
        <f>VLOOKUP(B141, Расстояния!B:K, 10, 0)</f>
        <v>осн.</v>
      </c>
      <c r="E141" s="242" t="str">
        <f>VLOOKUP(B141, Расстояния!B:F, 5, 0)</f>
        <v>нет</v>
      </c>
      <c r="F141" s="290" t="s">
        <v>4080</v>
      </c>
      <c r="G141" s="305">
        <v>46099.375694444447</v>
      </c>
      <c r="H141" s="345">
        <v>46102.46875</v>
      </c>
      <c r="I141" s="345">
        <v>46102.557638888888</v>
      </c>
      <c r="J141" s="303" t="s">
        <v>4046</v>
      </c>
      <c r="K141" s="332"/>
      <c r="L141" s="292" t="s">
        <v>41</v>
      </c>
      <c r="M141" s="241" t="str">
        <f>VLOOKUP(L141, Работы!A:B, 2, 0)</f>
        <v>Замена антивандальной защиты (работы, с учетом стоимости расходных материалов, без учета стоимости металла)</v>
      </c>
      <c r="N141" s="330" t="s">
        <v>4240</v>
      </c>
      <c r="O141" s="298">
        <v>3.3000000000000002E-2</v>
      </c>
      <c r="P141" s="248">
        <f>IF(OR(L141="3.3.1.", L141="3.3.2.", L141="3.3.3.", L141="3.1.1.", L141="3.1.2.", L141="3.4.1.", L141="3.4.2."), 0, VLOOKUP(L141, Работы!$A$3:$D$184, 4, 0))</f>
        <v>76316</v>
      </c>
      <c r="Q141" s="243"/>
      <c r="R141" s="293"/>
      <c r="S141" s="293"/>
      <c r="T141" s="244">
        <f>IF(OR(L141="3.3.1.", L141="3.3.2.", L141="3.3.3."), VLOOKUP(L141, Работы!$A$3:$D$184, 4, 0), 0)</f>
        <v>0</v>
      </c>
      <c r="U141" s="246">
        <f>IF(OR(L141="3.1.1."), VLOOKUP(L141, Работы!$A$3:$D$184, 4, 0), 0)</f>
        <v>0</v>
      </c>
      <c r="V141" s="246">
        <f>IF(OR(L141="3.1.2."), VLOOKUP(L141, Работы!$A$3:$D$184, 4, 0), 0)</f>
        <v>0</v>
      </c>
      <c r="W141" s="294"/>
      <c r="X141" s="294"/>
      <c r="Y141" s="247">
        <f>IF(OR(L141="3.2.1.", L141="3.2.2."), VLOOKUP(L141, Работы!$A$3:$D$184, 4, 0), 0)</f>
        <v>0</v>
      </c>
      <c r="Z141" s="247">
        <f>IF(OR(L141="3.4.1.", L141="3.4.2."), VLOOKUP(L141, Работы!$A$3:$D$184, 4, 0), 0)</f>
        <v>0</v>
      </c>
      <c r="AA141" s="68">
        <f>P141*O141+Q141*T141+R141*T141+S141*T141+U141+V141+W141*Y141+X141*Y141+Z141</f>
        <v>2518.4280000000003</v>
      </c>
      <c r="AB141" s="355"/>
      <c r="AC141" s="356"/>
      <c r="AD141" s="356"/>
      <c r="AE141" s="69">
        <f>AC141*AD141</f>
        <v>0</v>
      </c>
      <c r="AF141" s="71">
        <f>C141*Работы!$D$180</f>
        <v>0</v>
      </c>
      <c r="AG141" s="68">
        <f>AA141+AE141+AF141+AL141+AM141</f>
        <v>2518.4280000000003</v>
      </c>
      <c r="AH141" s="72"/>
      <c r="AI141" s="73"/>
      <c r="AJ141" s="245">
        <f>AG141-AA141*AI141</f>
        <v>2518.4280000000003</v>
      </c>
      <c r="AK141" s="301"/>
      <c r="AL141" s="302">
        <f>IF(OR(E141="да"), 4040, 0)</f>
        <v>0</v>
      </c>
      <c r="AM141" s="365">
        <f>IF(OR(D141="доп."), AA141*0.1, 0)</f>
        <v>0</v>
      </c>
      <c r="AN141" s="370"/>
      <c r="AO141" s="34"/>
      <c r="AP141" s="34"/>
      <c r="AQ141" s="34"/>
      <c r="AR141" s="34"/>
      <c r="AS141" s="34"/>
      <c r="AT141" s="370"/>
      <c r="AU141" s="370"/>
      <c r="AV141" s="370"/>
      <c r="AW141" s="370"/>
      <c r="AX141" s="370"/>
      <c r="AY141" s="370"/>
      <c r="AZ141" s="370"/>
      <c r="BA141" s="370"/>
      <c r="BB141" s="370"/>
      <c r="BC141" s="370"/>
      <c r="BD141" s="370"/>
      <c r="BE141" s="370"/>
      <c r="BF141" s="370"/>
      <c r="BG141" s="370"/>
      <c r="BH141" s="370"/>
      <c r="BI141" s="370"/>
      <c r="BJ141" s="370"/>
      <c r="BK141" s="370"/>
      <c r="BL141" s="370"/>
      <c r="BM141" s="370"/>
      <c r="BN141" s="370"/>
      <c r="BO141" s="370"/>
      <c r="BP141" s="370"/>
      <c r="BQ141" s="370"/>
      <c r="BR141" s="370"/>
      <c r="BS141" s="370"/>
      <c r="BT141" s="370"/>
      <c r="BU141" s="370"/>
      <c r="BV141" s="370"/>
      <c r="BW141" s="370"/>
      <c r="BX141" s="370"/>
      <c r="BY141" s="370"/>
      <c r="BZ141" s="370"/>
      <c r="CA141" s="370"/>
      <c r="CB141" s="370"/>
      <c r="CC141" s="370"/>
      <c r="CD141" s="370"/>
      <c r="CE141" s="370"/>
      <c r="CF141" s="370"/>
      <c r="CG141" s="370"/>
      <c r="CH141" s="370"/>
      <c r="CI141" s="370"/>
      <c r="CJ141" s="370"/>
      <c r="CK141" s="370"/>
      <c r="CL141" s="370"/>
      <c r="CM141" s="370"/>
      <c r="CN141" s="370"/>
      <c r="CO141" s="370"/>
      <c r="CP141" s="370"/>
      <c r="CQ141" s="370"/>
    </row>
    <row r="142" spans="1:95" s="46" customFormat="1" ht="51" x14ac:dyDescent="0.25">
      <c r="A142" s="241">
        <f>ROW(A142)-10</f>
        <v>132</v>
      </c>
      <c r="B142" s="335" t="s">
        <v>1435</v>
      </c>
      <c r="C142" s="241">
        <v>0</v>
      </c>
      <c r="D142" s="242" t="str">
        <f>VLOOKUP(B142, Расстояния!B:K, 10, 0)</f>
        <v>осн.</v>
      </c>
      <c r="E142" s="242" t="str">
        <f>VLOOKUP(B142, Расстояния!B:F, 5, 0)</f>
        <v>нет</v>
      </c>
      <c r="F142" s="290" t="s">
        <v>4080</v>
      </c>
      <c r="G142" s="305">
        <v>46099.375694444447</v>
      </c>
      <c r="H142" s="345">
        <v>46102.46875</v>
      </c>
      <c r="I142" s="345">
        <v>46102.557638888888</v>
      </c>
      <c r="J142" s="303" t="s">
        <v>4046</v>
      </c>
      <c r="K142" s="306"/>
      <c r="L142" s="292" t="s">
        <v>284</v>
      </c>
      <c r="M142" s="241" t="str">
        <f>VLOOKUP(L142, Работы!A:B, 2, 0)</f>
        <v>Антивандальная защита (без учета стоимости расходных материалов, с учетом стоимости металла)</v>
      </c>
      <c r="N142" s="330" t="s">
        <v>4241</v>
      </c>
      <c r="O142" s="298">
        <v>3.3000000000000002E-2</v>
      </c>
      <c r="P142" s="248">
        <f>IF(OR(L142="3.3.1.", L142="3.3.2.", L142="3.3.3.", L142="3.1.1.", L142="3.1.2.", L142="3.4.1.", L142="3.4.2."), 0, VLOOKUP(L142, Работы!$A$3:$D$184, 4, 0))</f>
        <v>64605</v>
      </c>
      <c r="Q142" s="243"/>
      <c r="R142" s="293"/>
      <c r="S142" s="293"/>
      <c r="T142" s="244">
        <f>IF(OR(L142="3.3.1.", L142="3.3.2.", L142="3.3.3."), VLOOKUP(L142, Работы!$A$3:$D$184, 4, 0), 0)</f>
        <v>0</v>
      </c>
      <c r="U142" s="246">
        <f>IF(OR(L142="3.1.1."), VLOOKUP(L142, Работы!$A$3:$D$184, 4, 0), 0)</f>
        <v>0</v>
      </c>
      <c r="V142" s="246">
        <f>IF(OR(L142="3.1.2."), VLOOKUP(L142, Работы!$A$3:$D$184, 4, 0), 0)</f>
        <v>0</v>
      </c>
      <c r="W142" s="294"/>
      <c r="X142" s="294"/>
      <c r="Y142" s="247">
        <f>IF(OR(L142="3.2.1.", L142="3.2.2."), VLOOKUP(L142, Работы!$A$3:$D$184, 4, 0), 0)</f>
        <v>0</v>
      </c>
      <c r="Z142" s="247">
        <f>IF(OR(L142="3.4.1.", L142="3.4.2."), VLOOKUP(L142, Работы!$A$3:$D$184, 4, 0), 0)</f>
        <v>0</v>
      </c>
      <c r="AA142" s="68">
        <f>P142*O142+Q142*T142+R142*T142+S142*T142+U142+V142+W142*Y142+X142*Y142+Z142</f>
        <v>2131.9650000000001</v>
      </c>
      <c r="AB142" s="355"/>
      <c r="AC142" s="356"/>
      <c r="AD142" s="356"/>
      <c r="AE142" s="69">
        <f>AC142*AD142</f>
        <v>0</v>
      </c>
      <c r="AF142" s="71">
        <f>C142*Работы!$D$180</f>
        <v>0</v>
      </c>
      <c r="AG142" s="68">
        <f>AA142+AE142+AF142+AL142+AM142</f>
        <v>2131.9650000000001</v>
      </c>
      <c r="AH142" s="72"/>
      <c r="AI142" s="73"/>
      <c r="AJ142" s="245">
        <f>AG142-AA142*AI142</f>
        <v>2131.9650000000001</v>
      </c>
      <c r="AK142" s="301"/>
      <c r="AL142" s="302">
        <f>IF(OR(E142="да"), 4040, 0)</f>
        <v>0</v>
      </c>
      <c r="AM142" s="365">
        <f>IF(OR(D142="доп."), AA142*0.1, 0)</f>
        <v>0</v>
      </c>
      <c r="AN142" s="370"/>
      <c r="AO142" s="34"/>
      <c r="AP142" s="34"/>
      <c r="AQ142" s="34"/>
      <c r="AR142" s="34"/>
      <c r="AS142" s="34"/>
    </row>
    <row r="143" spans="1:95" s="46" customFormat="1" ht="114.75" x14ac:dyDescent="0.25">
      <c r="A143" s="241">
        <f>ROW(A143)-10</f>
        <v>133</v>
      </c>
      <c r="B143" s="335" t="s">
        <v>1435</v>
      </c>
      <c r="C143" s="241">
        <v>0</v>
      </c>
      <c r="D143" s="242" t="str">
        <f>VLOOKUP(B143, Расстояния!B:K, 10, 0)</f>
        <v>осн.</v>
      </c>
      <c r="E143" s="242" t="str">
        <f>VLOOKUP(B143, Расстояния!B:F, 5, 0)</f>
        <v>нет</v>
      </c>
      <c r="F143" s="290" t="s">
        <v>4080</v>
      </c>
      <c r="G143" s="305">
        <v>46099.375694444447</v>
      </c>
      <c r="H143" s="345">
        <v>46102.46875</v>
      </c>
      <c r="I143" s="345">
        <v>46102.557638888888</v>
      </c>
      <c r="J143" s="303" t="s">
        <v>4046</v>
      </c>
      <c r="K143" s="306"/>
      <c r="L143" s="292" t="s">
        <v>198</v>
      </c>
      <c r="M143" s="241" t="str">
        <f>VLOOKUP(L143, Работы!A:B, 2, 0)</f>
        <v>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</v>
      </c>
      <c r="N143" s="347" t="s">
        <v>4245</v>
      </c>
      <c r="O143" s="298">
        <v>1</v>
      </c>
      <c r="P143" s="248">
        <f>IF(OR(L143="3.3.1.", L143="3.3.2.", L143="3.3.3.", L143="3.1.1.", L143="3.1.2.", L143="3.4.1.", L143="3.4.2."), 0, VLOOKUP(L143, Работы!$A$3:$D$184, 4, 0))</f>
        <v>735</v>
      </c>
      <c r="Q143" s="243"/>
      <c r="R143" s="293"/>
      <c r="S143" s="293"/>
      <c r="T143" s="244">
        <f>IF(OR(L143="3.3.1.", L143="3.3.2.", L143="3.3.3."), VLOOKUP(L143, Работы!$A$3:$D$184, 4, 0), 0)</f>
        <v>0</v>
      </c>
      <c r="U143" s="246">
        <f>IF(OR(L143="3.1.1."), VLOOKUP(L143, Работы!$A$3:$D$184, 4, 0), 0)</f>
        <v>0</v>
      </c>
      <c r="V143" s="246">
        <f>IF(OR(L143="3.1.2."), VLOOKUP(L143, Работы!$A$3:$D$184, 4, 0), 0)</f>
        <v>0</v>
      </c>
      <c r="W143" s="294"/>
      <c r="X143" s="294"/>
      <c r="Y143" s="247">
        <f>IF(OR(L143="3.2.1.", L143="3.2.2."), VLOOKUP(L143, Работы!$A$3:$D$184, 4, 0), 0)</f>
        <v>0</v>
      </c>
      <c r="Z143" s="247">
        <f>IF(OR(L143="3.4.1.", L143="3.4.2."), VLOOKUP(L143, Работы!$A$3:$D$184, 4, 0), 0)</f>
        <v>0</v>
      </c>
      <c r="AA143" s="68">
        <f>P143*O143+Q143*T143+R143*T143+S143*T143+U143+V143+W143*Y143+X143*Y143+Z143</f>
        <v>735</v>
      </c>
      <c r="AB143" s="295"/>
      <c r="AC143" s="296"/>
      <c r="AD143" s="296"/>
      <c r="AE143" s="69">
        <f>AC143*AD143</f>
        <v>0</v>
      </c>
      <c r="AF143" s="71">
        <f>C143*Работы!$D$180</f>
        <v>0</v>
      </c>
      <c r="AG143" s="68">
        <f>AA143+AE143+AF143+AL143+AM143</f>
        <v>735</v>
      </c>
      <c r="AH143" s="72"/>
      <c r="AI143" s="73"/>
      <c r="AJ143" s="245">
        <f>AG143-AA143*AI143</f>
        <v>735</v>
      </c>
      <c r="AK143" s="301"/>
      <c r="AL143" s="302">
        <f>IF(OR(E143="да"), 4040, 0)</f>
        <v>0</v>
      </c>
      <c r="AM143" s="365">
        <f>IF(OR(D143="доп."), AA143*0.1, 0)</f>
        <v>0</v>
      </c>
      <c r="AN143" s="251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</row>
    <row r="144" spans="1:95" s="46" customFormat="1" ht="102" x14ac:dyDescent="0.25">
      <c r="A144" s="241">
        <f>ROW(A144)-10</f>
        <v>134</v>
      </c>
      <c r="B144" s="335" t="s">
        <v>1435</v>
      </c>
      <c r="C144" s="241">
        <f>VLOOKUP(B144, Расстояния!B:J, 9, 0)</f>
        <v>51</v>
      </c>
      <c r="D144" s="242" t="str">
        <f>VLOOKUP(B144, Расстояния!B:K, 10, 0)</f>
        <v>осн.</v>
      </c>
      <c r="E144" s="242" t="str">
        <f>VLOOKUP(B144, Расстояния!B:F, 5, 0)</f>
        <v>нет</v>
      </c>
      <c r="F144" s="290" t="s">
        <v>4233</v>
      </c>
      <c r="G144" s="305">
        <v>46097.595833333333</v>
      </c>
      <c r="H144" s="345">
        <v>46097.638888888891</v>
      </c>
      <c r="I144" s="345">
        <v>46097.682638888888</v>
      </c>
      <c r="J144" s="304" t="s">
        <v>4227</v>
      </c>
      <c r="K144" s="306"/>
      <c r="L144" s="340" t="s">
        <v>367</v>
      </c>
      <c r="M144" s="241" t="str">
        <f>VLOOKUP(L144,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44" s="330" t="s">
        <v>4311</v>
      </c>
      <c r="O144" s="298"/>
      <c r="P144" s="248">
        <f>IF(OR(L144="3.3.1.", L144="3.3.2.", L144="3.3.3.", L144="3.1.1.", L144="3.1.2.", L144="3.4.1.", L144="3.4.2."), 0, VLOOKUP(L144, Работы!$A$3:$D$184, 4, 0))</f>
        <v>0</v>
      </c>
      <c r="Q144" s="243">
        <v>1</v>
      </c>
      <c r="R144" s="293"/>
      <c r="S144" s="293"/>
      <c r="T144" s="244">
        <f>IF(OR(L144="3.3.1.", L144="3.3.2.", L144="3.3.3."), VLOOKUP(L144, Работы!$A$3:$D$184, 4, 0), 0)</f>
        <v>903</v>
      </c>
      <c r="U144" s="246">
        <f>IF(OR(L144="3.1.1."), VLOOKUP(L144, Работы!$A$3:$D$184, 4, 0), 0)</f>
        <v>0</v>
      </c>
      <c r="V144" s="246">
        <f>IF(OR(L144="3.1.2."), VLOOKUP(L144, Работы!$A$3:$D$184, 4, 0), 0)</f>
        <v>0</v>
      </c>
      <c r="W144" s="294"/>
      <c r="X144" s="294"/>
      <c r="Y144" s="247">
        <f>IF(OR(L144="3.2.1.", L144="3.2.2."), VLOOKUP(L144, Работы!$A$3:$D$184, 4, 0), 0)</f>
        <v>0</v>
      </c>
      <c r="Z144" s="247">
        <f>IF(OR(L144="3.4.1.", L144="3.4.2."), VLOOKUP(L144, Работы!$A$3:$D$184, 4, 0), 0)</f>
        <v>0</v>
      </c>
      <c r="AA144" s="68">
        <f>P144*O144+Q144*T144+R144*T144+S144*T144+U144+V144+W144*Y144+X144*Y144+Z144</f>
        <v>903</v>
      </c>
      <c r="AB144" s="295"/>
      <c r="AC144" s="296"/>
      <c r="AD144" s="296"/>
      <c r="AE144" s="69">
        <f>AC144*AD144</f>
        <v>0</v>
      </c>
      <c r="AF144" s="71">
        <f>C144*Работы!$D$180</f>
        <v>2744.31</v>
      </c>
      <c r="AG144" s="68">
        <f>AA144+AE144+AF144+AL144+AM144</f>
        <v>3647.31</v>
      </c>
      <c r="AH144" s="72"/>
      <c r="AI144" s="73"/>
      <c r="AJ144" s="245">
        <f>AG144-AA144*AI144</f>
        <v>3647.31</v>
      </c>
      <c r="AK144" s="251"/>
      <c r="AL144" s="302">
        <f>IF(OR(E144="да"), 4040, 0)</f>
        <v>0</v>
      </c>
      <c r="AM144" s="365">
        <f>IF(OR(D144="доп."), AA144*0.1, 0)</f>
        <v>0</v>
      </c>
      <c r="AN144" s="367"/>
      <c r="AO144" s="34"/>
      <c r="AP144" s="34"/>
      <c r="AQ144" s="34"/>
      <c r="AR144" s="34"/>
      <c r="AS144" s="34"/>
      <c r="AT144" s="370"/>
      <c r="AU144" s="370"/>
      <c r="AV144" s="370"/>
      <c r="AW144" s="370"/>
      <c r="AX144" s="370"/>
      <c r="AY144" s="370"/>
      <c r="AZ144" s="370"/>
      <c r="BA144" s="370"/>
      <c r="BB144" s="370"/>
      <c r="BC144" s="370"/>
      <c r="BD144" s="370"/>
      <c r="BE144" s="370"/>
      <c r="BF144" s="370"/>
      <c r="BG144" s="370"/>
      <c r="BH144" s="370"/>
      <c r="BI144" s="370"/>
      <c r="BJ144" s="370"/>
      <c r="BK144" s="370"/>
      <c r="BL144" s="370"/>
      <c r="BM144" s="370"/>
      <c r="BN144" s="370"/>
      <c r="BO144" s="370"/>
      <c r="BP144" s="370"/>
      <c r="BQ144" s="370"/>
      <c r="BR144" s="370"/>
      <c r="BS144" s="370"/>
      <c r="BT144" s="370"/>
      <c r="BU144" s="370"/>
      <c r="BV144" s="370"/>
      <c r="BW144" s="370"/>
      <c r="BX144" s="370"/>
      <c r="BY144" s="370"/>
      <c r="BZ144" s="370"/>
      <c r="CA144" s="370"/>
      <c r="CB144" s="370"/>
      <c r="CC144" s="370"/>
      <c r="CD144" s="370"/>
      <c r="CE144" s="370"/>
      <c r="CF144" s="370"/>
      <c r="CG144" s="370"/>
      <c r="CH144" s="370"/>
      <c r="CI144" s="370"/>
      <c r="CJ144" s="370"/>
      <c r="CK144" s="370"/>
      <c r="CL144" s="370"/>
      <c r="CM144" s="370"/>
      <c r="CN144" s="370"/>
      <c r="CO144" s="370"/>
      <c r="CP144" s="370"/>
      <c r="CQ144" s="370"/>
    </row>
    <row r="145" spans="1:95" s="46" customFormat="1" ht="63.75" x14ac:dyDescent="0.25">
      <c r="A145" s="241">
        <f>ROW(A145)-10</f>
        <v>135</v>
      </c>
      <c r="B145" s="335" t="s">
        <v>2237</v>
      </c>
      <c r="C145" s="241">
        <v>12</v>
      </c>
      <c r="D145" s="242" t="str">
        <f>VLOOKUP(B145, Расстояния!B:K, 10, 0)</f>
        <v>осн.</v>
      </c>
      <c r="E145" s="242" t="str">
        <f>VLOOKUP(B145, Расстояния!B:F, 5, 0)</f>
        <v>нет</v>
      </c>
      <c r="F145" s="290" t="s">
        <v>4215</v>
      </c>
      <c r="G145" s="305">
        <v>46103.140023148146</v>
      </c>
      <c r="H145" s="345">
        <v>46103.17083333333</v>
      </c>
      <c r="I145" s="345">
        <v>46103.17083333333</v>
      </c>
      <c r="J145" s="303" t="s">
        <v>4207</v>
      </c>
      <c r="K145" s="306"/>
      <c r="L145" s="292" t="s">
        <v>371</v>
      </c>
      <c r="M145" s="241" t="str">
        <f>VLOOKUP(L145, Работы!A:B, 2, 0)</f>
        <v>Стоимость отменённого вызова на Аварийно-восстановительные работы, заявка по которым получена во внерабочее время</v>
      </c>
      <c r="N145" s="346" t="s">
        <v>3882</v>
      </c>
      <c r="O145" s="298"/>
      <c r="P145" s="248">
        <f>IF(OR(L145="3.3.1.", L145="3.3.2.", L145="3.3.3.", L145="3.1.1.", L145="3.1.2.", L145="3.4.1.", L145="3.4.2."), 0, VLOOKUP(L145, Работы!$A$3:$D$184, 4, 0))</f>
        <v>0</v>
      </c>
      <c r="Q145" s="243"/>
      <c r="R145" s="293"/>
      <c r="S145" s="293"/>
      <c r="T145" s="244">
        <f>IF(OR(L145="3.3.1.", L145="3.3.2.", L145="3.3.3."), VLOOKUP(L145, Работы!$A$3:$D$184, 4, 0), 0)</f>
        <v>0</v>
      </c>
      <c r="U145" s="246">
        <f>IF(OR(L145="3.1.1."), VLOOKUP(L145, Работы!$A$3:$D$184, 4, 0), 0)</f>
        <v>0</v>
      </c>
      <c r="V145" s="246">
        <f>IF(OR(L145="3.1.2."), VLOOKUP(L145, Работы!$A$3:$D$184, 4, 0), 0)</f>
        <v>0</v>
      </c>
      <c r="W145" s="294"/>
      <c r="X145" s="294"/>
      <c r="Y145" s="247">
        <f>IF(OR(L145="3.2.1.", L145="3.2.2."), VLOOKUP(L145, Работы!$A$3:$D$184, 4, 0), 0)</f>
        <v>0</v>
      </c>
      <c r="Z145" s="247">
        <f>IF(OR(L145="3.4.1.", L145="3.4.2."), VLOOKUP(L145, Работы!$A$3:$D$184, 4, 0), 0)</f>
        <v>1731</v>
      </c>
      <c r="AA145" s="68">
        <f>P145*O145+Q145*T145+R145*T145+S145*T145+U145+V145+W145*Y145+X145*Y145+Z145</f>
        <v>1731</v>
      </c>
      <c r="AB145" s="295"/>
      <c r="AC145" s="296"/>
      <c r="AD145" s="296"/>
      <c r="AE145" s="69">
        <f>AC145*AD145</f>
        <v>0</v>
      </c>
      <c r="AF145" s="71">
        <f>C145*Работы!$D$180</f>
        <v>645.72</v>
      </c>
      <c r="AG145" s="68">
        <f>AA145+AE145+AF145+AL145+AM145</f>
        <v>2376.7200000000003</v>
      </c>
      <c r="AH145" s="72"/>
      <c r="AI145" s="73"/>
      <c r="AJ145" s="245">
        <f>AG145-AA145*AI145</f>
        <v>2376.7200000000003</v>
      </c>
      <c r="AK145" s="301"/>
      <c r="AL145" s="302">
        <f>IF(OR(E145="да"), 4040, 0)</f>
        <v>0</v>
      </c>
      <c r="AM145" s="365">
        <f>IF(OR(D145="доп."), AA145*0.1, 0)</f>
        <v>0</v>
      </c>
      <c r="AN145" s="1287"/>
      <c r="AO145" s="34"/>
      <c r="AP145" s="34"/>
      <c r="AQ145" s="34"/>
      <c r="AR145" s="34"/>
      <c r="AS145" s="34"/>
      <c r="AT145" s="370"/>
      <c r="AU145" s="370"/>
      <c r="AV145" s="370"/>
      <c r="AW145" s="370"/>
      <c r="AX145" s="370"/>
      <c r="AY145" s="370"/>
      <c r="AZ145" s="370"/>
      <c r="BA145" s="370"/>
      <c r="BB145" s="370"/>
      <c r="BC145" s="370"/>
      <c r="BD145" s="370"/>
      <c r="BE145" s="370"/>
      <c r="BF145" s="370"/>
      <c r="BG145" s="370"/>
      <c r="BH145" s="370"/>
      <c r="BI145" s="370"/>
      <c r="BJ145" s="370"/>
      <c r="BK145" s="370"/>
      <c r="BL145" s="370"/>
      <c r="BM145" s="370"/>
      <c r="BN145" s="370"/>
      <c r="BO145" s="370"/>
      <c r="BP145" s="370"/>
      <c r="BQ145" s="370"/>
      <c r="BR145" s="370"/>
      <c r="BS145" s="370"/>
      <c r="BT145" s="370"/>
      <c r="BU145" s="370"/>
      <c r="BV145" s="370"/>
      <c r="BW145" s="370"/>
      <c r="BX145" s="370"/>
      <c r="BY145" s="370"/>
      <c r="BZ145" s="370"/>
      <c r="CA145" s="370"/>
      <c r="CB145" s="370"/>
      <c r="CC145" s="370"/>
      <c r="CD145" s="370"/>
      <c r="CE145" s="370"/>
      <c r="CF145" s="370"/>
      <c r="CG145" s="370"/>
      <c r="CH145" s="370"/>
      <c r="CI145" s="370"/>
      <c r="CJ145" s="370"/>
      <c r="CK145" s="370"/>
      <c r="CL145" s="370"/>
      <c r="CM145" s="370"/>
      <c r="CN145" s="370"/>
      <c r="CO145" s="370"/>
      <c r="CP145" s="370"/>
      <c r="CQ145" s="370"/>
    </row>
    <row r="146" spans="1:95" s="46" customFormat="1" ht="51" x14ac:dyDescent="0.25">
      <c r="A146" s="241">
        <f>ROW(A146)-10</f>
        <v>136</v>
      </c>
      <c r="B146" s="335" t="s">
        <v>2347</v>
      </c>
      <c r="C146" s="241">
        <f>VLOOKUP(B146, Расстояния!B:J, 9, 0)</f>
        <v>63</v>
      </c>
      <c r="D146" s="242" t="str">
        <f>VLOOKUP(B146, Расстояния!B:K, 10, 0)</f>
        <v>осн.</v>
      </c>
      <c r="E146" s="242" t="str">
        <f>VLOOKUP(B146, Расстояния!B:F, 5, 0)</f>
        <v>нет</v>
      </c>
      <c r="F146" s="290" t="s">
        <v>4148</v>
      </c>
      <c r="G146" s="305">
        <v>46107.874305555553</v>
      </c>
      <c r="H146" s="345">
        <v>46107.928472222222</v>
      </c>
      <c r="I146" s="345">
        <v>46107.939583333333</v>
      </c>
      <c r="J146" s="304" t="s">
        <v>3883</v>
      </c>
      <c r="K146" s="306"/>
      <c r="L146" s="250" t="s">
        <v>332</v>
      </c>
      <c r="M146" s="241" t="str">
        <f>VLOOKUP(L146, Работы!A:B, 2, 0)</f>
        <v>Стоимость аварийно-восстановительных работ, заявка по которым получена во внерабочее время</v>
      </c>
      <c r="N146" s="330" t="s">
        <v>4256</v>
      </c>
      <c r="O146" s="298"/>
      <c r="P146" s="248">
        <f>IF(OR(L146="3.3.1.", L146="3.3.2.", L146="3.3.3.", L146="3.1.1.", L146="3.1.2.", L146="3.4.1.", L146="3.4.2."), 0, VLOOKUP(L146, Работы!$A$3:$D$184, 4, 0))</f>
        <v>0</v>
      </c>
      <c r="Q146" s="243"/>
      <c r="R146" s="293"/>
      <c r="S146" s="293"/>
      <c r="T146" s="244">
        <f>IF(OR(L146="3.3.1.", L146="3.3.2.", L146="3.3.3."), VLOOKUP(L146, Работы!$A$3:$D$184, 4, 0), 0)</f>
        <v>0</v>
      </c>
      <c r="U146" s="246">
        <f>IF(OR(L146="3.1.1."), VLOOKUP(L146, Работы!$A$3:$D$184, 4, 0), 0)</f>
        <v>0</v>
      </c>
      <c r="V146" s="246">
        <f>IF(OR(L146="3.1.2."), VLOOKUP(L146, Работы!$A$3:$D$184, 4, 0), 0)</f>
        <v>7187</v>
      </c>
      <c r="W146" s="294"/>
      <c r="X146" s="294"/>
      <c r="Y146" s="247">
        <f>IF(OR(L146="3.2.1.", L146="3.2.2."), VLOOKUP(L146, Работы!$A$3:$D$184, 4, 0), 0)</f>
        <v>0</v>
      </c>
      <c r="Z146" s="247">
        <f>IF(OR(L146="3.4.1.", L146="3.4.2."), VLOOKUP(L146, Работы!$A$3:$D$184, 4, 0), 0)</f>
        <v>0</v>
      </c>
      <c r="AA146" s="68">
        <f>P146*O146+Q146*T146+R146*T146+S146*T146+U146+V146+W146*Y146+X146*Y146+Z146</f>
        <v>7187</v>
      </c>
      <c r="AB146" s="295"/>
      <c r="AC146" s="296"/>
      <c r="AD146" s="296"/>
      <c r="AE146" s="69">
        <f>AC146*AD146</f>
        <v>0</v>
      </c>
      <c r="AF146" s="71">
        <f>C146*Работы!$D$180</f>
        <v>3390.03</v>
      </c>
      <c r="AG146" s="68">
        <f>AA146+AE146+AF146+AL146+AM146</f>
        <v>10577.03</v>
      </c>
      <c r="AH146" s="72"/>
      <c r="AI146" s="73"/>
      <c r="AJ146" s="245">
        <f>AG146-AA146*AI146</f>
        <v>10577.03</v>
      </c>
      <c r="AK146" s="251"/>
      <c r="AL146" s="302">
        <f>IF(OR(E146="да"), 4040, 0)</f>
        <v>0</v>
      </c>
      <c r="AM146" s="365">
        <f>IF(OR(D146="доп."), AA146*0.1, 0)</f>
        <v>0</v>
      </c>
      <c r="AN146" s="251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43"/>
      <c r="BW146" s="43"/>
      <c r="BX146" s="43"/>
      <c r="BY146" s="43"/>
      <c r="BZ146" s="43"/>
      <c r="CA146" s="43"/>
      <c r="CB146" s="43"/>
      <c r="CC146" s="43"/>
      <c r="CD146" s="43"/>
      <c r="CE146" s="43"/>
      <c r="CF146" s="43"/>
      <c r="CG146" s="43"/>
      <c r="CH146" s="43"/>
      <c r="CI146" s="43"/>
      <c r="CJ146" s="43"/>
      <c r="CK146" s="43"/>
      <c r="CL146" s="43"/>
      <c r="CM146" s="43"/>
      <c r="CN146" s="43"/>
      <c r="CO146" s="43"/>
      <c r="CP146" s="43"/>
      <c r="CQ146" s="43"/>
    </row>
    <row r="147" spans="1:95" s="46" customFormat="1" ht="63.75" x14ac:dyDescent="0.25">
      <c r="A147" s="241">
        <f>ROW(A147)-10</f>
        <v>137</v>
      </c>
      <c r="B147" s="335" t="s">
        <v>4050</v>
      </c>
      <c r="C147" s="241">
        <v>45</v>
      </c>
      <c r="D147" s="242" t="str">
        <f>VLOOKUP(B147, Расстояния!B:K, 10, 0)</f>
        <v>осн.</v>
      </c>
      <c r="E147" s="242" t="str">
        <f>VLOOKUP(B147, Расстояния!B:F, 5, 0)</f>
        <v>нет</v>
      </c>
      <c r="F147" s="290" t="s">
        <v>4191</v>
      </c>
      <c r="G147" s="305">
        <v>46101.453472222223</v>
      </c>
      <c r="H147" s="345">
        <v>46101.496527777781</v>
      </c>
      <c r="I147" s="345">
        <v>46101.496527777781</v>
      </c>
      <c r="J147" s="303" t="s">
        <v>4192</v>
      </c>
      <c r="K147" s="306"/>
      <c r="L147" s="250" t="s">
        <v>368</v>
      </c>
      <c r="M147" s="241" t="str">
        <f>VLOOKUP(L147, Работы!A:B, 2, 0)</f>
        <v>Стоимость отменённого вызова на Аварийно-восстановительные работы, заявка по которым получена в рабочее время</v>
      </c>
      <c r="N147" s="346" t="s">
        <v>3882</v>
      </c>
      <c r="O147" s="298"/>
      <c r="P147" s="248">
        <f>IF(OR(L147="3.3.1.", L147="3.3.2.", L147="3.3.3.", L147="3.1.1.", L147="3.1.2.", L147="3.4.1.", L147="3.4.2."), 0, VLOOKUP(L147, Работы!$A$3:$D$184, 4, 0))</f>
        <v>0</v>
      </c>
      <c r="Q147" s="243"/>
      <c r="R147" s="293"/>
      <c r="S147" s="293"/>
      <c r="T147" s="244">
        <f>IF(OR(L147="3.3.1.", L147="3.3.2.", L147="3.3.3."), VLOOKUP(L147, Работы!$A$3:$D$184, 4, 0), 0)</f>
        <v>0</v>
      </c>
      <c r="U147" s="246">
        <f>IF(OR(L147="3.1.1."), VLOOKUP(L147, Работы!$A$3:$D$184, 4, 0), 0)</f>
        <v>0</v>
      </c>
      <c r="V147" s="246">
        <f>IF(OR(L147="3.1.2."), VLOOKUP(L147, Работы!$A$3:$D$184, 4, 0), 0)</f>
        <v>0</v>
      </c>
      <c r="W147" s="294"/>
      <c r="X147" s="294"/>
      <c r="Y147" s="247">
        <f>IF(OR(L147="3.2.1.", L147="3.2.2."), VLOOKUP(L147, Работы!$A$3:$D$184, 4, 0), 0)</f>
        <v>0</v>
      </c>
      <c r="Z147" s="247">
        <f>IF(OR(L147="3.4.1.", L147="3.4.2."), VLOOKUP(L147, Работы!$A$3:$D$184, 4, 0), 0)</f>
        <v>922</v>
      </c>
      <c r="AA147" s="68">
        <f>P147*O147+Q147*T147+R147*T147+S147*T147+U147+V147+W147*Y147+X147*Y147+Z147</f>
        <v>922</v>
      </c>
      <c r="AB147" s="295"/>
      <c r="AC147" s="296"/>
      <c r="AD147" s="296"/>
      <c r="AE147" s="69">
        <f>AC147*AD147</f>
        <v>0</v>
      </c>
      <c r="AF147" s="71">
        <f>C147*Работы!$D$180</f>
        <v>2421.4500000000003</v>
      </c>
      <c r="AG147" s="68">
        <f>AA147+AE147+AF147+AL147+AM147</f>
        <v>3343.4500000000003</v>
      </c>
      <c r="AH147" s="72"/>
      <c r="AI147" s="73"/>
      <c r="AJ147" s="245">
        <f>AG147-AA147*AI147</f>
        <v>3343.4500000000003</v>
      </c>
      <c r="AK147" s="251"/>
      <c r="AL147" s="302">
        <f>IF(OR(E147="да"), 4040, 0)</f>
        <v>0</v>
      </c>
      <c r="AM147" s="365">
        <f>IF(OR(D147="доп."), AA147*0.1, 0)</f>
        <v>0</v>
      </c>
      <c r="AN147" s="367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</row>
    <row r="148" spans="1:95" s="46" customFormat="1" ht="63.75" x14ac:dyDescent="0.25">
      <c r="A148" s="241">
        <f>ROW(A148)-10</f>
        <v>138</v>
      </c>
      <c r="B148" s="335" t="s">
        <v>4050</v>
      </c>
      <c r="C148" s="241">
        <v>65</v>
      </c>
      <c r="D148" s="242" t="str">
        <f>VLOOKUP(B148, Расстояния!B:K, 10, 0)</f>
        <v>осн.</v>
      </c>
      <c r="E148" s="242" t="str">
        <f>VLOOKUP(B148, Расстояния!B:F, 5, 0)</f>
        <v>нет</v>
      </c>
      <c r="F148" s="290" t="s">
        <v>4194</v>
      </c>
      <c r="G148" s="305">
        <v>46102.02847222222</v>
      </c>
      <c r="H148" s="345">
        <v>46102.076388888891</v>
      </c>
      <c r="I148" s="345">
        <v>46102.076388888891</v>
      </c>
      <c r="J148" s="304" t="s">
        <v>4192</v>
      </c>
      <c r="K148" s="306"/>
      <c r="L148" s="340" t="s">
        <v>371</v>
      </c>
      <c r="M148" s="241" t="str">
        <f>VLOOKUP(L148, Работы!A:B, 2, 0)</f>
        <v>Стоимость отменённого вызова на Аварийно-восстановительные работы, заявка по которым получена во внерабочее время</v>
      </c>
      <c r="N148" s="346" t="s">
        <v>3882</v>
      </c>
      <c r="O148" s="298"/>
      <c r="P148" s="248">
        <f>IF(OR(L148="3.3.1.", L148="3.3.2.", L148="3.3.3.", L148="3.1.1.", L148="3.1.2.", L148="3.4.1.", L148="3.4.2."), 0, VLOOKUP(L148, Работы!$A$3:$D$184, 4, 0))</f>
        <v>0</v>
      </c>
      <c r="Q148" s="243"/>
      <c r="R148" s="293"/>
      <c r="S148" s="293"/>
      <c r="T148" s="244">
        <f>IF(OR(L148="3.3.1.", L148="3.3.2.", L148="3.3.3."), VLOOKUP(L148, Работы!$A$3:$D$184, 4, 0), 0)</f>
        <v>0</v>
      </c>
      <c r="U148" s="246">
        <f>IF(OR(L148="3.1.1."), VLOOKUP(L148, Работы!$A$3:$D$184, 4, 0), 0)</f>
        <v>0</v>
      </c>
      <c r="V148" s="246">
        <f>IF(OR(L148="3.1.2."), VLOOKUP(L148, Работы!$A$3:$D$184, 4, 0), 0)</f>
        <v>0</v>
      </c>
      <c r="W148" s="294"/>
      <c r="X148" s="294"/>
      <c r="Y148" s="247">
        <f>IF(OR(L148="3.2.1.", L148="3.2.2."), VLOOKUP(L148, Работы!$A$3:$D$184, 4, 0), 0)</f>
        <v>0</v>
      </c>
      <c r="Z148" s="247">
        <f>IF(OR(L148="3.4.1.", L148="3.4.2."), VLOOKUP(L148, Работы!$A$3:$D$184, 4, 0), 0)</f>
        <v>1731</v>
      </c>
      <c r="AA148" s="68">
        <f>P148*O148+Q148*T148+R148*T148+S148*T148+U148+V148+W148*Y148+X148*Y148+Z148</f>
        <v>1731</v>
      </c>
      <c r="AB148" s="295"/>
      <c r="AC148" s="296"/>
      <c r="AD148" s="296"/>
      <c r="AE148" s="69">
        <f>AC148*AD148</f>
        <v>0</v>
      </c>
      <c r="AF148" s="71">
        <f>C148*Работы!$D$180</f>
        <v>3497.65</v>
      </c>
      <c r="AG148" s="68">
        <f>AA148+AE148+AF148+AL148+AM148</f>
        <v>5228.6499999999996</v>
      </c>
      <c r="AH148" s="72"/>
      <c r="AI148" s="73"/>
      <c r="AJ148" s="245">
        <f>AG148-AA148*AI148</f>
        <v>5228.6499999999996</v>
      </c>
      <c r="AK148" s="301"/>
      <c r="AL148" s="302">
        <f>IF(OR(E148="да"), 4040, 0)</f>
        <v>0</v>
      </c>
      <c r="AM148" s="365">
        <f>IF(OR(D148="доп."), AA148*0.1, 0)</f>
        <v>0</v>
      </c>
      <c r="AN148" s="1287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</row>
    <row r="149" spans="1:95" s="46" customFormat="1" ht="102" x14ac:dyDescent="0.25">
      <c r="A149" s="241">
        <f>ROW(A149)-10</f>
        <v>139</v>
      </c>
      <c r="B149" s="335" t="s">
        <v>4050</v>
      </c>
      <c r="C149" s="241">
        <f>VLOOKUP(B149, Расстояния!B:J, 9, 0)</f>
        <v>75</v>
      </c>
      <c r="D149" s="242" t="str">
        <f>VLOOKUP(B149, Расстояния!B:K, 10, 0)</f>
        <v>осн.</v>
      </c>
      <c r="E149" s="242" t="str">
        <f>VLOOKUP(B149, Расстояния!B:F, 5, 0)</f>
        <v>нет</v>
      </c>
      <c r="F149" s="290" t="s">
        <v>4203</v>
      </c>
      <c r="G149" s="305">
        <v>46106.489583333336</v>
      </c>
      <c r="H149" s="353">
        <v>46106.525000000001</v>
      </c>
      <c r="I149" s="353">
        <v>46106.738888888889</v>
      </c>
      <c r="J149" s="342" t="s">
        <v>4204</v>
      </c>
      <c r="K149" s="343"/>
      <c r="L149" s="292" t="s">
        <v>367</v>
      </c>
      <c r="M149" s="241" t="str">
        <f>VLOOKUP(L149,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49" s="330" t="s">
        <v>3843</v>
      </c>
      <c r="O149" s="298"/>
      <c r="P149" s="248">
        <f>IF(OR(L149="3.3.1.", L149="3.3.2.", L149="3.3.3.", L149="3.1.1.", L149="3.1.2.", L149="3.4.1.", L149="3.4.2."), 0, VLOOKUP(L149, Работы!$A$3:$D$184, 4, 0))</f>
        <v>0</v>
      </c>
      <c r="Q149" s="243">
        <f>ROUNDUP((I149-H149)*24, 0)</f>
        <v>6</v>
      </c>
      <c r="R149" s="293"/>
      <c r="S149" s="293"/>
      <c r="T149" s="244">
        <f>IF(OR(L149="3.3.1.", L149="3.3.2.", L149="3.3.3."), VLOOKUP(L149, Работы!$A$3:$D$184, 4, 0), 0)</f>
        <v>903</v>
      </c>
      <c r="U149" s="246">
        <f>IF(OR(L149="3.1.1."), VLOOKUP(L149, Работы!$A$3:$D$184, 4, 0), 0)</f>
        <v>0</v>
      </c>
      <c r="V149" s="246">
        <f>IF(OR(L149="3.1.2."), VLOOKUP(L149, Работы!$A$3:$D$184, 4, 0), 0)</f>
        <v>0</v>
      </c>
      <c r="W149" s="294"/>
      <c r="X149" s="294"/>
      <c r="Y149" s="247">
        <f>IF(OR(L149="3.2.1.", L149="3.2.2."), VLOOKUP(L149, Работы!$A$3:$D$184, 4, 0), 0)</f>
        <v>0</v>
      </c>
      <c r="Z149" s="247">
        <f>IF(OR(L149="3.4.1.", L149="3.4.2."), VLOOKUP(L149, Работы!$A$3:$D$184, 4, 0), 0)</f>
        <v>0</v>
      </c>
      <c r="AA149" s="68">
        <f>P149*O149+Q149*T149+R149*T149+S149*T149+U149+V149+W149*Y149+X149*Y149+Z149</f>
        <v>5418</v>
      </c>
      <c r="AB149" s="295"/>
      <c r="AC149" s="296"/>
      <c r="AD149" s="296"/>
      <c r="AE149" s="69">
        <f>AC149*AD149</f>
        <v>0</v>
      </c>
      <c r="AF149" s="71">
        <f>C149*Работы!$D$180</f>
        <v>4035.75</v>
      </c>
      <c r="AG149" s="68">
        <f>AA149+AE149+AF149+AL149+AM149</f>
        <v>9453.75</v>
      </c>
      <c r="AH149" s="72"/>
      <c r="AI149" s="73"/>
      <c r="AJ149" s="245">
        <f>AG149-AA149*AI149</f>
        <v>9453.75</v>
      </c>
      <c r="AK149" s="251"/>
      <c r="AL149" s="302">
        <f>IF(OR(E149="да"), 4040, 0)</f>
        <v>0</v>
      </c>
      <c r="AM149" s="365">
        <f>IF(OR(D149="доп."), AA149*0.1, 0)</f>
        <v>0</v>
      </c>
      <c r="AN149" s="251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43"/>
      <c r="BW149" s="43"/>
      <c r="BX149" s="43"/>
      <c r="BY149" s="43"/>
      <c r="BZ149" s="43"/>
      <c r="CA149" s="43"/>
      <c r="CB149" s="43"/>
      <c r="CC149" s="43"/>
      <c r="CD149" s="43"/>
      <c r="CE149" s="43"/>
      <c r="CF149" s="43"/>
      <c r="CG149" s="43"/>
      <c r="CH149" s="43"/>
      <c r="CI149" s="43"/>
      <c r="CJ149" s="43"/>
      <c r="CK149" s="43"/>
      <c r="CL149" s="43"/>
      <c r="CM149" s="43"/>
      <c r="CN149" s="43"/>
      <c r="CO149" s="43"/>
      <c r="CP149" s="43"/>
      <c r="CQ149" s="43"/>
    </row>
    <row r="150" spans="1:95" s="46" customFormat="1" ht="102" x14ac:dyDescent="0.25">
      <c r="A150" s="241">
        <f>ROW(A150)-10</f>
        <v>140</v>
      </c>
      <c r="B150" s="335" t="s">
        <v>4050</v>
      </c>
      <c r="C150" s="241">
        <f>VLOOKUP(B150, Расстояния!B:J, 9, 0)</f>
        <v>75</v>
      </c>
      <c r="D150" s="242" t="str">
        <f>VLOOKUP(B150, Расстояния!B:K, 10, 0)</f>
        <v>осн.</v>
      </c>
      <c r="E150" s="242" t="str">
        <f>VLOOKUP(B150, Расстояния!B:F, 5, 0)</f>
        <v>нет</v>
      </c>
      <c r="F150" s="290" t="s">
        <v>4205</v>
      </c>
      <c r="G150" s="305">
        <v>46108.415277777778</v>
      </c>
      <c r="H150" s="353">
        <v>46108.481944444444</v>
      </c>
      <c r="I150" s="353">
        <v>46108.738888888889</v>
      </c>
      <c r="J150" s="344" t="s">
        <v>4204</v>
      </c>
      <c r="K150" s="343"/>
      <c r="L150" s="292" t="s">
        <v>367</v>
      </c>
      <c r="M150" s="241" t="str">
        <f>VLOOKUP(L150,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50" s="330" t="s">
        <v>3843</v>
      </c>
      <c r="O150" s="298"/>
      <c r="P150" s="248">
        <f>IF(OR(L150="3.3.1.", L150="3.3.2.", L150="3.3.3.", L150="3.1.1.", L150="3.1.2.", L150="3.4.1.", L150="3.4.2."), 0, VLOOKUP(L150, Работы!$A$3:$D$184, 4, 0))</f>
        <v>0</v>
      </c>
      <c r="Q150" s="243">
        <f>ROUNDUP((I150-H150)*24, 0)</f>
        <v>7</v>
      </c>
      <c r="R150" s="293"/>
      <c r="S150" s="293"/>
      <c r="T150" s="244">
        <f>IF(OR(L150="3.3.1.", L150="3.3.2.", L150="3.3.3."), VLOOKUP(L150, Работы!$A$3:$D$184, 4, 0), 0)</f>
        <v>903</v>
      </c>
      <c r="U150" s="246">
        <f>IF(OR(L150="3.1.1."), VLOOKUP(L150, Работы!$A$3:$D$184, 4, 0), 0)</f>
        <v>0</v>
      </c>
      <c r="V150" s="246">
        <f>IF(OR(L150="3.1.2."), VLOOKUP(L150, Работы!$A$3:$D$184, 4, 0), 0)</f>
        <v>0</v>
      </c>
      <c r="W150" s="294"/>
      <c r="X150" s="294"/>
      <c r="Y150" s="247">
        <f>IF(OR(L150="3.2.1.", L150="3.2.2."), VLOOKUP(L150, Работы!$A$3:$D$184, 4, 0), 0)</f>
        <v>0</v>
      </c>
      <c r="Z150" s="247">
        <f>IF(OR(L150="3.4.1.", L150="3.4.2."), VLOOKUP(L150, Работы!$A$3:$D$184, 4, 0), 0)</f>
        <v>0</v>
      </c>
      <c r="AA150" s="68">
        <f>P150*O150+Q150*T150+R150*T150+S150*T150+U150+V150+W150*Y150+X150*Y150+Z150</f>
        <v>6321</v>
      </c>
      <c r="AB150" s="295"/>
      <c r="AC150" s="296"/>
      <c r="AD150" s="296"/>
      <c r="AE150" s="69">
        <f>AC150*AD150</f>
        <v>0</v>
      </c>
      <c r="AF150" s="71">
        <f>C150*Работы!$D$180</f>
        <v>4035.75</v>
      </c>
      <c r="AG150" s="68">
        <f>AA150+AE150+AF150+AL150+AM150</f>
        <v>10356.75</v>
      </c>
      <c r="AH150" s="72"/>
      <c r="AI150" s="73"/>
      <c r="AJ150" s="245">
        <f>AG150-AA150*AI150</f>
        <v>10356.75</v>
      </c>
      <c r="AK150" s="251"/>
      <c r="AL150" s="302">
        <f>IF(OR(E150="да"), 4040, 0)</f>
        <v>0</v>
      </c>
      <c r="AM150" s="365">
        <f>IF(OR(D150="доп."), AA150*0.1, 0)</f>
        <v>0</v>
      </c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43"/>
      <c r="BW150" s="43"/>
      <c r="BX150" s="43"/>
      <c r="BY150" s="43"/>
      <c r="BZ150" s="43"/>
      <c r="CA150" s="43"/>
      <c r="CB150" s="43"/>
      <c r="CC150" s="43"/>
      <c r="CD150" s="43"/>
      <c r="CE150" s="43"/>
      <c r="CF150" s="43"/>
      <c r="CG150" s="43"/>
      <c r="CH150" s="43"/>
      <c r="CI150" s="43"/>
      <c r="CJ150" s="43"/>
      <c r="CK150" s="43"/>
      <c r="CL150" s="43"/>
      <c r="CM150" s="43"/>
      <c r="CN150" s="43"/>
      <c r="CO150" s="43"/>
      <c r="CP150" s="43"/>
      <c r="CQ150" s="43"/>
    </row>
    <row r="151" spans="1:95" s="46" customFormat="1" ht="63.75" x14ac:dyDescent="0.25">
      <c r="A151" s="241">
        <f>ROW(A151)-10</f>
        <v>141</v>
      </c>
      <c r="B151" s="335" t="s">
        <v>4050</v>
      </c>
      <c r="C151" s="241">
        <v>72</v>
      </c>
      <c r="D151" s="242" t="str">
        <f>VLOOKUP(B151, Расстояния!B:K, 10, 0)</f>
        <v>осн.</v>
      </c>
      <c r="E151" s="242" t="str">
        <f>VLOOKUP(B151, Расстояния!B:F, 5, 0)</f>
        <v>нет</v>
      </c>
      <c r="F151" s="290" t="s">
        <v>4216</v>
      </c>
      <c r="G151" s="305">
        <v>46106.089733796296</v>
      </c>
      <c r="H151" s="345">
        <v>46106.162499999999</v>
      </c>
      <c r="I151" s="345">
        <v>46106.162499999999</v>
      </c>
      <c r="J151" s="303" t="s">
        <v>4207</v>
      </c>
      <c r="K151" s="306"/>
      <c r="L151" s="340" t="s">
        <v>371</v>
      </c>
      <c r="M151" s="241" t="str">
        <f>VLOOKUP(L151, Работы!A:B, 2, 0)</f>
        <v>Стоимость отменённого вызова на Аварийно-восстановительные работы, заявка по которым получена во внерабочее время</v>
      </c>
      <c r="N151" s="346" t="s">
        <v>3882</v>
      </c>
      <c r="O151" s="298"/>
      <c r="P151" s="248">
        <f>IF(OR(L151="3.3.1.", L151="3.3.2.", L151="3.3.3.", L151="3.1.1.", L151="3.1.2.", L151="3.4.1.", L151="3.4.2."), 0, VLOOKUP(L151, Работы!$A$3:$D$184, 4, 0))</f>
        <v>0</v>
      </c>
      <c r="Q151" s="243"/>
      <c r="R151" s="293"/>
      <c r="S151" s="293"/>
      <c r="T151" s="244">
        <f>IF(OR(L151="3.3.1.", L151="3.3.2.", L151="3.3.3."), VLOOKUP(L151, Работы!$A$3:$D$184, 4, 0), 0)</f>
        <v>0</v>
      </c>
      <c r="U151" s="246">
        <f>IF(OR(L151="3.1.1."), VLOOKUP(L151, Работы!$A$3:$D$184, 4, 0), 0)</f>
        <v>0</v>
      </c>
      <c r="V151" s="246">
        <f>IF(OR(L151="3.1.2."), VLOOKUP(L151, Работы!$A$3:$D$184, 4, 0), 0)</f>
        <v>0</v>
      </c>
      <c r="W151" s="294"/>
      <c r="X151" s="294"/>
      <c r="Y151" s="247">
        <f>IF(OR(L151="3.2.1.", L151="3.2.2."), VLOOKUP(L151, Работы!$A$3:$D$184, 4, 0), 0)</f>
        <v>0</v>
      </c>
      <c r="Z151" s="247">
        <f>IF(OR(L151="3.4.1.", L151="3.4.2."), VLOOKUP(L151, Работы!$A$3:$D$184, 4, 0), 0)</f>
        <v>1731</v>
      </c>
      <c r="AA151" s="68">
        <f>P151*O151+Q151*T151+R151*T151+S151*T151+U151+V151+W151*Y151+X151*Y151+Z151</f>
        <v>1731</v>
      </c>
      <c r="AB151" s="295"/>
      <c r="AC151" s="296"/>
      <c r="AD151" s="296"/>
      <c r="AE151" s="69">
        <f>AC151*AD151</f>
        <v>0</v>
      </c>
      <c r="AF151" s="71">
        <f>C151*Работы!$D$180</f>
        <v>3874.32</v>
      </c>
      <c r="AG151" s="68">
        <f>AA151+AE151+AF151+AL151+AM151</f>
        <v>5605.32</v>
      </c>
      <c r="AH151" s="72"/>
      <c r="AI151" s="73"/>
      <c r="AJ151" s="245">
        <f>AG151-AA151*AI151</f>
        <v>5605.32</v>
      </c>
      <c r="AK151" s="301"/>
      <c r="AL151" s="302">
        <f>IF(OR(E151="да"), 4040, 0)</f>
        <v>0</v>
      </c>
      <c r="AM151" s="365">
        <f>IF(OR(D151="доп."), AA151*0.1, 0)</f>
        <v>0</v>
      </c>
      <c r="AN151" s="1287"/>
      <c r="AO151" s="34"/>
      <c r="AP151" s="34"/>
      <c r="AQ151" s="34"/>
      <c r="AR151" s="34"/>
      <c r="AS151" s="34"/>
      <c r="AT151" s="370"/>
      <c r="AU151" s="370"/>
      <c r="AV151" s="370"/>
      <c r="AW151" s="370"/>
      <c r="AX151" s="370"/>
      <c r="AY151" s="370"/>
      <c r="AZ151" s="370"/>
      <c r="BA151" s="370"/>
      <c r="BB151" s="370"/>
      <c r="BC151" s="370"/>
      <c r="BD151" s="370"/>
      <c r="BE151" s="370"/>
      <c r="BF151" s="370"/>
      <c r="BG151" s="370"/>
      <c r="BH151" s="370"/>
      <c r="BI151" s="370"/>
      <c r="BJ151" s="370"/>
      <c r="BK151" s="370"/>
      <c r="BL151" s="370"/>
      <c r="BM151" s="370"/>
      <c r="BN151" s="370"/>
      <c r="BO151" s="370"/>
      <c r="BP151" s="370"/>
      <c r="BQ151" s="370"/>
      <c r="BR151" s="370"/>
      <c r="BS151" s="370"/>
      <c r="BT151" s="370"/>
      <c r="BU151" s="370"/>
      <c r="BV151" s="370"/>
      <c r="BW151" s="370"/>
      <c r="BX151" s="370"/>
      <c r="BY151" s="370"/>
      <c r="BZ151" s="370"/>
      <c r="CA151" s="370"/>
      <c r="CB151" s="370"/>
      <c r="CC151" s="370"/>
      <c r="CD151" s="370"/>
      <c r="CE151" s="370"/>
      <c r="CF151" s="370"/>
      <c r="CG151" s="370"/>
      <c r="CH151" s="370"/>
      <c r="CI151" s="370"/>
      <c r="CJ151" s="370"/>
      <c r="CK151" s="370"/>
      <c r="CL151" s="370"/>
      <c r="CM151" s="370"/>
      <c r="CN151" s="370"/>
      <c r="CO151" s="370"/>
      <c r="CP151" s="370"/>
      <c r="CQ151" s="370"/>
    </row>
    <row r="152" spans="1:95" s="46" customFormat="1" ht="102" x14ac:dyDescent="0.25">
      <c r="A152" s="241">
        <f>ROW(A152)-10</f>
        <v>142</v>
      </c>
      <c r="B152" s="335" t="s">
        <v>2254</v>
      </c>
      <c r="C152" s="241">
        <f>VLOOKUP(B152, Расстояния!B:J, 9, 0)</f>
        <v>70</v>
      </c>
      <c r="D152" s="242" t="str">
        <f>VLOOKUP(B152, Расстояния!B:K, 10, 0)</f>
        <v>осн.</v>
      </c>
      <c r="E152" s="242" t="str">
        <f>VLOOKUP(B152, Расстояния!B:F, 5, 0)</f>
        <v>нет</v>
      </c>
      <c r="F152" s="290" t="s">
        <v>4135</v>
      </c>
      <c r="G152" s="326">
        <v>46106.455555555556</v>
      </c>
      <c r="H152" s="326">
        <v>46106.506944444445</v>
      </c>
      <c r="I152" s="326">
        <v>46106.6875</v>
      </c>
      <c r="J152" s="331" t="s">
        <v>4131</v>
      </c>
      <c r="K152" s="306"/>
      <c r="L152" s="249" t="s">
        <v>367</v>
      </c>
      <c r="M152" s="241" t="str">
        <f>VLOOKUP(L152,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52" s="330" t="s">
        <v>3843</v>
      </c>
      <c r="O152" s="298"/>
      <c r="P152" s="248">
        <f>IF(OR(L152="3.3.1.", L152="3.3.2.", L152="3.3.3.", L152="3.1.1.", L152="3.1.2.", L152="3.4.1.", L152="3.4.2."), 0, VLOOKUP(L152, Работы!$A$3:$D$184, 4, 0))</f>
        <v>0</v>
      </c>
      <c r="Q152" s="243">
        <f>ROUNDUP((I152-H152)*24, 0)</f>
        <v>5</v>
      </c>
      <c r="R152" s="293"/>
      <c r="S152" s="293"/>
      <c r="T152" s="244">
        <f>IF(OR(L152="3.3.1.", L152="3.3.2.", L152="3.3.3."), VLOOKUP(L152, Работы!$A$3:$D$184, 4, 0), 0)</f>
        <v>903</v>
      </c>
      <c r="U152" s="246">
        <f>IF(OR(L152="3.1.1."), VLOOKUP(L152, Работы!$A$3:$D$184, 4, 0), 0)</f>
        <v>0</v>
      </c>
      <c r="V152" s="246">
        <f>IF(OR(L152="3.1.2."), VLOOKUP(L152, Работы!$A$3:$D$184, 4, 0), 0)</f>
        <v>0</v>
      </c>
      <c r="W152" s="294"/>
      <c r="X152" s="294"/>
      <c r="Y152" s="247">
        <f>IF(OR(L152="3.2.1.", L152="3.2.2."), VLOOKUP(L152, Работы!$A$3:$D$184, 4, 0), 0)</f>
        <v>0</v>
      </c>
      <c r="Z152" s="247">
        <f>IF(OR(L152="3.4.1.", L152="3.4.2."), VLOOKUP(L152, Работы!$A$3:$D$184, 4, 0), 0)</f>
        <v>0</v>
      </c>
      <c r="AA152" s="68">
        <f>P152*O152+Q152*T152+R152*T152+S152*T152+U152+V152+W152*Y152+X152*Y152+Z152</f>
        <v>4515</v>
      </c>
      <c r="AB152" s="295"/>
      <c r="AC152" s="296"/>
      <c r="AD152" s="296"/>
      <c r="AE152" s="69">
        <f>AC152*AD152</f>
        <v>0</v>
      </c>
      <c r="AF152" s="71">
        <f>C152*Работы!$D$180</f>
        <v>3766.7000000000003</v>
      </c>
      <c r="AG152" s="68">
        <f>AA152+AE152+AF152+AL152+AM152</f>
        <v>8281.7000000000007</v>
      </c>
      <c r="AH152" s="72"/>
      <c r="AI152" s="73"/>
      <c r="AJ152" s="245">
        <f>AG152-AA152*AI152</f>
        <v>8281.7000000000007</v>
      </c>
      <c r="AK152" s="251"/>
      <c r="AL152" s="302">
        <f>IF(OR(E152="да"), 4040, 0)</f>
        <v>0</v>
      </c>
      <c r="AM152" s="365">
        <f>IF(OR(D152="доп."), AA152*0.1, 0)</f>
        <v>0</v>
      </c>
      <c r="AN152" s="251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43"/>
      <c r="BW152" s="43"/>
      <c r="BX152" s="43"/>
      <c r="BY152" s="43"/>
      <c r="BZ152" s="43"/>
      <c r="CA152" s="43"/>
      <c r="CB152" s="43"/>
      <c r="CC152" s="43"/>
      <c r="CD152" s="43"/>
      <c r="CE152" s="43"/>
      <c r="CF152" s="43"/>
      <c r="CG152" s="43"/>
      <c r="CH152" s="43"/>
      <c r="CI152" s="43"/>
      <c r="CJ152" s="43"/>
      <c r="CK152" s="43"/>
      <c r="CL152" s="43"/>
      <c r="CM152" s="43"/>
      <c r="CN152" s="43"/>
      <c r="CO152" s="43"/>
      <c r="CP152" s="43"/>
      <c r="CQ152" s="43"/>
    </row>
    <row r="153" spans="1:95" s="46" customFormat="1" ht="63.75" x14ac:dyDescent="0.25">
      <c r="A153" s="241">
        <f>ROW(A153)-10</f>
        <v>143</v>
      </c>
      <c r="B153" s="335" t="s">
        <v>639</v>
      </c>
      <c r="C153" s="241">
        <v>0</v>
      </c>
      <c r="D153" s="242" t="str">
        <f>VLOOKUP(B153, Расстояния!B:K, 10, 0)</f>
        <v>осн.</v>
      </c>
      <c r="E153" s="242" t="str">
        <f>VLOOKUP(B153, Расстояния!B:F, 5, 0)</f>
        <v>нет</v>
      </c>
      <c r="F153" s="290" t="s">
        <v>4109</v>
      </c>
      <c r="G153" s="305">
        <v>46098.626388888886</v>
      </c>
      <c r="H153" s="305">
        <v>46098.657638888886</v>
      </c>
      <c r="I153" s="305">
        <v>46098.657638888886</v>
      </c>
      <c r="J153" s="303" t="s">
        <v>4043</v>
      </c>
      <c r="K153" s="306"/>
      <c r="L153" s="250" t="s">
        <v>368</v>
      </c>
      <c r="M153" s="241" t="str">
        <f>VLOOKUP(L153, Работы!A:B, 2, 0)</f>
        <v>Стоимость отменённого вызова на Аварийно-восстановительные работы, заявка по которым получена в рабочее время</v>
      </c>
      <c r="N153" s="346" t="s">
        <v>3882</v>
      </c>
      <c r="O153" s="298"/>
      <c r="P153" s="248">
        <f>IF(OR(L153="3.3.1.", L153="3.3.2.", L153="3.3.3.", L153="3.1.1.", L153="3.1.2.", L153="3.4.1.", L153="3.4.2."), 0, VLOOKUP(L153, Работы!$A$3:$D$184, 4, 0))</f>
        <v>0</v>
      </c>
      <c r="Q153" s="243"/>
      <c r="R153" s="243"/>
      <c r="S153" s="243"/>
      <c r="T153" s="244">
        <f>IF(OR(L153="3.3.1.", L153="3.3.2.", L153="3.3.3."), VLOOKUP(L153, Работы!$A$3:$D$184, 4, 0), 0)</f>
        <v>0</v>
      </c>
      <c r="U153" s="246">
        <f>IF(OR(L153="3.1.1."), VLOOKUP(L153, Работы!$A$3:$D$184, 4, 0), 0)</f>
        <v>0</v>
      </c>
      <c r="V153" s="246">
        <f>IF(OR(L153="3.1.2."), VLOOKUP(L153, Работы!$A$3:$D$184, 4, 0), 0)</f>
        <v>0</v>
      </c>
      <c r="W153" s="246"/>
      <c r="X153" s="246"/>
      <c r="Y153" s="247">
        <f>IF(OR(L153="3.2.1.", L153="3.2.2."), VLOOKUP(L153, Работы!$A$3:$D$184, 4, 0), 0)</f>
        <v>0</v>
      </c>
      <c r="Z153" s="247">
        <f>IF(OR(L153="3.4.1.", L153="3.4.2."), VLOOKUP(L153, Работы!$A$3:$D$184, 4, 0), 0)</f>
        <v>922</v>
      </c>
      <c r="AA153" s="68">
        <f>P153*O153+Q153*T153+R153*T153+S153*T153+U153+V153+W153*Y153+X153*Y153+Z153</f>
        <v>922</v>
      </c>
      <c r="AB153" s="69"/>
      <c r="AC153" s="70"/>
      <c r="AD153" s="70"/>
      <c r="AE153" s="69">
        <f>AC153*AD153</f>
        <v>0</v>
      </c>
      <c r="AF153" s="71">
        <f>C153*Работы!$D$180</f>
        <v>0</v>
      </c>
      <c r="AG153" s="68">
        <f>AA153+AE153+AF153+AL153+AM153</f>
        <v>922</v>
      </c>
      <c r="AH153" s="72"/>
      <c r="AI153" s="73"/>
      <c r="AJ153" s="245">
        <f>AG153-AA153*AI153</f>
        <v>922</v>
      </c>
      <c r="AK153" s="45"/>
      <c r="AL153" s="302">
        <f>IF(OR(E153="да"), 4040, 0)</f>
        <v>0</v>
      </c>
      <c r="AM153" s="365">
        <f>IF(OR(D153="доп."), AA153*0.1, 0)</f>
        <v>0</v>
      </c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  <c r="CO153" s="34"/>
      <c r="CP153" s="34"/>
      <c r="CQ153" s="34"/>
    </row>
    <row r="154" spans="1:95" s="46" customFormat="1" ht="114.75" x14ac:dyDescent="0.25">
      <c r="A154" s="241">
        <f>ROW(A154)-10</f>
        <v>144</v>
      </c>
      <c r="B154" s="362" t="s">
        <v>2274</v>
      </c>
      <c r="C154" s="241">
        <f>VLOOKUP(B154, Расстояния!B:J, 9, 0)</f>
        <v>68</v>
      </c>
      <c r="D154" s="242" t="str">
        <f>VLOOKUP(B154, Расстояния!B:K, 10, 0)</f>
        <v>осн.</v>
      </c>
      <c r="E154" s="242" t="str">
        <f>VLOOKUP(B154, Расстояния!B:F, 5, 0)</f>
        <v>нет</v>
      </c>
      <c r="F154" s="290" t="s">
        <v>4177</v>
      </c>
      <c r="G154" s="305">
        <v>46105.671527777777</v>
      </c>
      <c r="H154" s="345">
        <v>46106.725694444445</v>
      </c>
      <c r="I154" s="345">
        <v>46106.75</v>
      </c>
      <c r="J154" s="331" t="s">
        <v>4164</v>
      </c>
      <c r="K154" s="306"/>
      <c r="L154" s="250" t="s">
        <v>198</v>
      </c>
      <c r="M154" s="241" t="str">
        <f>VLOOKUP(L154, Работы!A:B, 2, 0)</f>
        <v>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</v>
      </c>
      <c r="N154" s="347" t="s">
        <v>4270</v>
      </c>
      <c r="O154" s="298">
        <v>1</v>
      </c>
      <c r="P154" s="248">
        <f>IF(OR(L154="3.3.1.", L154="3.3.2.", L154="3.3.3.", L154="3.1.1.", L154="3.1.2.", L154="3.4.1.", L154="3.4.2."), 0, VLOOKUP(L154, Работы!$A$3:$D$184, 4, 0))</f>
        <v>735</v>
      </c>
      <c r="Q154" s="243"/>
      <c r="R154" s="243"/>
      <c r="S154" s="243"/>
      <c r="T154" s="244">
        <f>IF(OR(L154="3.3.1.", L154="3.3.2.", L154="3.3.3."), VLOOKUP(L154, Работы!$A$3:$D$184, 4, 0), 0)</f>
        <v>0</v>
      </c>
      <c r="U154" s="246">
        <f>IF(OR(L154="3.1.1."), VLOOKUP(L154, Работы!$A$3:$D$184, 4, 0), 0)</f>
        <v>0</v>
      </c>
      <c r="V154" s="246">
        <f>IF(OR(L154="3.1.2."), VLOOKUP(L154, Работы!$A$3:$D$184, 4, 0), 0)</f>
        <v>0</v>
      </c>
      <c r="W154" s="246"/>
      <c r="X154" s="246"/>
      <c r="Y154" s="247">
        <f>IF(OR(L154="3.2.1.", L154="3.2.2."), VLOOKUP(L154, Работы!$A$3:$D$184, 4, 0), 0)</f>
        <v>0</v>
      </c>
      <c r="Z154" s="247">
        <f>IF(OR(L154="3.4.1.", L154="3.4.2."), VLOOKUP(L154, Работы!$A$3:$D$184, 4, 0), 0)</f>
        <v>0</v>
      </c>
      <c r="AA154" s="68">
        <f>P154*O154+Q154*T154+R154*T154+S154*T154+U154+V154+W154*Y154+X154*Y154+Z154</f>
        <v>735</v>
      </c>
      <c r="AB154" s="69"/>
      <c r="AC154" s="70"/>
      <c r="AD154" s="70"/>
      <c r="AE154" s="69">
        <f>AC154*AD154</f>
        <v>0</v>
      </c>
      <c r="AF154" s="71">
        <f>C154*Работы!$D$180</f>
        <v>3659.08</v>
      </c>
      <c r="AG154" s="68">
        <f>AA154+AE154+AF154+AL154+AM154</f>
        <v>4394.08</v>
      </c>
      <c r="AH154" s="72"/>
      <c r="AI154" s="73"/>
      <c r="AJ154" s="245">
        <f>AG154-AA154*AI154</f>
        <v>4394.08</v>
      </c>
      <c r="AK154" s="73"/>
      <c r="AL154" s="302">
        <f>IF(OR(E154="да"), 4040, 0)</f>
        <v>0</v>
      </c>
      <c r="AM154" s="365">
        <f>IF(OR(D154="доп."), AA154*0.1, 0)</f>
        <v>0</v>
      </c>
      <c r="AN154" s="1287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</row>
    <row r="155" spans="1:95" s="46" customFormat="1" ht="102" x14ac:dyDescent="0.25">
      <c r="A155" s="241">
        <f>ROW(A155)-10</f>
        <v>145</v>
      </c>
      <c r="B155" s="335" t="s">
        <v>856</v>
      </c>
      <c r="C155" s="241">
        <f>VLOOKUP(B155, Расстояния!B:J, 9, 0)</f>
        <v>47</v>
      </c>
      <c r="D155" s="242" t="str">
        <f>VLOOKUP(B155, Расстояния!B:K, 10, 0)</f>
        <v>осн.</v>
      </c>
      <c r="E155" s="242" t="str">
        <f>VLOOKUP(B155, Расстояния!B:F, 5, 0)</f>
        <v>нет</v>
      </c>
      <c r="F155" s="290" t="s">
        <v>4159</v>
      </c>
      <c r="G155" s="305">
        <v>46106.512754629628</v>
      </c>
      <c r="H155" s="305">
        <v>46106.635416666664</v>
      </c>
      <c r="I155" s="305">
        <v>46106.726388888892</v>
      </c>
      <c r="J155" s="303" t="s">
        <v>4263</v>
      </c>
      <c r="K155" s="306"/>
      <c r="L155" s="250" t="s">
        <v>367</v>
      </c>
      <c r="M155" s="241" t="str">
        <f>VLOOKUP(L155,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55" s="330" t="s">
        <v>3843</v>
      </c>
      <c r="O155" s="298"/>
      <c r="P155" s="248">
        <f>IF(OR(L155="3.3.1.", L155="3.3.2.", L155="3.3.3.", L155="3.1.1.", L155="3.1.2.", L155="3.4.1.", L155="3.4.2."), 0, VLOOKUP(L155, Работы!$A$3:$D$184, 4, 0))</f>
        <v>0</v>
      </c>
      <c r="Q155" s="243">
        <f>ROUNDUP((I155-H155)*24, 0)</f>
        <v>3</v>
      </c>
      <c r="R155" s="243"/>
      <c r="S155" s="243"/>
      <c r="T155" s="244">
        <f>IF(OR(L155="3.3.1.", L155="3.3.2.", L155="3.3.3."), VLOOKUP(L155, Работы!$A$3:$D$184, 4, 0), 0)</f>
        <v>903</v>
      </c>
      <c r="U155" s="246">
        <f>IF(OR(L155="3.1.1."), VLOOKUP(L155, Работы!$A$3:$D$184, 4, 0), 0)</f>
        <v>0</v>
      </c>
      <c r="V155" s="246">
        <f>IF(OR(L155="3.1.2."), VLOOKUP(L155, Работы!$A$3:$D$184, 4, 0), 0)</f>
        <v>0</v>
      </c>
      <c r="W155" s="246"/>
      <c r="X155" s="246"/>
      <c r="Y155" s="247">
        <f>IF(OR(L155="3.2.1.", L155="3.2.2."), VLOOKUP(L155, Работы!$A$3:$D$184, 4, 0), 0)</f>
        <v>0</v>
      </c>
      <c r="Z155" s="247">
        <f>IF(OR(L155="3.4.1.", L155="3.4.2."), VLOOKUP(L155, Работы!$A$3:$D$184, 4, 0), 0)</f>
        <v>0</v>
      </c>
      <c r="AA155" s="68">
        <f>P155*O155+Q155*T155+R155*T155+S155*T155+U155+V155+W155*Y155+X155*Y155+Z155</f>
        <v>2709</v>
      </c>
      <c r="AB155" s="69"/>
      <c r="AC155" s="70"/>
      <c r="AD155" s="70"/>
      <c r="AE155" s="69">
        <f>AC155*AD155</f>
        <v>0</v>
      </c>
      <c r="AF155" s="71">
        <f>C155*Работы!$D$180</f>
        <v>2529.0700000000002</v>
      </c>
      <c r="AG155" s="68">
        <f>AA155+AE155+AF155+AL155+AM155</f>
        <v>5238.07</v>
      </c>
      <c r="AH155" s="72"/>
      <c r="AI155" s="73"/>
      <c r="AJ155" s="245">
        <f>AG155-AA155*AI155</f>
        <v>5238.07</v>
      </c>
      <c r="AK155" s="45"/>
      <c r="AL155" s="302">
        <f>IF(OR(E155="да"), 4040, 0)</f>
        <v>0</v>
      </c>
      <c r="AM155" s="365">
        <f>IF(OR(D155="доп."), AA155*0.1, 0)</f>
        <v>0</v>
      </c>
      <c r="AN155" s="251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43"/>
      <c r="BW155" s="43"/>
      <c r="BX155" s="43"/>
      <c r="BY155" s="43"/>
      <c r="BZ155" s="43"/>
      <c r="CA155" s="43"/>
      <c r="CB155" s="43"/>
      <c r="CC155" s="43"/>
      <c r="CD155" s="43"/>
      <c r="CE155" s="43"/>
      <c r="CF155" s="43"/>
      <c r="CG155" s="43"/>
      <c r="CH155" s="43"/>
      <c r="CI155" s="43"/>
      <c r="CJ155" s="43"/>
      <c r="CK155" s="43"/>
      <c r="CL155" s="43"/>
      <c r="CM155" s="43"/>
      <c r="CN155" s="43"/>
      <c r="CO155" s="43"/>
      <c r="CP155" s="43"/>
      <c r="CQ155" s="43"/>
    </row>
    <row r="156" spans="1:95" s="46" customFormat="1" ht="51" x14ac:dyDescent="0.25">
      <c r="A156" s="241">
        <f>ROW(A156)-10</f>
        <v>146</v>
      </c>
      <c r="B156" s="335" t="s">
        <v>856</v>
      </c>
      <c r="C156" s="241">
        <f>VLOOKUP(B156, Расстояния!B:J, 9, 0)</f>
        <v>47</v>
      </c>
      <c r="D156" s="242" t="str">
        <f>VLOOKUP(B156, Расстояния!B:K, 10, 0)</f>
        <v>осн.</v>
      </c>
      <c r="E156" s="242" t="str">
        <f>VLOOKUP(B156, Расстояния!B:F, 5, 0)</f>
        <v>нет</v>
      </c>
      <c r="F156" s="290" t="s">
        <v>4120</v>
      </c>
      <c r="G156" s="305">
        <v>46106.818055555559</v>
      </c>
      <c r="H156" s="305">
        <v>46106.862500000003</v>
      </c>
      <c r="I156" s="305">
        <v>46106.899305555555</v>
      </c>
      <c r="J156" s="303" t="s">
        <v>4043</v>
      </c>
      <c r="K156" s="306"/>
      <c r="L156" s="250" t="s">
        <v>332</v>
      </c>
      <c r="M156" s="241" t="str">
        <f>VLOOKUP(L156, Работы!A:B, 2, 0)</f>
        <v>Стоимость аварийно-восстановительных работ, заявка по которым получена во внерабочее время</v>
      </c>
      <c r="N156" s="330" t="s">
        <v>4257</v>
      </c>
      <c r="O156" s="298"/>
      <c r="P156" s="248">
        <f>IF(OR(L156="3.3.1.", L156="3.3.2.", L156="3.3.3.", L156="3.1.1.", L156="3.1.2.", L156="3.4.1.", L156="3.4.2."), 0, VLOOKUP(L156, Работы!$A$3:$D$184, 4, 0))</f>
        <v>0</v>
      </c>
      <c r="Q156" s="243"/>
      <c r="R156" s="243"/>
      <c r="S156" s="243"/>
      <c r="T156" s="244">
        <f>IF(OR(L156="3.3.1.", L156="3.3.2.", L156="3.3.3."), VLOOKUP(L156, Работы!$A$3:$D$184, 4, 0), 0)</f>
        <v>0</v>
      </c>
      <c r="U156" s="246">
        <f>IF(OR(L156="3.1.1."), VLOOKUP(L156, Работы!$A$3:$D$184, 4, 0), 0)</f>
        <v>0</v>
      </c>
      <c r="V156" s="246">
        <f>IF(OR(L156="3.1.2."), VLOOKUP(L156, Работы!$A$3:$D$184, 4, 0), 0)</f>
        <v>7187</v>
      </c>
      <c r="W156" s="246"/>
      <c r="X156" s="246"/>
      <c r="Y156" s="247">
        <f>IF(OR(L156="3.2.1.", L156="3.2.2."), VLOOKUP(L156, Работы!$A$3:$D$184, 4, 0), 0)</f>
        <v>0</v>
      </c>
      <c r="Z156" s="247">
        <f>IF(OR(L156="3.4.1.", L156="3.4.2."), VLOOKUP(L156, Работы!$A$3:$D$184, 4, 0), 0)</f>
        <v>0</v>
      </c>
      <c r="AA156" s="68">
        <f>P156*O156+Q156*T156+R156*T156+S156*T156+U156+V156+W156*Y156+X156*Y156+Z156</f>
        <v>7187</v>
      </c>
      <c r="AB156" s="69"/>
      <c r="AC156" s="70"/>
      <c r="AD156" s="70"/>
      <c r="AE156" s="69">
        <f>AC156*AD156</f>
        <v>0</v>
      </c>
      <c r="AF156" s="71">
        <f>C156*Работы!$D$180</f>
        <v>2529.0700000000002</v>
      </c>
      <c r="AG156" s="68">
        <f>AA156+AE156+AF156+AL156+AM156</f>
        <v>9716.07</v>
      </c>
      <c r="AH156" s="72"/>
      <c r="AI156" s="73"/>
      <c r="AJ156" s="245">
        <f>AG156-AA156*AI156</f>
        <v>9716.07</v>
      </c>
      <c r="AK156" s="45"/>
      <c r="AL156" s="302">
        <f>IF(OR(E156="да"), 4040, 0)</f>
        <v>0</v>
      </c>
      <c r="AM156" s="365">
        <f>IF(OR(D156="доп."), AA156*0.1, 0)</f>
        <v>0</v>
      </c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43"/>
      <c r="BW156" s="43"/>
      <c r="BX156" s="43"/>
      <c r="BY156" s="43"/>
      <c r="BZ156" s="43"/>
      <c r="CA156" s="43"/>
      <c r="CB156" s="43"/>
      <c r="CC156" s="43"/>
      <c r="CD156" s="43"/>
      <c r="CE156" s="43"/>
      <c r="CF156" s="43"/>
      <c r="CG156" s="43"/>
      <c r="CH156" s="43"/>
      <c r="CI156" s="43"/>
      <c r="CJ156" s="43"/>
      <c r="CK156" s="43"/>
      <c r="CL156" s="43"/>
      <c r="CM156" s="43"/>
      <c r="CN156" s="43"/>
      <c r="CO156" s="43"/>
      <c r="CP156" s="43"/>
      <c r="CQ156" s="43"/>
    </row>
    <row r="157" spans="1:95" s="46" customFormat="1" ht="51" x14ac:dyDescent="0.25">
      <c r="A157" s="241">
        <f>ROW(A157)-10</f>
        <v>147</v>
      </c>
      <c r="B157" s="335" t="s">
        <v>4060</v>
      </c>
      <c r="C157" s="241">
        <f>VLOOKUP(B157, Расстояния!B:J, 9, 0)</f>
        <v>63</v>
      </c>
      <c r="D157" s="242" t="str">
        <f>VLOOKUP(B157, Расстояния!B:K, 10, 0)</f>
        <v>осн.</v>
      </c>
      <c r="E157" s="242" t="str">
        <f>VLOOKUP(B157, Расстояния!B:F, 5, 0)</f>
        <v>нет</v>
      </c>
      <c r="F157" s="290" t="s">
        <v>4169</v>
      </c>
      <c r="G157" s="305">
        <v>46097.672222222223</v>
      </c>
      <c r="H157" s="345">
        <v>46100.296527777777</v>
      </c>
      <c r="I157" s="345">
        <v>46100.334722222222</v>
      </c>
      <c r="J157" s="304" t="s">
        <v>4164</v>
      </c>
      <c r="K157" s="306"/>
      <c r="L157" s="292" t="s">
        <v>66</v>
      </c>
      <c r="M157" s="241" t="str">
        <f>VLOOKUP(L157, Работы!A:B, 2, 0)</f>
        <v>Изменение механического угла наклона или азимута одной антенны</v>
      </c>
      <c r="N157" s="346" t="s">
        <v>4298</v>
      </c>
      <c r="O157" s="298">
        <v>1</v>
      </c>
      <c r="P157" s="248">
        <f>IF(OR(L157="3.3.1.", L157="3.3.2.", L157="3.3.3.", L157="3.1.1.", L157="3.1.2.", L157="3.4.1.", L157="3.4.2."), 0, VLOOKUP(L157, Работы!$A$3:$D$184, 4, 0))</f>
        <v>2085</v>
      </c>
      <c r="Q157" s="243"/>
      <c r="R157" s="293"/>
      <c r="S157" s="293"/>
      <c r="T157" s="244">
        <f>IF(OR(L157="3.3.1.", L157="3.3.2.", L157="3.3.3."), VLOOKUP(L157, Работы!$A$3:$D$184, 4, 0), 0)</f>
        <v>0</v>
      </c>
      <c r="U157" s="246">
        <f>IF(OR(L157="3.1.1."), VLOOKUP(L157, Работы!$A$3:$D$184, 4, 0), 0)</f>
        <v>0</v>
      </c>
      <c r="V157" s="246">
        <f>IF(OR(L157="3.1.2."), VLOOKUP(L157, Работы!$A$3:$D$184, 4, 0), 0)</f>
        <v>0</v>
      </c>
      <c r="W157" s="294"/>
      <c r="X157" s="294"/>
      <c r="Y157" s="247">
        <f>IF(OR(L157="3.2.1.", L157="3.2.2."), VLOOKUP(L157, Работы!$A$3:$D$184, 4, 0), 0)</f>
        <v>0</v>
      </c>
      <c r="Z157" s="247">
        <f>IF(OR(L157="3.4.1.", L157="3.4.2."), VLOOKUP(L157, Работы!$A$3:$D$184, 4, 0), 0)</f>
        <v>0</v>
      </c>
      <c r="AA157" s="68">
        <f>P157*O157+Q157*T157+R157*T157+S157*T157+U157+V157+W157*Y157+X157*Y157+Z157</f>
        <v>2085</v>
      </c>
      <c r="AB157" s="295"/>
      <c r="AC157" s="296"/>
      <c r="AD157" s="296"/>
      <c r="AE157" s="69">
        <f>AC157*AD157</f>
        <v>0</v>
      </c>
      <c r="AF157" s="71">
        <f>C157*Работы!$D$180</f>
        <v>3390.03</v>
      </c>
      <c r="AG157" s="68">
        <f>AA157+AE157+AF157+AL157+AM157</f>
        <v>5475.0300000000007</v>
      </c>
      <c r="AH157" s="72"/>
      <c r="AI157" s="73"/>
      <c r="AJ157" s="245">
        <f>AG157-AA157*AI157</f>
        <v>5475.0300000000007</v>
      </c>
      <c r="AK157" s="301"/>
      <c r="AL157" s="302">
        <f>IF(OR(E157="да"), 4040, 0)</f>
        <v>0</v>
      </c>
      <c r="AM157" s="365">
        <f>IF(OR(D157="доп."), AA157*0.1, 0)</f>
        <v>0</v>
      </c>
      <c r="AN157" s="251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O157" s="34"/>
      <c r="CP157" s="34"/>
      <c r="CQ157" s="34"/>
    </row>
    <row r="158" spans="1:95" s="46" customFormat="1" ht="114.75" x14ac:dyDescent="0.25">
      <c r="A158" s="241">
        <f>ROW(A158)-10</f>
        <v>148</v>
      </c>
      <c r="B158" s="335" t="s">
        <v>2311</v>
      </c>
      <c r="C158" s="241">
        <f>VLOOKUP(B158, Расстояния!B:J, 9, 0)</f>
        <v>70</v>
      </c>
      <c r="D158" s="242" t="str">
        <f>VLOOKUP(B158, Расстояния!B:K, 10, 0)</f>
        <v>осн.</v>
      </c>
      <c r="E158" s="242" t="str">
        <f>VLOOKUP(B158, Расстояния!B:F, 5, 0)</f>
        <v>нет</v>
      </c>
      <c r="F158" s="290" t="s">
        <v>4167</v>
      </c>
      <c r="G158" s="305">
        <v>46099.37777777778</v>
      </c>
      <c r="H158" s="345">
        <v>46099.57916666667</v>
      </c>
      <c r="I158" s="345">
        <v>46099.712500000001</v>
      </c>
      <c r="J158" s="304" t="s">
        <v>4164</v>
      </c>
      <c r="K158" s="306"/>
      <c r="L158" s="250" t="s">
        <v>198</v>
      </c>
      <c r="M158" s="241" t="str">
        <f>VLOOKUP(L158, Работы!A:B, 2, 0)</f>
        <v>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</v>
      </c>
      <c r="N158" s="330" t="s">
        <v>4189</v>
      </c>
      <c r="O158" s="298">
        <v>1</v>
      </c>
      <c r="P158" s="248">
        <f>IF(OR(L158="3.3.1.", L158="3.3.2.", L158="3.3.3.", L158="3.1.1.", L158="3.1.2.", L158="3.4.1.", L158="3.4.2."), 0, VLOOKUP(L158, Работы!$A$3:$D$184, 4, 0))</f>
        <v>735</v>
      </c>
      <c r="Q158" s="243"/>
      <c r="R158" s="293"/>
      <c r="S158" s="293"/>
      <c r="T158" s="244">
        <f>IF(OR(L158="3.3.1.", L158="3.3.2.", L158="3.3.3."), VLOOKUP(L158, Работы!$A$3:$D$184, 4, 0), 0)</f>
        <v>0</v>
      </c>
      <c r="U158" s="246">
        <f>IF(OR(L158="3.1.1."), VLOOKUP(L158, Работы!$A$3:$D$184, 4, 0), 0)</f>
        <v>0</v>
      </c>
      <c r="V158" s="246">
        <f>IF(OR(L158="3.1.2."), VLOOKUP(L158, Работы!$A$3:$D$184, 4, 0), 0)</f>
        <v>0</v>
      </c>
      <c r="W158" s="294"/>
      <c r="X158" s="294"/>
      <c r="Y158" s="247">
        <f>IF(OR(L158="3.2.1.", L158="3.2.2."), VLOOKUP(L158, Работы!$A$3:$D$184, 4, 0), 0)</f>
        <v>0</v>
      </c>
      <c r="Z158" s="247">
        <f>IF(OR(L158="3.4.1.", L158="3.4.2."), VLOOKUP(L158, Работы!$A$3:$D$184, 4, 0), 0)</f>
        <v>0</v>
      </c>
      <c r="AA158" s="68">
        <f>P158*O158+Q158*T158+R158*T158+S158*T158+U158+V158+W158*Y158+X158*Y158+Z158</f>
        <v>735</v>
      </c>
      <c r="AB158" s="295"/>
      <c r="AC158" s="296"/>
      <c r="AD158" s="296"/>
      <c r="AE158" s="69">
        <f>AC158*AD158</f>
        <v>0</v>
      </c>
      <c r="AF158" s="71">
        <f>C158*Работы!$D$180</f>
        <v>3766.7000000000003</v>
      </c>
      <c r="AG158" s="68">
        <f>AA158+AE158+AF158+AL158+AM158</f>
        <v>4501.7000000000007</v>
      </c>
      <c r="AH158" s="72"/>
      <c r="AI158" s="73"/>
      <c r="AJ158" s="245">
        <f>AG158-AA158*AI158</f>
        <v>4501.7000000000007</v>
      </c>
      <c r="AK158" s="302"/>
      <c r="AL158" s="302">
        <f>IF(OR(E158="да"), 4040, 0)</f>
        <v>0</v>
      </c>
      <c r="AM158" s="365">
        <f>IF(OR(D158="доп."), AA158*0.1, 0)</f>
        <v>0</v>
      </c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43"/>
      <c r="BW158" s="43"/>
      <c r="BX158" s="43"/>
      <c r="BY158" s="43"/>
      <c r="BZ158" s="43"/>
      <c r="CA158" s="43"/>
      <c r="CB158" s="43"/>
      <c r="CC158" s="43"/>
      <c r="CD158" s="43"/>
      <c r="CE158" s="43"/>
      <c r="CF158" s="43"/>
      <c r="CG158" s="43"/>
      <c r="CH158" s="43"/>
      <c r="CI158" s="43"/>
      <c r="CJ158" s="43"/>
      <c r="CK158" s="43"/>
      <c r="CL158" s="43"/>
      <c r="CM158" s="43"/>
      <c r="CN158" s="43"/>
      <c r="CO158" s="43"/>
      <c r="CP158" s="43"/>
      <c r="CQ158" s="43"/>
    </row>
    <row r="159" spans="1:95" s="46" customFormat="1" ht="51" x14ac:dyDescent="0.25">
      <c r="A159" s="241">
        <f>ROW(A159)-10</f>
        <v>149</v>
      </c>
      <c r="B159" s="335" t="s">
        <v>2311</v>
      </c>
      <c r="C159" s="241">
        <v>20</v>
      </c>
      <c r="D159" s="242" t="str">
        <f>VLOOKUP(B159, Расстояния!B:K, 10, 0)</f>
        <v>осн.</v>
      </c>
      <c r="E159" s="242" t="str">
        <f>VLOOKUP(B159, Расстояния!B:F, 5, 0)</f>
        <v>нет</v>
      </c>
      <c r="F159" s="290" t="s">
        <v>4167</v>
      </c>
      <c r="G159" s="305">
        <v>46099.37777777778</v>
      </c>
      <c r="H159" s="345">
        <v>46099.57916666667</v>
      </c>
      <c r="I159" s="345">
        <v>46099.712500000001</v>
      </c>
      <c r="J159" s="304" t="s">
        <v>4164</v>
      </c>
      <c r="K159" s="306"/>
      <c r="L159" s="250" t="s">
        <v>148</v>
      </c>
      <c r="M159" s="241" t="str">
        <f>VLOOKUP(L159, Работы!A:B, 2, 0)</f>
        <v>Диагностика, замена температурного датчика, включая прокладку кабеля (без учёта материалов)</v>
      </c>
      <c r="N159" s="330" t="s">
        <v>4266</v>
      </c>
      <c r="O159" s="298">
        <v>1</v>
      </c>
      <c r="P159" s="248">
        <f>IF(OR(L159="3.3.1.", L159="3.3.2.", L159="3.3.3.", L159="3.1.1.", L159="3.1.2.", L159="3.4.1.", L159="3.4.2."), 0, VLOOKUP(L159, Работы!$A$3:$D$184, 4, 0))</f>
        <v>261</v>
      </c>
      <c r="Q159" s="243"/>
      <c r="R159" s="293"/>
      <c r="S159" s="293"/>
      <c r="T159" s="244">
        <f>IF(OR(L159="3.3.1.", L159="3.3.2.", L159="3.3.3."), VLOOKUP(L159, Работы!$A$3:$D$184, 4, 0), 0)</f>
        <v>0</v>
      </c>
      <c r="U159" s="246">
        <f>IF(OR(L159="3.1.1."), VLOOKUP(L159, Работы!$A$3:$D$184, 4, 0), 0)</f>
        <v>0</v>
      </c>
      <c r="V159" s="246">
        <f>IF(OR(L159="3.1.2."), VLOOKUP(L159, Работы!$A$3:$D$184, 4, 0), 0)</f>
        <v>0</v>
      </c>
      <c r="W159" s="294"/>
      <c r="X159" s="294"/>
      <c r="Y159" s="247">
        <f>IF(OR(L159="3.2.1.", L159="3.2.2."), VLOOKUP(L159, Работы!$A$3:$D$184, 4, 0), 0)</f>
        <v>0</v>
      </c>
      <c r="Z159" s="247">
        <f>IF(OR(L159="3.4.1.", L159="3.4.2."), VLOOKUP(L159, Работы!$A$3:$D$184, 4, 0), 0)</f>
        <v>0</v>
      </c>
      <c r="AA159" s="68">
        <f>P159*O159+Q159*T159+R159*T159+S159*T159+U159+V159+W159*Y159+X159*Y159+Z159</f>
        <v>261</v>
      </c>
      <c r="AB159" s="295"/>
      <c r="AC159" s="296"/>
      <c r="AD159" s="296"/>
      <c r="AE159" s="69">
        <f>AC159*AD159</f>
        <v>0</v>
      </c>
      <c r="AF159" s="71">
        <f>C159*Работы!$D$180</f>
        <v>1076.2</v>
      </c>
      <c r="AG159" s="68">
        <f>AA159+AE159+AF159+AL159+AM159</f>
        <v>1337.2</v>
      </c>
      <c r="AH159" s="72"/>
      <c r="AI159" s="73"/>
      <c r="AJ159" s="245">
        <f>AG159-AA159*AI159</f>
        <v>1337.2</v>
      </c>
      <c r="AK159" s="251"/>
      <c r="AL159" s="302">
        <f>IF(OR(E159="да"), 4040, 0)</f>
        <v>0</v>
      </c>
      <c r="AM159" s="365">
        <f>IF(OR(D159="доп."), AA159*0.1, 0)</f>
        <v>0</v>
      </c>
      <c r="AN159" s="1287"/>
      <c r="AO159" s="34"/>
      <c r="AP159" s="34"/>
      <c r="AQ159" s="370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O159" s="34"/>
      <c r="CP159" s="34"/>
      <c r="CQ159" s="34"/>
    </row>
    <row r="160" spans="1:95" s="46" customFormat="1" ht="25.5" x14ac:dyDescent="0.25">
      <c r="A160" s="241">
        <f>ROW(A160)-10</f>
        <v>150</v>
      </c>
      <c r="B160" s="335" t="s">
        <v>2311</v>
      </c>
      <c r="C160" s="241">
        <v>0</v>
      </c>
      <c r="D160" s="242" t="str">
        <f>VLOOKUP(B160, Расстояния!B:K, 10, 0)</f>
        <v>осн.</v>
      </c>
      <c r="E160" s="242" t="str">
        <f>VLOOKUP(B160, Расстояния!B:F, 5, 0)</f>
        <v>нет</v>
      </c>
      <c r="F160" s="290" t="s">
        <v>4167</v>
      </c>
      <c r="G160" s="305">
        <v>46099.37777777778</v>
      </c>
      <c r="H160" s="345">
        <v>46099.57916666667</v>
      </c>
      <c r="I160" s="345">
        <v>46099.712500000001</v>
      </c>
      <c r="J160" s="304" t="s">
        <v>4164</v>
      </c>
      <c r="K160" s="306"/>
      <c r="L160" s="250"/>
      <c r="M160" s="241"/>
      <c r="N160" s="330"/>
      <c r="O160" s="298"/>
      <c r="P160" s="248"/>
      <c r="Q160" s="243"/>
      <c r="R160" s="293"/>
      <c r="S160" s="293"/>
      <c r="T160" s="244">
        <f>IF(OR(L160="3.3.1.", L160="3.3.2.", L160="3.3.3."), VLOOKUP(L160, Работы!$A$3:$D$184, 4, 0), 0)</f>
        <v>0</v>
      </c>
      <c r="U160" s="246">
        <f>IF(OR(L160="3.1.1."), VLOOKUP(L160, Работы!$A$3:$D$184, 4, 0), 0)</f>
        <v>0</v>
      </c>
      <c r="V160" s="246">
        <f>IF(OR(L160="3.1.2."), VLOOKUP(L160, Работы!$A$3:$D$184, 4, 0), 0)</f>
        <v>0</v>
      </c>
      <c r="W160" s="294"/>
      <c r="X160" s="294"/>
      <c r="Y160" s="247">
        <f>IF(OR(L160="3.2.1.", L160="3.2.2."), VLOOKUP(L160, Работы!$A$3:$D$184, 4, 0), 0)</f>
        <v>0</v>
      </c>
      <c r="Z160" s="247">
        <f>IF(OR(L160="3.4.1.", L160="3.4.2."), VLOOKUP(L160, Работы!$A$3:$D$184, 4, 0), 0)</f>
        <v>0</v>
      </c>
      <c r="AA160" s="68">
        <f>P160*O160+Q160*T160+R160*T160+S160*T160+U160+V160+W160*Y160+X160*Y160+Z160</f>
        <v>0</v>
      </c>
      <c r="AB160" s="295" t="s">
        <v>4265</v>
      </c>
      <c r="AC160" s="296">
        <v>1</v>
      </c>
      <c r="AD160" s="296">
        <v>550</v>
      </c>
      <c r="AE160" s="69">
        <f>AC160*AD160</f>
        <v>550</v>
      </c>
      <c r="AF160" s="71">
        <f>C160*Работы!$D$180</f>
        <v>0</v>
      </c>
      <c r="AG160" s="68">
        <f>AA160+AE160+AF160+AL160+AM160</f>
        <v>550</v>
      </c>
      <c r="AH160" s="72"/>
      <c r="AI160" s="73"/>
      <c r="AJ160" s="245">
        <f>AG160-AA160*AI160</f>
        <v>550</v>
      </c>
      <c r="AK160" s="302"/>
      <c r="AL160" s="302">
        <f>IF(OR(E160="да"), 4040, 0)</f>
        <v>0</v>
      </c>
      <c r="AM160" s="365">
        <f>IF(OR(D160="доп."), AA160*0.1, 0)</f>
        <v>0</v>
      </c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O160" s="34"/>
      <c r="CP160" s="34"/>
      <c r="CQ160" s="34"/>
    </row>
    <row r="161" spans="1:95" s="46" customFormat="1" ht="102" x14ac:dyDescent="0.25">
      <c r="A161" s="241">
        <f>ROW(A161)-10</f>
        <v>151</v>
      </c>
      <c r="B161" s="335" t="s">
        <v>2311</v>
      </c>
      <c r="C161" s="241">
        <f>VLOOKUP(B161, Расстояния!B:J, 9, 0)</f>
        <v>70</v>
      </c>
      <c r="D161" s="242" t="str">
        <f>VLOOKUP(B161, Расстояния!B:K, 10, 0)</f>
        <v>осн.</v>
      </c>
      <c r="E161" s="242" t="str">
        <f>VLOOKUP(B161, Расстояния!B:F, 5, 0)</f>
        <v>нет</v>
      </c>
      <c r="F161" s="290" t="s">
        <v>4310</v>
      </c>
      <c r="G161" s="305">
        <v>46105.594444444447</v>
      </c>
      <c r="H161" s="345">
        <v>46105.640277777777</v>
      </c>
      <c r="I161" s="345">
        <v>46105.739583333336</v>
      </c>
      <c r="J161" s="304" t="s">
        <v>4192</v>
      </c>
      <c r="K161" s="332"/>
      <c r="L161" s="292" t="s">
        <v>367</v>
      </c>
      <c r="M161" s="241" t="str">
        <f>VLOOKUP(L161,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61" s="330" t="s">
        <v>3843</v>
      </c>
      <c r="O161" s="298"/>
      <c r="P161" s="248">
        <f>IF(OR(L161="3.3.1.", L161="3.3.2.", L161="3.3.3.", L161="3.1.1.", L161="3.1.2.", L161="3.4.1.", L161="3.4.2."), 0, VLOOKUP(L161, Работы!$A$3:$D$184, 4, 0))</f>
        <v>0</v>
      </c>
      <c r="Q161" s="243">
        <f>ROUNDUP((I161-H161)*24, 0)</f>
        <v>3</v>
      </c>
      <c r="R161" s="293"/>
      <c r="S161" s="293"/>
      <c r="T161" s="244">
        <f>IF(OR(L161="3.3.1.", L161="3.3.2.", L161="3.3.3."), VLOOKUP(L161, Работы!$A$3:$D$184, 4, 0), 0)</f>
        <v>903</v>
      </c>
      <c r="U161" s="246">
        <f>IF(OR(L161="3.1.1."), VLOOKUP(L161, Работы!$A$3:$D$184, 4, 0), 0)</f>
        <v>0</v>
      </c>
      <c r="V161" s="246">
        <f>IF(OR(L161="3.1.2."), VLOOKUP(L161, Работы!$A$3:$D$184, 4, 0), 0)</f>
        <v>0</v>
      </c>
      <c r="W161" s="294"/>
      <c r="X161" s="294"/>
      <c r="Y161" s="247">
        <f>IF(OR(L161="3.2.1.", L161="3.2.2."), VLOOKUP(L161, Работы!$A$3:$D$184, 4, 0), 0)</f>
        <v>0</v>
      </c>
      <c r="Z161" s="247">
        <f>IF(OR(L161="3.4.1.", L161="3.4.2."), VLOOKUP(L161, Работы!$A$3:$D$184, 4, 0), 0)</f>
        <v>0</v>
      </c>
      <c r="AA161" s="68">
        <f>P161*O161+Q161*T161+R161*T161+S161*T161+U161+V161+W161*Y161+X161*Y161+Z161</f>
        <v>2709</v>
      </c>
      <c r="AB161" s="295"/>
      <c r="AC161" s="296"/>
      <c r="AD161" s="296"/>
      <c r="AE161" s="69">
        <f>AC161*AD161</f>
        <v>0</v>
      </c>
      <c r="AF161" s="71">
        <f>C161*Работы!$D$180</f>
        <v>3766.7000000000003</v>
      </c>
      <c r="AG161" s="68">
        <f>AA161+AE161+AF161+AL161+AM161</f>
        <v>6475.7000000000007</v>
      </c>
      <c r="AH161" s="72"/>
      <c r="AI161" s="73"/>
      <c r="AJ161" s="245">
        <f>AG161-AA161*AI161</f>
        <v>6475.7000000000007</v>
      </c>
      <c r="AK161" s="302"/>
      <c r="AL161" s="302">
        <f>IF(OR(E161="да"), 4040, 0)</f>
        <v>0</v>
      </c>
      <c r="AM161" s="365">
        <f>IF(OR(D161="доп."), AA161*0.1, 0)</f>
        <v>0</v>
      </c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43"/>
      <c r="BW161" s="43"/>
      <c r="BX161" s="43"/>
      <c r="BY161" s="43"/>
      <c r="BZ161" s="43"/>
      <c r="CA161" s="43"/>
      <c r="CB161" s="43"/>
      <c r="CC161" s="43"/>
      <c r="CD161" s="43"/>
      <c r="CE161" s="43"/>
      <c r="CF161" s="43"/>
      <c r="CG161" s="43"/>
      <c r="CH161" s="43"/>
      <c r="CI161" s="43"/>
      <c r="CJ161" s="43"/>
      <c r="CK161" s="43"/>
      <c r="CL161" s="43"/>
      <c r="CM161" s="43"/>
      <c r="CN161" s="43"/>
      <c r="CO161" s="43"/>
      <c r="CP161" s="43"/>
      <c r="CQ161" s="43"/>
    </row>
    <row r="162" spans="1:95" s="46" customFormat="1" ht="102" x14ac:dyDescent="0.25">
      <c r="A162" s="241">
        <f>ROW(A162)-10</f>
        <v>152</v>
      </c>
      <c r="B162" s="335" t="s">
        <v>880</v>
      </c>
      <c r="C162" s="241">
        <f>VLOOKUP(B162, Расстояния!B:J, 9, 0)</f>
        <v>80</v>
      </c>
      <c r="D162" s="242" t="str">
        <f>VLOOKUP(B162, Расстояния!B:K, 10, 0)</f>
        <v>осн.</v>
      </c>
      <c r="E162" s="242" t="str">
        <f>VLOOKUP(B162, Расстояния!B:F, 5, 0)</f>
        <v>нет</v>
      </c>
      <c r="F162" s="290" t="s">
        <v>4162</v>
      </c>
      <c r="G162" s="305">
        <v>46109.423356481479</v>
      </c>
      <c r="H162" s="305">
        <v>46109.504166666666</v>
      </c>
      <c r="I162" s="305">
        <v>46109.53125</v>
      </c>
      <c r="J162" s="303" t="s">
        <v>4263</v>
      </c>
      <c r="K162" s="306"/>
      <c r="L162" s="250" t="s">
        <v>367</v>
      </c>
      <c r="M162" s="241" t="str">
        <f>VLOOKUP(L162,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62" s="330" t="s">
        <v>3843</v>
      </c>
      <c r="O162" s="298"/>
      <c r="P162" s="248">
        <f>IF(OR(L162="3.3.1.", L162="3.3.2.", L162="3.3.3.", L162="3.1.1.", L162="3.1.2.", L162="3.4.1.", L162="3.4.2."), 0, VLOOKUP(L162, Работы!$A$3:$D$184, 4, 0))</f>
        <v>0</v>
      </c>
      <c r="Q162" s="243">
        <f>ROUNDUP((I162-H162)*24, 0)</f>
        <v>1</v>
      </c>
      <c r="R162" s="293"/>
      <c r="S162" s="293"/>
      <c r="T162" s="244">
        <f>IF(OR(L162="3.3.1.", L162="3.3.2.", L162="3.3.3."), VLOOKUP(L162, Работы!$A$3:$D$184, 4, 0), 0)</f>
        <v>903</v>
      </c>
      <c r="U162" s="246">
        <f>IF(OR(L162="3.1.1."), VLOOKUP(L162, Работы!$A$3:$D$184, 4, 0), 0)</f>
        <v>0</v>
      </c>
      <c r="V162" s="246">
        <f>IF(OR(L162="3.1.2."), VLOOKUP(L162, Работы!$A$3:$D$184, 4, 0), 0)</f>
        <v>0</v>
      </c>
      <c r="W162" s="294"/>
      <c r="X162" s="294"/>
      <c r="Y162" s="247">
        <f>IF(OR(L162="3.2.1.", L162="3.2.2."), VLOOKUP(L162, Работы!$A$3:$D$184, 4, 0), 0)</f>
        <v>0</v>
      </c>
      <c r="Z162" s="247">
        <f>IF(OR(L162="3.4.1.", L162="3.4.2."), VLOOKUP(L162, Работы!$A$3:$D$184, 4, 0), 0)</f>
        <v>0</v>
      </c>
      <c r="AA162" s="68">
        <f>P162*O162+Q162*T162+R162*T162+S162*T162+U162+V162+W162*Y162+X162*Y162+Z162</f>
        <v>903</v>
      </c>
      <c r="AB162" s="295"/>
      <c r="AC162" s="296"/>
      <c r="AD162" s="296"/>
      <c r="AE162" s="69">
        <f>AC162*AD162</f>
        <v>0</v>
      </c>
      <c r="AF162" s="71">
        <f>C162*Работы!$D$180</f>
        <v>4304.8</v>
      </c>
      <c r="AG162" s="68">
        <f>AA162+AE162+AF162+AL162+AM162</f>
        <v>5207.8</v>
      </c>
      <c r="AH162" s="72"/>
      <c r="AI162" s="73"/>
      <c r="AJ162" s="245">
        <f>AG162-AA162*AI162</f>
        <v>5207.8</v>
      </c>
      <c r="AK162" s="302"/>
      <c r="AL162" s="302">
        <f>IF(OR(E162="да"), 4040, 0)</f>
        <v>0</v>
      </c>
      <c r="AM162" s="365">
        <f>IF(OR(D162="доп."), AA162*0.1, 0)</f>
        <v>0</v>
      </c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</row>
    <row r="163" spans="1:95" s="46" customFormat="1" ht="51" x14ac:dyDescent="0.25">
      <c r="A163" s="241">
        <f>ROW(A163)-10</f>
        <v>153</v>
      </c>
      <c r="B163" s="335" t="s">
        <v>880</v>
      </c>
      <c r="C163" s="241">
        <f>VLOOKUP(B163, Расстояния!B:J, 9, 0)</f>
        <v>80</v>
      </c>
      <c r="D163" s="242" t="str">
        <f>VLOOKUP(B163, Расстояния!B:K, 10, 0)</f>
        <v>осн.</v>
      </c>
      <c r="E163" s="242" t="str">
        <f>VLOOKUP(B163, Расстояния!B:F, 5, 0)</f>
        <v>нет</v>
      </c>
      <c r="F163" s="290" t="s">
        <v>4122</v>
      </c>
      <c r="G163" s="305">
        <v>46109.509027777778</v>
      </c>
      <c r="H163" s="305">
        <v>46109.591666666667</v>
      </c>
      <c r="I163" s="305">
        <v>46109.684027777781</v>
      </c>
      <c r="J163" s="303" t="s">
        <v>4043</v>
      </c>
      <c r="K163" s="306"/>
      <c r="L163" s="250" t="s">
        <v>332</v>
      </c>
      <c r="M163" s="241" t="str">
        <f>VLOOKUP(L163, Работы!A:B, 2, 0)</f>
        <v>Стоимость аварийно-восстановительных работ, заявка по которым получена во внерабочее время</v>
      </c>
      <c r="N163" s="330" t="s">
        <v>4260</v>
      </c>
      <c r="O163" s="298"/>
      <c r="P163" s="248">
        <f>IF(OR(L163="3.3.1.", L163="3.3.2.", L163="3.3.3.", L163="3.1.1.", L163="3.1.2.", L163="3.4.1.", L163="3.4.2."), 0, VLOOKUP(L163, Работы!$A$3:$D$184, 4, 0))</f>
        <v>0</v>
      </c>
      <c r="Q163" s="243"/>
      <c r="R163" s="293"/>
      <c r="S163" s="293"/>
      <c r="T163" s="244">
        <f>IF(OR(L163="3.3.1.", L163="3.3.2.", L163="3.3.3."), VLOOKUP(L163, Работы!$A$3:$D$184, 4, 0), 0)</f>
        <v>0</v>
      </c>
      <c r="U163" s="246">
        <f>IF(OR(L163="3.1.1."), VLOOKUP(L163, Работы!$A$3:$D$184, 4, 0), 0)</f>
        <v>0</v>
      </c>
      <c r="V163" s="246">
        <f>IF(OR(L163="3.1.2."), VLOOKUP(L163, Работы!$A$3:$D$184, 4, 0), 0)</f>
        <v>7187</v>
      </c>
      <c r="W163" s="294"/>
      <c r="X163" s="294"/>
      <c r="Y163" s="247">
        <f>IF(OR(L163="3.2.1.", L163="3.2.2."), VLOOKUP(L163, Работы!$A$3:$D$184, 4, 0), 0)</f>
        <v>0</v>
      </c>
      <c r="Z163" s="247">
        <f>IF(OR(L163="3.4.1.", L163="3.4.2."), VLOOKUP(L163, Работы!$A$3:$D$184, 4, 0), 0)</f>
        <v>0</v>
      </c>
      <c r="AA163" s="68">
        <f>P163*O163+Q163*T163+R163*T163+S163*T163+U163+V163+W163*Y163+X163*Y163+Z163</f>
        <v>7187</v>
      </c>
      <c r="AB163" s="295"/>
      <c r="AC163" s="296"/>
      <c r="AD163" s="296"/>
      <c r="AE163" s="69">
        <f>AC163*AD163</f>
        <v>0</v>
      </c>
      <c r="AF163" s="71">
        <f>C163*Работы!$D$180</f>
        <v>4304.8</v>
      </c>
      <c r="AG163" s="68">
        <f>AA163+AE163+AF163+AL163+AM163</f>
        <v>11491.8</v>
      </c>
      <c r="AH163" s="72"/>
      <c r="AI163" s="73"/>
      <c r="AJ163" s="245">
        <f>AG163-AA163*AI163</f>
        <v>11491.8</v>
      </c>
      <c r="AK163" s="302"/>
      <c r="AL163" s="302">
        <f>IF(OR(E163="да"), 4040, 0)</f>
        <v>0</v>
      </c>
      <c r="AM163" s="365">
        <f>IF(OR(D163="доп."), AA163*0.1, 0)</f>
        <v>0</v>
      </c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43"/>
      <c r="BW163" s="43"/>
      <c r="BX163" s="43"/>
      <c r="BY163" s="43"/>
      <c r="BZ163" s="43"/>
      <c r="CA163" s="43"/>
      <c r="CB163" s="43"/>
      <c r="CC163" s="43"/>
      <c r="CD163" s="43"/>
      <c r="CE163" s="43"/>
      <c r="CF163" s="43"/>
      <c r="CG163" s="43"/>
      <c r="CH163" s="43"/>
      <c r="CI163" s="43"/>
      <c r="CJ163" s="43"/>
      <c r="CK163" s="43"/>
      <c r="CL163" s="43"/>
      <c r="CM163" s="43"/>
      <c r="CN163" s="43"/>
      <c r="CO163" s="43"/>
      <c r="CP163" s="43"/>
      <c r="CQ163" s="43"/>
    </row>
    <row r="164" spans="1:95" s="46" customFormat="1" ht="38.25" x14ac:dyDescent="0.25">
      <c r="A164" s="241">
        <f>ROW(A164)-10</f>
        <v>154</v>
      </c>
      <c r="B164" s="335" t="s">
        <v>880</v>
      </c>
      <c r="C164" s="241">
        <v>0</v>
      </c>
      <c r="D164" s="242" t="str">
        <f>VLOOKUP(B164, Расстояния!B:K, 10, 0)</f>
        <v>осн.</v>
      </c>
      <c r="E164" s="242" t="str">
        <f>VLOOKUP(B164, Расстояния!B:F, 5, 0)</f>
        <v>нет</v>
      </c>
      <c r="F164" s="290"/>
      <c r="G164" s="305"/>
      <c r="H164" s="305">
        <v>46109.625</v>
      </c>
      <c r="I164" s="305">
        <v>46109.684027777781</v>
      </c>
      <c r="J164" s="303" t="s">
        <v>4043</v>
      </c>
      <c r="K164" s="306"/>
      <c r="L164" s="250" t="s">
        <v>296</v>
      </c>
      <c r="M164" s="241" t="str">
        <f>VLOOKUP(L164, Работы!A:B, 2, 0)</f>
        <v>Техническое обслуживание БС</v>
      </c>
      <c r="N164" s="330" t="s">
        <v>298</v>
      </c>
      <c r="O164" s="298">
        <v>1</v>
      </c>
      <c r="P164" s="248">
        <f>IF(OR(L164="3.3.1.", L164="3.3.2.", L164="3.3.3.", L164="3.1.1.", L164="3.1.2.", L164="3.4.1.", L164="3.4.2."), 0, VLOOKUP(L164, Работы!$A$3:$D$184, 4, 0))</f>
        <v>4143</v>
      </c>
      <c r="Q164" s="243"/>
      <c r="R164" s="293"/>
      <c r="S164" s="293"/>
      <c r="T164" s="244">
        <f>IF(OR(L164="3.3.1.", L164="3.3.2.", L164="3.3.3."), VLOOKUP(L164, Работы!$A$3:$D$184, 4, 0), 0)</f>
        <v>0</v>
      </c>
      <c r="U164" s="246">
        <f>IF(OR(L164="3.1.1."), VLOOKUP(L164, Работы!$A$3:$D$184, 4, 0), 0)</f>
        <v>0</v>
      </c>
      <c r="V164" s="246">
        <f>IF(OR(L164="3.1.2."), VLOOKUP(L164, Работы!$A$3:$D$184, 4, 0), 0)</f>
        <v>0</v>
      </c>
      <c r="W164" s="294"/>
      <c r="X164" s="294"/>
      <c r="Y164" s="247">
        <f>IF(OR(L164="3.2.1.", L164="3.2.2."), VLOOKUP(L164, Работы!$A$3:$D$184, 4, 0), 0)</f>
        <v>0</v>
      </c>
      <c r="Z164" s="247">
        <f>IF(OR(L164="3.4.1.", L164="3.4.2."), VLOOKUP(L164, Работы!$A$3:$D$184, 4, 0), 0)</f>
        <v>0</v>
      </c>
      <c r="AA164" s="68">
        <f>P164*O164+Q164*T164+R164*T164+S164*T164+U164+V164+W164*Y164+X164*Y164+Z164</f>
        <v>4143</v>
      </c>
      <c r="AB164" s="295"/>
      <c r="AC164" s="296"/>
      <c r="AD164" s="296"/>
      <c r="AE164" s="69">
        <f>AC164*AD164</f>
        <v>0</v>
      </c>
      <c r="AF164" s="71">
        <f>C164*Работы!$D$180</f>
        <v>0</v>
      </c>
      <c r="AG164" s="68">
        <f>AA164+AE164+AF164+AL164+AM164</f>
        <v>4143</v>
      </c>
      <c r="AH164" s="72"/>
      <c r="AI164" s="73"/>
      <c r="AJ164" s="245">
        <f>AG164-AA164*AI164</f>
        <v>4143</v>
      </c>
      <c r="AK164" s="302"/>
      <c r="AL164" s="302">
        <f>IF(OR(E164="да"), 4040, 0)</f>
        <v>0</v>
      </c>
      <c r="AM164" s="365">
        <f>IF(OR(D164="доп."), AA164*0.1, 0)</f>
        <v>0</v>
      </c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43"/>
      <c r="BW164" s="43"/>
      <c r="BX164" s="43"/>
      <c r="BY164" s="43"/>
      <c r="BZ164" s="43"/>
      <c r="CA164" s="43"/>
      <c r="CB164" s="43"/>
      <c r="CC164" s="43"/>
      <c r="CD164" s="43"/>
      <c r="CE164" s="43"/>
      <c r="CF164" s="43"/>
      <c r="CG164" s="43"/>
      <c r="CH164" s="43"/>
      <c r="CI164" s="43"/>
      <c r="CJ164" s="43"/>
      <c r="CK164" s="43"/>
      <c r="CL164" s="43"/>
      <c r="CM164" s="43"/>
      <c r="CN164" s="43"/>
      <c r="CO164" s="43"/>
      <c r="CP164" s="43"/>
      <c r="CQ164" s="43"/>
    </row>
    <row r="165" spans="1:95" s="46" customFormat="1" ht="25.5" x14ac:dyDescent="0.25">
      <c r="A165" s="241">
        <f>ROW(A165)-10</f>
        <v>155</v>
      </c>
      <c r="B165" s="335" t="s">
        <v>880</v>
      </c>
      <c r="C165" s="241">
        <v>0</v>
      </c>
      <c r="D165" s="242" t="str">
        <f>VLOOKUP(B165, Расстояния!B:K, 10, 0)</f>
        <v>осн.</v>
      </c>
      <c r="E165" s="242" t="str">
        <f>VLOOKUP(B165, Расстояния!B:F, 5, 0)</f>
        <v>нет</v>
      </c>
      <c r="F165" s="290"/>
      <c r="G165" s="305"/>
      <c r="H165" s="305">
        <v>46109.625</v>
      </c>
      <c r="I165" s="305">
        <v>46109.684027777781</v>
      </c>
      <c r="J165" s="303" t="s">
        <v>4043</v>
      </c>
      <c r="K165" s="306"/>
      <c r="L165" s="250" t="s">
        <v>4013</v>
      </c>
      <c r="M165" s="241" t="str">
        <f>VLOOKUP(L165, Работы!A:B, 2, 0)</f>
        <v>Стоимость проведения инвентаризации Объекта.</v>
      </c>
      <c r="N165" s="330" t="s">
        <v>4304</v>
      </c>
      <c r="O165" s="298">
        <v>1</v>
      </c>
      <c r="P165" s="248">
        <f>IF(OR(L165="3.3.1.", L165="3.3.2.", L165="3.3.3.", L165="3.1.1.", L165="3.1.2.", L165="3.4.1.", L165="3.4.2."), 0, VLOOKUP(L165, Работы!$A$3:$D$184, 4, 0))</f>
        <v>735</v>
      </c>
      <c r="Q165" s="243"/>
      <c r="R165" s="293"/>
      <c r="S165" s="293"/>
      <c r="T165" s="244">
        <f>IF(OR(L165="3.3.1.", L165="3.3.2.", L165="3.3.3."), VLOOKUP(L165, Работы!$A$3:$D$184, 4, 0), 0)</f>
        <v>0</v>
      </c>
      <c r="U165" s="246">
        <f>IF(OR(L165="3.1.1."), VLOOKUP(L165, Работы!$A$3:$D$184, 4, 0), 0)</f>
        <v>0</v>
      </c>
      <c r="V165" s="246">
        <f>IF(OR(L165="3.1.2."), VLOOKUP(L165, Работы!$A$3:$D$184, 4, 0), 0)</f>
        <v>0</v>
      </c>
      <c r="W165" s="294"/>
      <c r="X165" s="294"/>
      <c r="Y165" s="247">
        <f>IF(OR(L165="3.2.1.", L165="3.2.2."), VLOOKUP(L165, Работы!$A$3:$D$184, 4, 0), 0)</f>
        <v>0</v>
      </c>
      <c r="Z165" s="247">
        <f>IF(OR(L165="3.4.1.", L165="3.4.2."), VLOOKUP(L165, Работы!$A$3:$D$184, 4, 0), 0)</f>
        <v>0</v>
      </c>
      <c r="AA165" s="68">
        <f>P165*O165+Q165*T165+R165*T165+S165*T165+U165+V165+W165*Y165+X165*Y165+Z165</f>
        <v>735</v>
      </c>
      <c r="AB165" s="295"/>
      <c r="AC165" s="296"/>
      <c r="AD165" s="296"/>
      <c r="AE165" s="69">
        <f>AC165*AD165</f>
        <v>0</v>
      </c>
      <c r="AF165" s="71">
        <f>C165*Работы!$D$180</f>
        <v>0</v>
      </c>
      <c r="AG165" s="68">
        <f>AA165+AE165+AF165+AL165+AM165</f>
        <v>735</v>
      </c>
      <c r="AH165" s="72"/>
      <c r="AI165" s="73"/>
      <c r="AJ165" s="245">
        <f>AG165-AA165*AI165</f>
        <v>735</v>
      </c>
      <c r="AK165" s="302"/>
      <c r="AL165" s="302">
        <f>IF(OR(E165="да"), 4040, 0)</f>
        <v>0</v>
      </c>
      <c r="AM165" s="365">
        <f>IF(OR(D165="доп."), AA165*0.1, 0)</f>
        <v>0</v>
      </c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43"/>
      <c r="BW165" s="43"/>
      <c r="BX165" s="43"/>
      <c r="BY165" s="43"/>
      <c r="BZ165" s="43"/>
      <c r="CA165" s="43"/>
      <c r="CB165" s="43"/>
      <c r="CC165" s="43"/>
      <c r="CD165" s="43"/>
      <c r="CE165" s="43"/>
      <c r="CF165" s="43"/>
      <c r="CG165" s="43"/>
      <c r="CH165" s="43"/>
      <c r="CI165" s="43"/>
      <c r="CJ165" s="43"/>
      <c r="CK165" s="43"/>
      <c r="CL165" s="43"/>
      <c r="CM165" s="43"/>
      <c r="CN165" s="43"/>
      <c r="CO165" s="43"/>
      <c r="CP165" s="43"/>
      <c r="CQ165" s="43"/>
    </row>
    <row r="166" spans="1:95" s="46" customFormat="1" ht="38.25" x14ac:dyDescent="0.25">
      <c r="A166" s="241">
        <f>ROW(A166)-10</f>
        <v>156</v>
      </c>
      <c r="B166" s="335" t="s">
        <v>880</v>
      </c>
      <c r="C166" s="241">
        <v>0</v>
      </c>
      <c r="D166" s="242" t="str">
        <f>VLOOKUP(B166, Расстояния!B:K, 10, 0)</f>
        <v>осн.</v>
      </c>
      <c r="E166" s="242" t="str">
        <f>VLOOKUP(B166, Расстояния!B:F, 5, 0)</f>
        <v>нет</v>
      </c>
      <c r="F166" s="290" t="s">
        <v>4123</v>
      </c>
      <c r="G166" s="305">
        <v>46109.614583333336</v>
      </c>
      <c r="H166" s="305">
        <v>46109.625</v>
      </c>
      <c r="I166" s="305">
        <v>46109.684027777781</v>
      </c>
      <c r="J166" s="303" t="s">
        <v>4043</v>
      </c>
      <c r="K166" s="332"/>
      <c r="L166" s="292" t="s">
        <v>280</v>
      </c>
      <c r="M166" s="241" t="str">
        <f>VLOOKUP(L166, Работы!A:B, 2, 0)</f>
        <v>Настройка, прописка ИБП, включая подключение и тестирование внешних аварий</v>
      </c>
      <c r="N166" s="330" t="s">
        <v>4238</v>
      </c>
      <c r="O166" s="298">
        <v>1</v>
      </c>
      <c r="P166" s="248">
        <f>IF(OR(L166="3.3.1.", L166="3.3.2.", L166="3.3.3.", L166="3.1.1.", L166="3.1.2.", L166="3.4.1.", L166="3.4.2."), 0, VLOOKUP(L166, Работы!$A$3:$D$184, 4, 0))</f>
        <v>735</v>
      </c>
      <c r="Q166" s="243"/>
      <c r="R166" s="293"/>
      <c r="S166" s="293"/>
      <c r="T166" s="244">
        <f>IF(OR(L166="3.3.1.", L166="3.3.2.", L166="3.3.3."), VLOOKUP(L166, Работы!$A$3:$D$184, 4, 0), 0)</f>
        <v>0</v>
      </c>
      <c r="U166" s="246">
        <f>IF(OR(L166="3.1.1."), VLOOKUP(L166, Работы!$A$3:$D$184, 4, 0), 0)</f>
        <v>0</v>
      </c>
      <c r="V166" s="246">
        <f>IF(OR(L166="3.1.2."), VLOOKUP(L166, Работы!$A$3:$D$184, 4, 0), 0)</f>
        <v>0</v>
      </c>
      <c r="W166" s="294"/>
      <c r="X166" s="294"/>
      <c r="Y166" s="247">
        <f>IF(OR(L166="3.2.1.", L166="3.2.2."), VLOOKUP(L166, Работы!$A$3:$D$184, 4, 0), 0)</f>
        <v>0</v>
      </c>
      <c r="Z166" s="247">
        <f>IF(OR(L166="3.4.1.", L166="3.4.2."), VLOOKUP(L166, Работы!$A$3:$D$184, 4, 0), 0)</f>
        <v>0</v>
      </c>
      <c r="AA166" s="68">
        <f>P166*O166+Q166*T166+R166*T166+S166*T166+U166+V166+W166*Y166+X166*Y166+Z166</f>
        <v>735</v>
      </c>
      <c r="AB166" s="295"/>
      <c r="AC166" s="296"/>
      <c r="AD166" s="296"/>
      <c r="AE166" s="69">
        <f>AC166*AD166</f>
        <v>0</v>
      </c>
      <c r="AF166" s="71">
        <f>C166*Работы!$D$180</f>
        <v>0</v>
      </c>
      <c r="AG166" s="68">
        <f>AA166+AE166+AF166+AL166+AM166</f>
        <v>735</v>
      </c>
      <c r="AH166" s="72"/>
      <c r="AI166" s="73"/>
      <c r="AJ166" s="245">
        <f>AG166-AA166*AI166</f>
        <v>735</v>
      </c>
      <c r="AK166" s="302"/>
      <c r="AL166" s="302">
        <f>IF(OR(E166="да"), 4040, 0)</f>
        <v>0</v>
      </c>
      <c r="AM166" s="365">
        <f>IF(OR(D166="доп."), AA166*0.1, 0)</f>
        <v>0</v>
      </c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43"/>
      <c r="BW166" s="43"/>
      <c r="BX166" s="43"/>
      <c r="BY166" s="43"/>
      <c r="BZ166" s="43"/>
      <c r="CA166" s="43"/>
      <c r="CB166" s="43"/>
      <c r="CC166" s="43"/>
      <c r="CD166" s="43"/>
      <c r="CE166" s="43"/>
      <c r="CF166" s="43"/>
      <c r="CG166" s="43"/>
      <c r="CH166" s="43"/>
      <c r="CI166" s="43"/>
      <c r="CJ166" s="43"/>
      <c r="CK166" s="43"/>
      <c r="CL166" s="43"/>
      <c r="CM166" s="43"/>
      <c r="CN166" s="43"/>
      <c r="CO166" s="43"/>
      <c r="CP166" s="43"/>
      <c r="CQ166" s="43"/>
    </row>
    <row r="167" spans="1:95" s="46" customFormat="1" ht="25.5" x14ac:dyDescent="0.25">
      <c r="A167" s="241">
        <f>ROW(A167)-10</f>
        <v>157</v>
      </c>
      <c r="B167" s="335" t="s">
        <v>926</v>
      </c>
      <c r="C167" s="241">
        <f>VLOOKUP(B167, Расстояния!B:J, 9, 0)</f>
        <v>57</v>
      </c>
      <c r="D167" s="242" t="str">
        <f>VLOOKUP(B167, Расстояния!B:K, 10, 0)</f>
        <v>осн.</v>
      </c>
      <c r="E167" s="242" t="str">
        <f>VLOOKUP(B167, Расстояния!B:F, 5, 0)</f>
        <v>нет</v>
      </c>
      <c r="F167" s="290" t="s">
        <v>4158</v>
      </c>
      <c r="G167" s="305">
        <v>46036.40587962963</v>
      </c>
      <c r="H167" s="305">
        <v>46106.397222222222</v>
      </c>
      <c r="I167" s="305">
        <v>46106.643750000003</v>
      </c>
      <c r="J167" s="303" t="s">
        <v>4263</v>
      </c>
      <c r="K167" s="332"/>
      <c r="L167" s="250" t="s">
        <v>195</v>
      </c>
      <c r="M167" s="241" t="str">
        <f>VLOOKUP(L167, Работы!A:B, 2, 0)</f>
        <v>Юстировка РРЛ полупролета (диам. от 1м до 1,8)</v>
      </c>
      <c r="N167" s="330" t="s">
        <v>4254</v>
      </c>
      <c r="O167" s="298">
        <v>1</v>
      </c>
      <c r="P167" s="248">
        <f>IF(OR(L167="3.3.1.", L167="3.3.2.", L167="3.3.3.", L167="3.1.1.", L167="3.1.2.", L167="3.4.1.", L167="3.4.2."), 0, VLOOKUP(L167, Работы!$A$3:$D$184, 4, 0))</f>
        <v>2579</v>
      </c>
      <c r="Q167" s="243"/>
      <c r="R167" s="293"/>
      <c r="S167" s="293"/>
      <c r="T167" s="244">
        <f>IF(OR(L167="3.3.1.", L167="3.3.2.", L167="3.3.3."), VLOOKUP(L167, Работы!$A$3:$D$184, 4, 0), 0)</f>
        <v>0</v>
      </c>
      <c r="U167" s="246">
        <f>IF(OR(L167="3.1.1."), VLOOKUP(L167, Работы!$A$3:$D$184, 4, 0), 0)</f>
        <v>0</v>
      </c>
      <c r="V167" s="246">
        <f>IF(OR(L167="3.1.2."), VLOOKUP(L167, Работы!$A$3:$D$184, 4, 0), 0)</f>
        <v>0</v>
      </c>
      <c r="W167" s="294"/>
      <c r="X167" s="294"/>
      <c r="Y167" s="247">
        <f>IF(OR(L167="3.2.1.", L167="3.2.2."), VLOOKUP(L167, Работы!$A$3:$D$184, 4, 0), 0)</f>
        <v>0</v>
      </c>
      <c r="Z167" s="247">
        <f>IF(OR(L167="3.4.1.", L167="3.4.2."), VLOOKUP(L167, Работы!$A$3:$D$184, 4, 0), 0)</f>
        <v>0</v>
      </c>
      <c r="AA167" s="68">
        <f>P167*O167+Q167*T167+R167*T167+S167*T167+U167+V167+W167*Y167+X167*Y167+Z167</f>
        <v>2579</v>
      </c>
      <c r="AB167" s="295"/>
      <c r="AC167" s="296"/>
      <c r="AD167" s="296"/>
      <c r="AE167" s="69">
        <f>AC167*AD167</f>
        <v>0</v>
      </c>
      <c r="AF167" s="71">
        <f>C167*Работы!$D$180</f>
        <v>3067.17</v>
      </c>
      <c r="AG167" s="68">
        <f>AA167+AE167+AF167+AL167+AM167</f>
        <v>5646.17</v>
      </c>
      <c r="AH167" s="72"/>
      <c r="AI167" s="73"/>
      <c r="AJ167" s="245">
        <f>AG167-AA167*AI167</f>
        <v>5646.17</v>
      </c>
      <c r="AK167" s="302"/>
      <c r="AL167" s="302">
        <f>IF(OR(E167="да"), 4040, 0)</f>
        <v>0</v>
      </c>
      <c r="AM167" s="365">
        <f>IF(OR(D167="доп."), AA167*0.1, 0)</f>
        <v>0</v>
      </c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43"/>
      <c r="BW167" s="43"/>
      <c r="BX167" s="43"/>
      <c r="BY167" s="43"/>
      <c r="BZ167" s="43"/>
      <c r="CA167" s="43"/>
      <c r="CB167" s="43"/>
      <c r="CC167" s="43"/>
      <c r="CD167" s="43"/>
      <c r="CE167" s="43"/>
      <c r="CF167" s="43"/>
      <c r="CG167" s="43"/>
      <c r="CH167" s="43"/>
      <c r="CI167" s="43"/>
      <c r="CJ167" s="43"/>
      <c r="CK167" s="43"/>
      <c r="CL167" s="43"/>
      <c r="CM167" s="43"/>
      <c r="CN167" s="43"/>
      <c r="CO167" s="43"/>
      <c r="CP167" s="43"/>
      <c r="CQ167" s="43"/>
    </row>
    <row r="168" spans="1:95" s="46" customFormat="1" ht="102" x14ac:dyDescent="0.25">
      <c r="A168" s="241">
        <f>ROW(A168)-10</f>
        <v>158</v>
      </c>
      <c r="B168" s="335" t="s">
        <v>936</v>
      </c>
      <c r="C168" s="241">
        <f>VLOOKUP(B168, Расстояния!B:J, 9, 0)</f>
        <v>28</v>
      </c>
      <c r="D168" s="242" t="str">
        <f>VLOOKUP(B168, Расстояния!B:K, 10, 0)</f>
        <v>осн.</v>
      </c>
      <c r="E168" s="242" t="str">
        <f>VLOOKUP(B168, Расстояния!B:F, 5, 0)</f>
        <v>нет</v>
      </c>
      <c r="F168" s="290" t="s">
        <v>4115</v>
      </c>
      <c r="G168" s="305">
        <v>46105.466666666667</v>
      </c>
      <c r="H168" s="305">
        <v>46105.515972222223</v>
      </c>
      <c r="I168" s="305">
        <v>46105.534722222219</v>
      </c>
      <c r="J168" s="303" t="s">
        <v>4043</v>
      </c>
      <c r="K168" s="332"/>
      <c r="L168" s="250" t="s">
        <v>367</v>
      </c>
      <c r="M168" s="241" t="str">
        <f>VLOOKUP(L168,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68" s="330" t="s">
        <v>3843</v>
      </c>
      <c r="O168" s="298"/>
      <c r="P168" s="248">
        <f>IF(OR(L168="3.3.1.", L168="3.3.2.", L168="3.3.3.", L168="3.1.1.", L168="3.1.2.", L168="3.4.1.", L168="3.4.2."), 0, VLOOKUP(L168, Работы!$A$3:$D$184, 4, 0))</f>
        <v>0</v>
      </c>
      <c r="Q168" s="243">
        <f>ROUNDUP((I168-H168)*24, 0)</f>
        <v>1</v>
      </c>
      <c r="R168" s="293"/>
      <c r="S168" s="293"/>
      <c r="T168" s="244">
        <f>IF(OR(L168="3.3.1.", L168="3.3.2.", L168="3.3.3."), VLOOKUP(L168, Работы!$A$3:$D$184, 4, 0), 0)</f>
        <v>903</v>
      </c>
      <c r="U168" s="246">
        <f>IF(OR(L168="3.1.1."), VLOOKUP(L168, Работы!$A$3:$D$184, 4, 0), 0)</f>
        <v>0</v>
      </c>
      <c r="V168" s="246">
        <f>IF(OR(L168="3.1.2."), VLOOKUP(L168, Работы!$A$3:$D$184, 4, 0), 0)</f>
        <v>0</v>
      </c>
      <c r="W168" s="294"/>
      <c r="X168" s="294"/>
      <c r="Y168" s="247">
        <f>IF(OR(L168="3.2.1.", L168="3.2.2."), VLOOKUP(L168, Работы!$A$3:$D$184, 4, 0), 0)</f>
        <v>0</v>
      </c>
      <c r="Z168" s="247">
        <f>IF(OR(L168="3.4.1.", L168="3.4.2."), VLOOKUP(L168, Работы!$A$3:$D$184, 4, 0), 0)</f>
        <v>0</v>
      </c>
      <c r="AA168" s="68">
        <f>P168*O168+Q168*T168+R168*T168+S168*T168+U168+V168+W168*Y168+X168*Y168+Z168</f>
        <v>903</v>
      </c>
      <c r="AB168" s="295"/>
      <c r="AC168" s="296"/>
      <c r="AD168" s="296"/>
      <c r="AE168" s="69">
        <f>AC168*AD168</f>
        <v>0</v>
      </c>
      <c r="AF168" s="71">
        <f>C168*Работы!$D$180</f>
        <v>1506.68</v>
      </c>
      <c r="AG168" s="68">
        <f>AA168+AE168+AF168+AL168+AM168</f>
        <v>2409.6800000000003</v>
      </c>
      <c r="AH168" s="72"/>
      <c r="AI168" s="73"/>
      <c r="AJ168" s="245">
        <f>AG168-AA168*AI168</f>
        <v>2409.6800000000003</v>
      </c>
      <c r="AK168" s="302"/>
      <c r="AL168" s="302">
        <f>IF(OR(E168="да"), 4040, 0)</f>
        <v>0</v>
      </c>
      <c r="AM168" s="365">
        <f>IF(OR(D168="доп."), AA168*0.1, 0)</f>
        <v>0</v>
      </c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43"/>
      <c r="BW168" s="43"/>
      <c r="BX168" s="43"/>
      <c r="BY168" s="43"/>
      <c r="BZ168" s="43"/>
      <c r="CA168" s="43"/>
      <c r="CB168" s="43"/>
      <c r="CC168" s="43"/>
      <c r="CD168" s="43"/>
      <c r="CE168" s="43"/>
      <c r="CF168" s="43"/>
      <c r="CG168" s="43"/>
      <c r="CH168" s="43"/>
      <c r="CI168" s="43"/>
      <c r="CJ168" s="43"/>
      <c r="CK168" s="43"/>
      <c r="CL168" s="43"/>
      <c r="CM168" s="43"/>
      <c r="CN168" s="43"/>
      <c r="CO168" s="43"/>
      <c r="CP168" s="43"/>
      <c r="CQ168" s="43"/>
    </row>
    <row r="169" spans="1:95" s="46" customFormat="1" ht="25.5" x14ac:dyDescent="0.25">
      <c r="A169" s="241">
        <f>ROW(A169)-10</f>
        <v>159</v>
      </c>
      <c r="B169" s="335" t="s">
        <v>936</v>
      </c>
      <c r="C169" s="241">
        <f>VLOOKUP(B169, Расстояния!B:J, 9, 0)</f>
        <v>28</v>
      </c>
      <c r="D169" s="242" t="str">
        <f>VLOOKUP(B169, Расстояния!B:K, 10, 0)</f>
        <v>осн.</v>
      </c>
      <c r="E169" s="242" t="str">
        <f>VLOOKUP(B169, Расстояния!B:F, 5, 0)</f>
        <v>нет</v>
      </c>
      <c r="F169" s="290" t="s">
        <v>4117</v>
      </c>
      <c r="G169" s="305">
        <v>46036.40625</v>
      </c>
      <c r="H169" s="305">
        <v>46106.397222222222</v>
      </c>
      <c r="I169" s="305">
        <v>46106.643750000003</v>
      </c>
      <c r="J169" s="303" t="s">
        <v>4043</v>
      </c>
      <c r="K169" s="332"/>
      <c r="L169" s="292" t="s">
        <v>195</v>
      </c>
      <c r="M169" s="241" t="str">
        <f>VLOOKUP(L169, Работы!A:B, 2, 0)</f>
        <v>Юстировка РРЛ полупролета (диам. от 1м до 1,8)</v>
      </c>
      <c r="N169" s="330" t="s">
        <v>4254</v>
      </c>
      <c r="O169" s="298">
        <v>1</v>
      </c>
      <c r="P169" s="248">
        <f>IF(OR(L169="3.3.1.", L169="3.3.2.", L169="3.3.3.", L169="3.1.1.", L169="3.1.2.", L169="3.4.1.", L169="3.4.2."), 0, VLOOKUP(L169, Работы!$A$3:$D$184, 4, 0))</f>
        <v>2579</v>
      </c>
      <c r="Q169" s="243"/>
      <c r="R169" s="293"/>
      <c r="S169" s="293"/>
      <c r="T169" s="244">
        <f>IF(OR(L169="3.3.1.", L169="3.3.2.", L169="3.3.3."), VLOOKUP(L169, Работы!$A$3:$D$184, 4, 0), 0)</f>
        <v>0</v>
      </c>
      <c r="U169" s="246">
        <f>IF(OR(L169="3.1.1."), VLOOKUP(L169, Работы!$A$3:$D$184, 4, 0), 0)</f>
        <v>0</v>
      </c>
      <c r="V169" s="246">
        <f>IF(OR(L169="3.1.2."), VLOOKUP(L169, Работы!$A$3:$D$184, 4, 0), 0)</f>
        <v>0</v>
      </c>
      <c r="W169" s="294"/>
      <c r="X169" s="294"/>
      <c r="Y169" s="247">
        <f>IF(OR(L169="3.2.1.", L169="3.2.2."), VLOOKUP(L169, Работы!$A$3:$D$184, 4, 0), 0)</f>
        <v>0</v>
      </c>
      <c r="Z169" s="247">
        <f>IF(OR(L169="3.4.1.", L169="3.4.2."), VLOOKUP(L169, Работы!$A$3:$D$184, 4, 0), 0)</f>
        <v>0</v>
      </c>
      <c r="AA169" s="68">
        <f>P169*O169+Q169*T169+R169*T169+S169*T169+U169+V169+W169*Y169+X169*Y169+Z169</f>
        <v>2579</v>
      </c>
      <c r="AB169" s="295"/>
      <c r="AC169" s="296"/>
      <c r="AD169" s="296"/>
      <c r="AE169" s="69">
        <f>AC169*AD169</f>
        <v>0</v>
      </c>
      <c r="AF169" s="71">
        <f>C169*Работы!$D$180</f>
        <v>1506.68</v>
      </c>
      <c r="AG169" s="68">
        <f>AA169+AE169+AF169+AL169+AM169</f>
        <v>4085.6800000000003</v>
      </c>
      <c r="AH169" s="72"/>
      <c r="AI169" s="73"/>
      <c r="AJ169" s="245">
        <f>AG169-AA169*AI169</f>
        <v>4085.6800000000003</v>
      </c>
      <c r="AK169" s="302"/>
      <c r="AL169" s="302">
        <f>IF(OR(E169="да"), 4040, 0)</f>
        <v>0</v>
      </c>
      <c r="AM169" s="365">
        <f>IF(OR(D169="доп."), AA169*0.1, 0)</f>
        <v>0</v>
      </c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43"/>
      <c r="BW169" s="43"/>
      <c r="BX169" s="43"/>
      <c r="BY169" s="43"/>
      <c r="BZ169" s="43"/>
      <c r="CA169" s="43"/>
      <c r="CB169" s="43"/>
      <c r="CC169" s="43"/>
      <c r="CD169" s="43"/>
      <c r="CE169" s="43"/>
      <c r="CF169" s="43"/>
      <c r="CG169" s="43"/>
      <c r="CH169" s="43"/>
      <c r="CI169" s="43"/>
      <c r="CJ169" s="43"/>
      <c r="CK169" s="43"/>
      <c r="CL169" s="43"/>
      <c r="CM169" s="43"/>
      <c r="CN169" s="43"/>
      <c r="CO169" s="43"/>
      <c r="CP169" s="43"/>
      <c r="CQ169" s="43"/>
    </row>
    <row r="170" spans="1:95" s="46" customFormat="1" ht="38.25" x14ac:dyDescent="0.25">
      <c r="A170" s="241">
        <f>ROW(A170)-10</f>
        <v>160</v>
      </c>
      <c r="B170" s="335" t="s">
        <v>936</v>
      </c>
      <c r="C170" s="241">
        <v>0</v>
      </c>
      <c r="D170" s="242" t="str">
        <f>VLOOKUP(B170, Расстояния!B:K, 10, 0)</f>
        <v>осн.</v>
      </c>
      <c r="E170" s="242" t="str">
        <f>VLOOKUP(B170, Расстояния!B:F, 5, 0)</f>
        <v>нет</v>
      </c>
      <c r="F170" s="290" t="s">
        <v>4118</v>
      </c>
      <c r="G170" s="305">
        <v>46106.417361111111</v>
      </c>
      <c r="H170" s="305">
        <v>46106.397222222222</v>
      </c>
      <c r="I170" s="305">
        <v>46106.643750000003</v>
      </c>
      <c r="J170" s="303" t="s">
        <v>4043</v>
      </c>
      <c r="K170" s="332"/>
      <c r="L170" s="250" t="s">
        <v>140</v>
      </c>
      <c r="M170" s="241" t="str">
        <f>VLOOKUP(L170, Работы!A:B, 2, 0)</f>
        <v xml:space="preserve">Замена прокалывающего зажима </v>
      </c>
      <c r="N170" s="330" t="s">
        <v>4255</v>
      </c>
      <c r="O170" s="298">
        <v>2</v>
      </c>
      <c r="P170" s="248">
        <f>IF(OR(L170="3.3.1.", L170="3.3.2.", L170="3.3.3.", L170="3.1.1.", L170="3.1.2.", L170="3.4.1.", L170="3.4.2."), 0, VLOOKUP(L170, Работы!$A$3:$D$184, 4, 0))</f>
        <v>987</v>
      </c>
      <c r="Q170" s="243"/>
      <c r="R170" s="293"/>
      <c r="S170" s="293"/>
      <c r="T170" s="244">
        <f>IF(OR(L170="3.3.1.", L170="3.3.2.", L170="3.3.3."), VLOOKUP(L170, Работы!$A$3:$D$184, 4, 0), 0)</f>
        <v>0</v>
      </c>
      <c r="U170" s="246">
        <f>IF(OR(L170="3.1.1."), VLOOKUP(L170, Работы!$A$3:$D$184, 4, 0), 0)</f>
        <v>0</v>
      </c>
      <c r="V170" s="246">
        <f>IF(OR(L170="3.1.2."), VLOOKUP(L170, Работы!$A$3:$D$184, 4, 0), 0)</f>
        <v>0</v>
      </c>
      <c r="W170" s="294"/>
      <c r="X170" s="294"/>
      <c r="Y170" s="247">
        <f>IF(OR(L170="3.2.1.", L170="3.2.2."), VLOOKUP(L170, Работы!$A$3:$D$184, 4, 0), 0)</f>
        <v>0</v>
      </c>
      <c r="Z170" s="247">
        <f>IF(OR(L170="3.4.1.", L170="3.4.2."), VLOOKUP(L170, Работы!$A$3:$D$184, 4, 0), 0)</f>
        <v>0</v>
      </c>
      <c r="AA170" s="68">
        <f>P170*O170+Q170*T170+R170*T170+S170*T170+U170+V170+W170*Y170+X170*Y170+Z170</f>
        <v>1974</v>
      </c>
      <c r="AB170" s="295"/>
      <c r="AC170" s="296"/>
      <c r="AD170" s="296"/>
      <c r="AE170" s="69">
        <f>AC170*AD170</f>
        <v>0</v>
      </c>
      <c r="AF170" s="71">
        <f>C170*Работы!$D$180</f>
        <v>0</v>
      </c>
      <c r="AG170" s="68">
        <f>AA170+AE170+AF170+AL170+AM170</f>
        <v>1974</v>
      </c>
      <c r="AH170" s="72"/>
      <c r="AI170" s="73"/>
      <c r="AJ170" s="245">
        <f>AG170-AA170*AI170</f>
        <v>1974</v>
      </c>
      <c r="AK170" s="302"/>
      <c r="AL170" s="302">
        <f>IF(OR(E170="да"), 4040, 0)</f>
        <v>0</v>
      </c>
      <c r="AM170" s="365">
        <f>IF(OR(D170="доп."), AA170*0.1, 0)</f>
        <v>0</v>
      </c>
      <c r="AN170" s="251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43"/>
      <c r="BW170" s="43"/>
      <c r="BX170" s="43"/>
      <c r="BY170" s="43"/>
      <c r="BZ170" s="43"/>
      <c r="CA170" s="43"/>
      <c r="CB170" s="43"/>
      <c r="CC170" s="43"/>
      <c r="CD170" s="43"/>
      <c r="CE170" s="43"/>
      <c r="CF170" s="43"/>
      <c r="CG170" s="43"/>
      <c r="CH170" s="43"/>
      <c r="CI170" s="43"/>
      <c r="CJ170" s="43"/>
      <c r="CK170" s="43"/>
      <c r="CL170" s="43"/>
      <c r="CM170" s="43"/>
      <c r="CN170" s="43"/>
      <c r="CO170" s="43"/>
      <c r="CP170" s="43"/>
      <c r="CQ170" s="43"/>
    </row>
    <row r="171" spans="1:95" s="46" customFormat="1" ht="38.25" x14ac:dyDescent="0.25">
      <c r="A171" s="241">
        <f>ROW(A171)-10</f>
        <v>161</v>
      </c>
      <c r="B171" s="361" t="s">
        <v>936</v>
      </c>
      <c r="C171" s="241">
        <v>0</v>
      </c>
      <c r="D171" s="242" t="str">
        <f>VLOOKUP(B171, Расстояния!B:K, 10, 0)</f>
        <v>осн.</v>
      </c>
      <c r="E171" s="242" t="str">
        <f>VLOOKUP(B171, Расстояния!B:F, 5, 0)</f>
        <v>нет</v>
      </c>
      <c r="F171" s="290"/>
      <c r="G171" s="305"/>
      <c r="H171" s="305">
        <v>46106.433333333334</v>
      </c>
      <c r="I171" s="305">
        <v>46106.643750000003</v>
      </c>
      <c r="J171" s="303" t="s">
        <v>4043</v>
      </c>
      <c r="K171" s="332"/>
      <c r="L171" s="250" t="s">
        <v>296</v>
      </c>
      <c r="M171" s="241" t="str">
        <f>VLOOKUP(L171, Работы!A:B, 2, 0)</f>
        <v>Техническое обслуживание БС</v>
      </c>
      <c r="N171" s="1285" t="s">
        <v>298</v>
      </c>
      <c r="O171" s="298">
        <v>1</v>
      </c>
      <c r="P171" s="248">
        <f>IF(OR(L171="3.3.1.", L171="3.3.2.", L171="3.3.3.", L171="3.1.1.", L171="3.1.2.", L171="3.4.1.", L171="3.4.2."), 0, VLOOKUP(L171, Работы!$A$3:$D$184, 4, 0))</f>
        <v>4143</v>
      </c>
      <c r="Q171" s="243"/>
      <c r="R171" s="293"/>
      <c r="S171" s="293"/>
      <c r="T171" s="244">
        <f>IF(OR(L171="3.3.1.", L171="3.3.2.", L171="3.3.3."), VLOOKUP(L171, Работы!$A$3:$D$184, 4, 0), 0)</f>
        <v>0</v>
      </c>
      <c r="U171" s="246">
        <f>IF(OR(L171="3.1.1."), VLOOKUP(L171, Работы!$A$3:$D$184, 4, 0), 0)</f>
        <v>0</v>
      </c>
      <c r="V171" s="246">
        <f>IF(OR(L171="3.1.2."), VLOOKUP(L171, Работы!$A$3:$D$184, 4, 0), 0)</f>
        <v>0</v>
      </c>
      <c r="W171" s="294"/>
      <c r="X171" s="294"/>
      <c r="Y171" s="247">
        <f>IF(OR(L171="3.2.1.", L171="3.2.2."), VLOOKUP(L171, Работы!$A$3:$D$184, 4, 0), 0)</f>
        <v>0</v>
      </c>
      <c r="Z171" s="247">
        <f>IF(OR(L171="3.4.1.", L171="3.4.2."), VLOOKUP(L171, Работы!$A$3:$D$184, 4, 0), 0)</f>
        <v>0</v>
      </c>
      <c r="AA171" s="68">
        <f>P171*O171+Q171*T171+R171*T171+S171*T171+U171+V171+W171*Y171+X171*Y171+Z171</f>
        <v>4143</v>
      </c>
      <c r="AB171" s="295"/>
      <c r="AC171" s="296"/>
      <c r="AD171" s="296"/>
      <c r="AE171" s="69">
        <f>AC171*AD171</f>
        <v>0</v>
      </c>
      <c r="AF171" s="71">
        <f>C171*Работы!$D$180</f>
        <v>0</v>
      </c>
      <c r="AG171" s="68">
        <f>AA171+AE171+AF171+AL171+AM171</f>
        <v>4143</v>
      </c>
      <c r="AH171" s="72"/>
      <c r="AI171" s="73"/>
      <c r="AJ171" s="245">
        <f>AG171-AA171*AI171</f>
        <v>4143</v>
      </c>
      <c r="AK171" s="302"/>
      <c r="AL171" s="302">
        <f>IF(OR(E171="да"), 4040, 0)</f>
        <v>0</v>
      </c>
      <c r="AM171" s="365">
        <f>IF(OR(D171="доп."), AA171*0.1, 0)</f>
        <v>0</v>
      </c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43"/>
      <c r="BW171" s="43"/>
      <c r="BX171" s="43"/>
      <c r="BY171" s="43"/>
      <c r="BZ171" s="43"/>
      <c r="CA171" s="43"/>
      <c r="CB171" s="43"/>
      <c r="CC171" s="43"/>
      <c r="CD171" s="43"/>
      <c r="CE171" s="43"/>
      <c r="CF171" s="43"/>
      <c r="CG171" s="43"/>
      <c r="CH171" s="43"/>
      <c r="CI171" s="43"/>
      <c r="CJ171" s="43"/>
      <c r="CK171" s="43"/>
      <c r="CL171" s="43"/>
      <c r="CM171" s="43"/>
      <c r="CN171" s="43"/>
      <c r="CO171" s="43"/>
      <c r="CP171" s="43"/>
      <c r="CQ171" s="43"/>
    </row>
    <row r="172" spans="1:95" s="46" customFormat="1" ht="63.75" x14ac:dyDescent="0.25">
      <c r="A172" s="241">
        <f>ROW(A172)-10</f>
        <v>162</v>
      </c>
      <c r="B172" s="361" t="s">
        <v>1537</v>
      </c>
      <c r="C172" s="241">
        <v>3</v>
      </c>
      <c r="D172" s="242" t="str">
        <f>VLOOKUP(B172, Расстояния!B:K, 10, 0)</f>
        <v>осн.</v>
      </c>
      <c r="E172" s="242" t="str">
        <f>VLOOKUP(B172, Расстояния!B:F, 5, 0)</f>
        <v>нет</v>
      </c>
      <c r="F172" s="290" t="s">
        <v>4099</v>
      </c>
      <c r="G172" s="305">
        <v>46107.663888888892</v>
      </c>
      <c r="H172" s="345">
        <v>46107.675000000003</v>
      </c>
      <c r="I172" s="345">
        <v>46107.675000000003</v>
      </c>
      <c r="J172" s="303" t="s">
        <v>4046</v>
      </c>
      <c r="K172" s="332"/>
      <c r="L172" s="250" t="s">
        <v>368</v>
      </c>
      <c r="M172" s="241" t="str">
        <f>VLOOKUP(L172, Работы!A:B, 2, 0)</f>
        <v>Стоимость отменённого вызова на Аварийно-восстановительные работы, заявка по которым получена в рабочее время</v>
      </c>
      <c r="N172" s="346" t="s">
        <v>3882</v>
      </c>
      <c r="O172" s="298"/>
      <c r="P172" s="248">
        <f>IF(OR(L172="3.3.1.", L172="3.3.2.", L172="3.3.3.", L172="3.1.1.", L172="3.1.2.", L172="3.4.1.", L172="3.4.2."), 0, VLOOKUP(L172, Работы!$A$3:$D$184, 4, 0))</f>
        <v>0</v>
      </c>
      <c r="Q172" s="243"/>
      <c r="R172" s="293"/>
      <c r="S172" s="293"/>
      <c r="T172" s="244">
        <f>IF(OR(L172="3.3.1.", L172="3.3.2.", L172="3.3.3."), VLOOKUP(L172, Работы!$A$3:$D$184, 4, 0), 0)</f>
        <v>0</v>
      </c>
      <c r="U172" s="246">
        <f>IF(OR(L172="3.1.1."), VLOOKUP(L172, Работы!$A$3:$D$184, 4, 0), 0)</f>
        <v>0</v>
      </c>
      <c r="V172" s="246">
        <f>IF(OR(L172="3.1.2."), VLOOKUP(L172, Работы!$A$3:$D$184, 4, 0), 0)</f>
        <v>0</v>
      </c>
      <c r="W172" s="294"/>
      <c r="X172" s="294"/>
      <c r="Y172" s="247">
        <f>IF(OR(L172="3.2.1.", L172="3.2.2."), VLOOKUP(L172, Работы!$A$3:$D$184, 4, 0), 0)</f>
        <v>0</v>
      </c>
      <c r="Z172" s="247">
        <f>IF(OR(L172="3.4.1.", L172="3.4.2."), VLOOKUP(L172, Работы!$A$3:$D$184, 4, 0), 0)</f>
        <v>922</v>
      </c>
      <c r="AA172" s="68">
        <f>P172*O172+Q172*T172+R172*T172+S172*T172+U172+V172+W172*Y172+X172*Y172+Z172</f>
        <v>922</v>
      </c>
      <c r="AB172" s="295"/>
      <c r="AC172" s="296"/>
      <c r="AD172" s="296"/>
      <c r="AE172" s="69">
        <f>AC172*AD172</f>
        <v>0</v>
      </c>
      <c r="AF172" s="71">
        <f>C172*Работы!$D$180</f>
        <v>161.43</v>
      </c>
      <c r="AG172" s="68">
        <f>AA172+AE172+AF172+AL172+AM172</f>
        <v>1083.43</v>
      </c>
      <c r="AH172" s="72"/>
      <c r="AI172" s="73"/>
      <c r="AJ172" s="245">
        <f>AG172-AA172*AI172</f>
        <v>1083.43</v>
      </c>
      <c r="AK172" s="297"/>
      <c r="AL172" s="302">
        <f>IF(OR(E172="да"), 4040, 0)</f>
        <v>0</v>
      </c>
      <c r="AM172" s="365">
        <f>IF(OR(D172="доп."), AA172*0.1, 0)</f>
        <v>0</v>
      </c>
      <c r="AN172" s="1287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</row>
    <row r="173" spans="1:95" s="46" customFormat="1" ht="38.25" x14ac:dyDescent="0.25">
      <c r="A173" s="241">
        <f>ROW(A173)-10</f>
        <v>163</v>
      </c>
      <c r="B173" s="361" t="s">
        <v>1553</v>
      </c>
      <c r="C173" s="241">
        <f>VLOOKUP(B173, Расстояния!B:J, 9, 0)</f>
        <v>36</v>
      </c>
      <c r="D173" s="242" t="str">
        <f>VLOOKUP(B173, Расстояния!B:K, 10, 0)</f>
        <v>осн.</v>
      </c>
      <c r="E173" s="242" t="str">
        <f>VLOOKUP(B173, Расстояния!B:F, 5, 0)</f>
        <v>нет</v>
      </c>
      <c r="F173" s="290" t="s">
        <v>4075</v>
      </c>
      <c r="G173" s="305">
        <v>46094.593055555553</v>
      </c>
      <c r="H173" s="345">
        <v>46098.622916666667</v>
      </c>
      <c r="I173" s="345">
        <v>46098.638888888891</v>
      </c>
      <c r="J173" s="304" t="s">
        <v>4046</v>
      </c>
      <c r="K173" s="332"/>
      <c r="L173" s="292" t="s">
        <v>280</v>
      </c>
      <c r="M173" s="241" t="str">
        <f>VLOOKUP(L173, Работы!A:B, 2, 0)</f>
        <v>Настройка, прописка ИБП, включая подключение и тестирование внешних аварий</v>
      </c>
      <c r="N173" s="346" t="s">
        <v>4238</v>
      </c>
      <c r="O173" s="298">
        <v>1</v>
      </c>
      <c r="P173" s="248">
        <f>IF(OR(L173="3.3.1.", L173="3.3.2.", L173="3.3.3.", L173="3.1.1.", L173="3.1.2.", L173="3.4.1.", L173="3.4.2."), 0, VLOOKUP(L173, Работы!$A$3:$D$184, 4, 0))</f>
        <v>735</v>
      </c>
      <c r="Q173" s="243"/>
      <c r="R173" s="293"/>
      <c r="S173" s="293"/>
      <c r="T173" s="244">
        <f>IF(OR(L173="3.3.1.", L173="3.3.2.", L173="3.3.3."), VLOOKUP(L173, Работы!$A$3:$D$184, 4, 0), 0)</f>
        <v>0</v>
      </c>
      <c r="U173" s="246">
        <f>IF(OR(L173="3.1.1."), VLOOKUP(L173, Работы!$A$3:$D$184, 4, 0), 0)</f>
        <v>0</v>
      </c>
      <c r="V173" s="246">
        <f>IF(OR(L173="3.1.2."), VLOOKUP(L173, Работы!$A$3:$D$184, 4, 0), 0)</f>
        <v>0</v>
      </c>
      <c r="W173" s="294"/>
      <c r="X173" s="294"/>
      <c r="Y173" s="247">
        <f>IF(OR(L173="3.2.1.", L173="3.2.2."), VLOOKUP(L173, Работы!$A$3:$D$184, 4, 0), 0)</f>
        <v>0</v>
      </c>
      <c r="Z173" s="247">
        <f>IF(OR(L173="3.4.1.", L173="3.4.2."), VLOOKUP(L173, Работы!$A$3:$D$184, 4, 0), 0)</f>
        <v>0</v>
      </c>
      <c r="AA173" s="68">
        <f>P173*O173+Q173*T173+R173*T173+S173*T173+U173+V173+W173*Y173+X173*Y173+Z173</f>
        <v>735</v>
      </c>
      <c r="AB173" s="295"/>
      <c r="AC173" s="296"/>
      <c r="AD173" s="296"/>
      <c r="AE173" s="69">
        <f>AC173*AD173</f>
        <v>0</v>
      </c>
      <c r="AF173" s="71">
        <f>C173*Работы!$D$180</f>
        <v>1937.16</v>
      </c>
      <c r="AG173" s="68">
        <f>AA173+AE173+AF173+AL173+AM173</f>
        <v>2672.16</v>
      </c>
      <c r="AH173" s="72"/>
      <c r="AI173" s="73"/>
      <c r="AJ173" s="245">
        <f>AG173-AA173*AI173</f>
        <v>2672.16</v>
      </c>
      <c r="AK173" s="302"/>
      <c r="AL173" s="302">
        <f>IF(OR(E173="да"), 4040, 0)</f>
        <v>0</v>
      </c>
      <c r="AM173" s="365">
        <f>IF(OR(D173="доп."), AA173*0.1, 0)</f>
        <v>0</v>
      </c>
      <c r="AN173" s="370"/>
      <c r="AO173" s="34"/>
      <c r="AP173" s="34"/>
      <c r="AQ173" s="34"/>
      <c r="AR173" s="34"/>
      <c r="AS173" s="34"/>
      <c r="AT173" s="370"/>
      <c r="AU173" s="370"/>
      <c r="AV173" s="370"/>
      <c r="AW173" s="370"/>
      <c r="AX173" s="370"/>
      <c r="AY173" s="370"/>
      <c r="AZ173" s="370"/>
      <c r="BA173" s="370"/>
      <c r="BB173" s="370"/>
      <c r="BC173" s="370"/>
      <c r="BD173" s="370"/>
      <c r="BE173" s="370"/>
      <c r="BF173" s="370"/>
      <c r="BG173" s="370"/>
      <c r="BH173" s="370"/>
      <c r="BI173" s="370"/>
      <c r="BJ173" s="370"/>
      <c r="BK173" s="370"/>
      <c r="BL173" s="370"/>
      <c r="BM173" s="370"/>
      <c r="BN173" s="370"/>
      <c r="BO173" s="370"/>
      <c r="BP173" s="370"/>
      <c r="BQ173" s="370"/>
      <c r="BR173" s="370"/>
      <c r="BS173" s="370"/>
      <c r="BT173" s="370"/>
      <c r="BU173" s="370"/>
      <c r="BV173" s="370"/>
      <c r="BW173" s="370"/>
      <c r="BX173" s="370"/>
      <c r="BY173" s="370"/>
      <c r="BZ173" s="370"/>
      <c r="CA173" s="370"/>
      <c r="CB173" s="370"/>
      <c r="CC173" s="370"/>
      <c r="CD173" s="370"/>
      <c r="CE173" s="370"/>
      <c r="CF173" s="370"/>
      <c r="CG173" s="370"/>
      <c r="CH173" s="370"/>
      <c r="CI173" s="370"/>
      <c r="CJ173" s="370"/>
      <c r="CK173" s="370"/>
      <c r="CL173" s="370"/>
      <c r="CM173" s="370"/>
      <c r="CN173" s="370"/>
      <c r="CO173" s="370"/>
      <c r="CP173" s="370"/>
      <c r="CQ173" s="370"/>
    </row>
    <row r="174" spans="1:95" s="46" customFormat="1" ht="38.25" x14ac:dyDescent="0.25">
      <c r="A174" s="241">
        <f>ROW(A174)-10</f>
        <v>164</v>
      </c>
      <c r="B174" s="361" t="s">
        <v>1561</v>
      </c>
      <c r="C174" s="241">
        <f>VLOOKUP(B174, Расстояния!B:J, 9, 0)</f>
        <v>6</v>
      </c>
      <c r="D174" s="242" t="str">
        <f>VLOOKUP(B174, Расстояния!B:K, 10, 0)</f>
        <v>осн.</v>
      </c>
      <c r="E174" s="242" t="str">
        <f>VLOOKUP(B174, Расстояния!B:F, 5, 0)</f>
        <v>нет</v>
      </c>
      <c r="F174" s="290"/>
      <c r="G174" s="305"/>
      <c r="H174" s="345">
        <v>46097.654861111114</v>
      </c>
      <c r="I174" s="345">
        <v>46097.706944444442</v>
      </c>
      <c r="J174" s="304" t="s">
        <v>4046</v>
      </c>
      <c r="K174" s="332"/>
      <c r="L174" s="250" t="s">
        <v>296</v>
      </c>
      <c r="M174" s="241" t="str">
        <f>VLOOKUP(L174, Работы!A:B, 2, 0)</f>
        <v>Техническое обслуживание БС</v>
      </c>
      <c r="N174" s="348" t="s">
        <v>298</v>
      </c>
      <c r="O174" s="298">
        <v>1</v>
      </c>
      <c r="P174" s="248">
        <f>IF(OR(L174="3.3.1.", L174="3.3.2.", L174="3.3.3.", L174="3.1.1.", L174="3.1.2.", L174="3.4.1.", L174="3.4.2."), 0, VLOOKUP(L174, Работы!$A$3:$D$184, 4, 0))</f>
        <v>4143</v>
      </c>
      <c r="Q174" s="243"/>
      <c r="R174" s="293"/>
      <c r="S174" s="293"/>
      <c r="T174" s="244">
        <f>IF(OR(L174="3.3.1.", L174="3.3.2.", L174="3.3.3."), VLOOKUP(L174, Работы!$A$3:$D$184, 4, 0), 0)</f>
        <v>0</v>
      </c>
      <c r="U174" s="246">
        <f>IF(OR(L174="3.1.1."), VLOOKUP(L174, Работы!$A$3:$D$184, 4, 0), 0)</f>
        <v>0</v>
      </c>
      <c r="V174" s="246">
        <f>IF(OR(L174="3.1.2."), VLOOKUP(L174, Работы!$A$3:$D$184, 4, 0), 0)</f>
        <v>0</v>
      </c>
      <c r="W174" s="294"/>
      <c r="X174" s="294"/>
      <c r="Y174" s="247">
        <f>IF(OR(L174="3.2.1.", L174="3.2.2."), VLOOKUP(L174, Работы!$A$3:$D$184, 4, 0), 0)</f>
        <v>0</v>
      </c>
      <c r="Z174" s="247">
        <f>IF(OR(L174="3.4.1.", L174="3.4.2."), VLOOKUP(L174, Работы!$A$3:$D$184, 4, 0), 0)</f>
        <v>0</v>
      </c>
      <c r="AA174" s="68">
        <f>P174*O174+Q174*T174+R174*T174+S174*T174+U174+V174+W174*Y174+X174*Y174+Z174</f>
        <v>4143</v>
      </c>
      <c r="AB174" s="295"/>
      <c r="AC174" s="296"/>
      <c r="AD174" s="296"/>
      <c r="AE174" s="69">
        <f>AC174*AD174</f>
        <v>0</v>
      </c>
      <c r="AF174" s="71">
        <f>C174*Работы!$D$180</f>
        <v>322.86</v>
      </c>
      <c r="AG174" s="68">
        <f>AA174+AE174+AF174+AL174+AM174</f>
        <v>4465.8599999999997</v>
      </c>
      <c r="AH174" s="72"/>
      <c r="AI174" s="73"/>
      <c r="AJ174" s="245">
        <f>AG174-AA174*AI174</f>
        <v>4465.8599999999997</v>
      </c>
      <c r="AK174" s="297"/>
      <c r="AL174" s="302">
        <f>IF(OR(E174="да"), 4040, 0)</f>
        <v>0</v>
      </c>
      <c r="AM174" s="365">
        <f>IF(OR(D174="доп."), AA174*0.1, 0)</f>
        <v>0</v>
      </c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43"/>
      <c r="BW174" s="43"/>
      <c r="BX174" s="43"/>
      <c r="BY174" s="43"/>
      <c r="BZ174" s="43"/>
      <c r="CA174" s="43"/>
      <c r="CB174" s="43"/>
      <c r="CC174" s="43"/>
      <c r="CD174" s="43"/>
      <c r="CE174" s="43"/>
      <c r="CF174" s="43"/>
      <c r="CG174" s="43"/>
      <c r="CH174" s="43"/>
      <c r="CI174" s="43"/>
      <c r="CJ174" s="43"/>
      <c r="CK174" s="43"/>
      <c r="CL174" s="43"/>
      <c r="CM174" s="43"/>
      <c r="CN174" s="43"/>
      <c r="CO174" s="43"/>
      <c r="CP174" s="43"/>
      <c r="CQ174" s="43"/>
    </row>
    <row r="175" spans="1:95" s="46" customFormat="1" ht="25.5" x14ac:dyDescent="0.25">
      <c r="A175" s="241">
        <f>ROW(A175)-10</f>
        <v>165</v>
      </c>
      <c r="B175" s="335" t="s">
        <v>1561</v>
      </c>
      <c r="C175" s="241">
        <v>0</v>
      </c>
      <c r="D175" s="242" t="str">
        <f>VLOOKUP(B175, Расстояния!B:K, 10, 0)</f>
        <v>осн.</v>
      </c>
      <c r="E175" s="242" t="str">
        <f>VLOOKUP(B175, Расстояния!B:F, 5, 0)</f>
        <v>нет</v>
      </c>
      <c r="F175" s="290"/>
      <c r="G175" s="305"/>
      <c r="H175" s="345">
        <v>46097.654861111114</v>
      </c>
      <c r="I175" s="345">
        <v>46097.706944444442</v>
      </c>
      <c r="J175" s="350" t="s">
        <v>4046</v>
      </c>
      <c r="K175" s="332"/>
      <c r="L175" s="250" t="s">
        <v>4013</v>
      </c>
      <c r="M175" s="241" t="str">
        <f>VLOOKUP(L175, Работы!A:B, 2, 0)</f>
        <v>Стоимость проведения инвентаризации Объекта.</v>
      </c>
      <c r="N175" s="348" t="s">
        <v>4304</v>
      </c>
      <c r="O175" s="298">
        <v>1</v>
      </c>
      <c r="P175" s="248">
        <f>IF(OR(L175="3.3.1.", L175="3.3.2.", L175="3.3.3.", L175="3.1.1.", L175="3.1.2.", L175="3.4.1.", L175="3.4.2."), 0, VLOOKUP(L175, Работы!$A$3:$D$184, 4, 0))</f>
        <v>735</v>
      </c>
      <c r="Q175" s="243"/>
      <c r="R175" s="293"/>
      <c r="S175" s="293"/>
      <c r="T175" s="244">
        <f>IF(OR(L175="3.3.1.", L175="3.3.2.", L175="3.3.3."), VLOOKUP(L175, Работы!$A$3:$D$184, 4, 0), 0)</f>
        <v>0</v>
      </c>
      <c r="U175" s="246">
        <f>IF(OR(L175="3.1.1."), VLOOKUP(L175, Работы!$A$3:$D$184, 4, 0), 0)</f>
        <v>0</v>
      </c>
      <c r="V175" s="246">
        <f>IF(OR(L175="3.1.2."), VLOOKUP(L175, Работы!$A$3:$D$184, 4, 0), 0)</f>
        <v>0</v>
      </c>
      <c r="W175" s="294"/>
      <c r="X175" s="294"/>
      <c r="Y175" s="247">
        <f>IF(OR(L175="3.2.1.", L175="3.2.2."), VLOOKUP(L175, Работы!$A$3:$D$184, 4, 0), 0)</f>
        <v>0</v>
      </c>
      <c r="Z175" s="247">
        <f>IF(OR(L175="3.4.1.", L175="3.4.2."), VLOOKUP(L175, Работы!$A$3:$D$184, 4, 0), 0)</f>
        <v>0</v>
      </c>
      <c r="AA175" s="68">
        <f>P175*O175+Q175*T175+R175*T175+S175*T175+U175+V175+W175*Y175+X175*Y175+Z175</f>
        <v>735</v>
      </c>
      <c r="AB175" s="295"/>
      <c r="AC175" s="296"/>
      <c r="AD175" s="296"/>
      <c r="AE175" s="69">
        <f>AC175*AD175</f>
        <v>0</v>
      </c>
      <c r="AF175" s="71">
        <f>C175*Работы!$D$180</f>
        <v>0</v>
      </c>
      <c r="AG175" s="68">
        <f>AA175+AE175+AF175+AL175+AM175</f>
        <v>735</v>
      </c>
      <c r="AH175" s="72"/>
      <c r="AI175" s="73"/>
      <c r="AJ175" s="245">
        <f>AG175-AA175*AI175</f>
        <v>735</v>
      </c>
      <c r="AK175" s="297"/>
      <c r="AL175" s="302">
        <f>IF(OR(E175="да"), 4040, 0)</f>
        <v>0</v>
      </c>
      <c r="AM175" s="365">
        <f>IF(OR(D175="доп."), AA175*0.1, 0)</f>
        <v>0</v>
      </c>
      <c r="AN175" s="251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43"/>
      <c r="BW175" s="43"/>
      <c r="BX175" s="43"/>
      <c r="BY175" s="43"/>
      <c r="BZ175" s="43"/>
      <c r="CA175" s="43"/>
      <c r="CB175" s="43"/>
      <c r="CC175" s="43"/>
      <c r="CD175" s="43"/>
      <c r="CE175" s="43"/>
      <c r="CF175" s="43"/>
      <c r="CG175" s="43"/>
      <c r="CH175" s="43"/>
      <c r="CI175" s="43"/>
      <c r="CJ175" s="43"/>
      <c r="CK175" s="43"/>
      <c r="CL175" s="43"/>
      <c r="CM175" s="43"/>
      <c r="CN175" s="43"/>
      <c r="CO175" s="43"/>
      <c r="CP175" s="43"/>
      <c r="CQ175" s="43"/>
    </row>
    <row r="176" spans="1:95" s="46" customFormat="1" ht="76.5" x14ac:dyDescent="0.25">
      <c r="A176" s="241">
        <f>ROW(A176)-10</f>
        <v>166</v>
      </c>
      <c r="B176" s="335" t="s">
        <v>1584</v>
      </c>
      <c r="C176" s="241">
        <v>0</v>
      </c>
      <c r="D176" s="242" t="str">
        <f>VLOOKUP(B176, Расстояния!B:K, 10, 0)</f>
        <v>осн.</v>
      </c>
      <c r="E176" s="242" t="str">
        <f>VLOOKUP(B176, Расстояния!B:F, 5, 0)</f>
        <v>нет</v>
      </c>
      <c r="F176" s="290" t="s">
        <v>4078</v>
      </c>
      <c r="G176" s="305">
        <v>46100.387499999997</v>
      </c>
      <c r="H176" s="345">
        <v>46099.438888888886</v>
      </c>
      <c r="I176" s="345">
        <v>46099.526388888888</v>
      </c>
      <c r="J176" s="351" t="s">
        <v>4046</v>
      </c>
      <c r="K176" s="306"/>
      <c r="L176" s="292" t="s">
        <v>303</v>
      </c>
      <c r="M176" s="241" t="str">
        <f>VLOOKUP(L176, Работы!A:B, 2, 0)</f>
        <v>Устранение нарушений конструкций обеспечивающих безопасность объектов (антивандальные ограждение и т.п., без учета стоимости материалов)</v>
      </c>
      <c r="N176" s="348" t="s">
        <v>4242</v>
      </c>
      <c r="O176" s="298">
        <v>1</v>
      </c>
      <c r="P176" s="248">
        <f>IF(OR(L176="3.3.1.", L176="3.3.2.", L176="3.3.3.", L176="3.1.1.", L176="3.1.2.", L176="3.4.1.", L176="3.4.2."), 0, VLOOKUP(L176, Работы!$A$3:$D$184, 4, 0))</f>
        <v>2122</v>
      </c>
      <c r="Q176" s="243"/>
      <c r="R176" s="293"/>
      <c r="S176" s="293"/>
      <c r="T176" s="244">
        <f>IF(OR(L176="3.3.1.", L176="3.3.2.", L176="3.3.3."), VLOOKUP(L176, Работы!$A$3:$D$184, 4, 0), 0)</f>
        <v>0</v>
      </c>
      <c r="U176" s="246">
        <f>IF(OR(L176="3.1.1."), VLOOKUP(L176, Работы!$A$3:$D$184, 4, 0), 0)</f>
        <v>0</v>
      </c>
      <c r="V176" s="246">
        <f>IF(OR(L176="3.1.2."), VLOOKUP(L176, Работы!$A$3:$D$184, 4, 0), 0)</f>
        <v>0</v>
      </c>
      <c r="W176" s="294"/>
      <c r="X176" s="294"/>
      <c r="Y176" s="247">
        <f>IF(OR(L176="3.2.1.", L176="3.2.2."), VLOOKUP(L176, Работы!$A$3:$D$184, 4, 0), 0)</f>
        <v>0</v>
      </c>
      <c r="Z176" s="247">
        <f>IF(OR(L176="3.4.1.", L176="3.4.2."), VLOOKUP(L176, Работы!$A$3:$D$184, 4, 0), 0)</f>
        <v>0</v>
      </c>
      <c r="AA176" s="68">
        <f>P176*O176+Q176*T176+R176*T176+S176*T176+U176+V176+W176*Y176+X176*Y176+Z176</f>
        <v>2122</v>
      </c>
      <c r="AB176" s="295"/>
      <c r="AC176" s="296"/>
      <c r="AD176" s="296"/>
      <c r="AE176" s="69">
        <f>AC176*AD176</f>
        <v>0</v>
      </c>
      <c r="AF176" s="71">
        <f>C176*Работы!$D$180</f>
        <v>0</v>
      </c>
      <c r="AG176" s="68">
        <f>AA176+AE176+AF176+AL176+AM176</f>
        <v>2122</v>
      </c>
      <c r="AH176" s="72"/>
      <c r="AI176" s="73"/>
      <c r="AJ176" s="245">
        <f>AG176-AA176*AI176</f>
        <v>2122</v>
      </c>
      <c r="AK176" s="302"/>
      <c r="AL176" s="302">
        <f>IF(OR(E176="да"), 4040, 0)</f>
        <v>0</v>
      </c>
      <c r="AM176" s="365">
        <f>IF(OR(D176="доп."), AA176*0.1, 0)</f>
        <v>0</v>
      </c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O176" s="34"/>
      <c r="CP176" s="34"/>
      <c r="CQ176" s="34"/>
    </row>
    <row r="177" spans="1:95" s="46" customFormat="1" ht="89.25" x14ac:dyDescent="0.25">
      <c r="A177" s="241">
        <f>ROW(A177)-10</f>
        <v>167</v>
      </c>
      <c r="B177" s="335" t="s">
        <v>2319</v>
      </c>
      <c r="C177" s="241">
        <f>VLOOKUP(B177, Расстояния!B:J, 9, 0)</f>
        <v>96</v>
      </c>
      <c r="D177" s="242" t="str">
        <f>VLOOKUP(B177, Расстояния!B:K, 10, 0)</f>
        <v>осн.</v>
      </c>
      <c r="E177" s="242" t="str">
        <f>VLOOKUP(B177, Расстояния!B:F, 5, 0)</f>
        <v>нет</v>
      </c>
      <c r="F177" s="290" t="s">
        <v>4185</v>
      </c>
      <c r="G177" s="305">
        <v>46069.543055555558</v>
      </c>
      <c r="H177" s="345">
        <v>46111.556944444441</v>
      </c>
      <c r="I177" s="345">
        <v>46111.590277777781</v>
      </c>
      <c r="J177" s="349" t="s">
        <v>4164</v>
      </c>
      <c r="K177" s="306"/>
      <c r="L177" s="250" t="s">
        <v>239</v>
      </c>
      <c r="M177" s="241" t="str">
        <f>VLOOKUP(L177, Работы!A:B, 2, 0)</f>
        <v>Осмотр и тестирование аккумуляторов источников бесперебойного питания (ИБП) по упрощенной методике (разряд на штатную нагрузку ИБП до 2 (двух) часов с измерением их параметров)</v>
      </c>
      <c r="N177" s="364" t="s">
        <v>4305</v>
      </c>
      <c r="O177" s="298">
        <v>1</v>
      </c>
      <c r="P177" s="248">
        <f>IF(OR(L177="3.3.1.", L177="3.3.2.", L177="3.3.3.", L177="3.1.1.", L177="3.1.2.", L177="3.4.1.", L177="3.4.2."), 0, VLOOKUP(L177, Работы!$A$3:$D$184, 4, 0))</f>
        <v>1778</v>
      </c>
      <c r="Q177" s="243"/>
      <c r="R177" s="293"/>
      <c r="S177" s="293"/>
      <c r="T177" s="244">
        <f>IF(OR(L177="3.3.1.", L177="3.3.2.", L177="3.3.3."), VLOOKUP(L177, Работы!$A$3:$D$184, 4, 0), 0)</f>
        <v>0</v>
      </c>
      <c r="U177" s="246">
        <f>IF(OR(L177="3.1.1."), VLOOKUP(L177, Работы!$A$3:$D$184, 4, 0), 0)</f>
        <v>0</v>
      </c>
      <c r="V177" s="246">
        <f>IF(OR(L177="3.1.2."), VLOOKUP(L177, Работы!$A$3:$D$184, 4, 0), 0)</f>
        <v>0</v>
      </c>
      <c r="W177" s="294"/>
      <c r="X177" s="294"/>
      <c r="Y177" s="247">
        <f>IF(OR(L177="3.2.1.", L177="3.2.2."), VLOOKUP(L177, Работы!$A$3:$D$184, 4, 0), 0)</f>
        <v>0</v>
      </c>
      <c r="Z177" s="247">
        <f>IF(OR(L177="3.4.1.", L177="3.4.2."), VLOOKUP(L177, Работы!$A$3:$D$184, 4, 0), 0)</f>
        <v>0</v>
      </c>
      <c r="AA177" s="68">
        <f>P177*O177+Q177*T177+R177*T177+S177*T177+U177+V177+W177*Y177+X177*Y177+Z177</f>
        <v>1778</v>
      </c>
      <c r="AB177" s="295"/>
      <c r="AC177" s="296"/>
      <c r="AD177" s="296"/>
      <c r="AE177" s="69">
        <f>AC177*AD177</f>
        <v>0</v>
      </c>
      <c r="AF177" s="71">
        <f>C177*Работы!$D$180</f>
        <v>5165.76</v>
      </c>
      <c r="AG177" s="68">
        <f>AA177+AE177+AF177+AL177+AM177</f>
        <v>6943.76</v>
      </c>
      <c r="AH177" s="72"/>
      <c r="AI177" s="73"/>
      <c r="AJ177" s="245">
        <f>AG177-AA177*AI177</f>
        <v>6943.76</v>
      </c>
      <c r="AK177" s="297"/>
      <c r="AL177" s="302">
        <f>IF(OR(E177="да"), 4040, 0)</f>
        <v>0</v>
      </c>
      <c r="AM177" s="365">
        <f>IF(OR(D177="доп."), AA177*0.1, 0)</f>
        <v>0</v>
      </c>
      <c r="AN177" s="1287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  <c r="CO177" s="34"/>
      <c r="CP177" s="34"/>
      <c r="CQ177" s="34"/>
    </row>
    <row r="178" spans="1:95" s="46" customFormat="1" ht="38.25" x14ac:dyDescent="0.25">
      <c r="A178" s="241">
        <f>ROW(A178)-10</f>
        <v>168</v>
      </c>
      <c r="B178" s="335" t="s">
        <v>2327</v>
      </c>
      <c r="C178" s="241">
        <f>VLOOKUP(B178, Расстояния!B:J, 9, 0)</f>
        <v>69</v>
      </c>
      <c r="D178" s="242" t="str">
        <f>VLOOKUP(B178, Расстояния!B:K, 10, 0)</f>
        <v>осн.</v>
      </c>
      <c r="E178" s="242" t="str">
        <f>VLOOKUP(B178, Расстояния!B:F, 5, 0)</f>
        <v>нет</v>
      </c>
      <c r="F178" s="290"/>
      <c r="G178" s="305"/>
      <c r="H178" s="345">
        <v>46100.506944444445</v>
      </c>
      <c r="I178" s="345">
        <v>46100.583333333336</v>
      </c>
      <c r="J178" s="349" t="s">
        <v>4045</v>
      </c>
      <c r="K178" s="306"/>
      <c r="L178" s="292" t="s">
        <v>296</v>
      </c>
      <c r="M178" s="241" t="str">
        <f>VLOOKUP(L178, Работы!A:B, 2, 0)</f>
        <v>Техническое обслуживание БС</v>
      </c>
      <c r="N178" s="330" t="s">
        <v>298</v>
      </c>
      <c r="O178" s="298">
        <v>1</v>
      </c>
      <c r="P178" s="248">
        <f>IF(OR(L178="3.3.1.", L178="3.3.2.", L178="3.3.3.", L178="3.1.1.", L178="3.1.2.", L178="3.4.1.", L178="3.4.2."), 0, VLOOKUP(L178, Работы!$A$3:$D$184, 4, 0))</f>
        <v>4143</v>
      </c>
      <c r="Q178" s="243"/>
      <c r="R178" s="293"/>
      <c r="S178" s="293"/>
      <c r="T178" s="244">
        <f>IF(OR(L178="3.3.1.", L178="3.3.2.", L178="3.3.3."), VLOOKUP(L178, Работы!$A$3:$D$184, 4, 0), 0)</f>
        <v>0</v>
      </c>
      <c r="U178" s="246">
        <f>IF(OR(L178="3.1.1."), VLOOKUP(L178, Работы!$A$3:$D$184, 4, 0), 0)</f>
        <v>0</v>
      </c>
      <c r="V178" s="246">
        <f>IF(OR(L178="3.1.2."), VLOOKUP(L178, Работы!$A$3:$D$184, 4, 0), 0)</f>
        <v>0</v>
      </c>
      <c r="W178" s="294"/>
      <c r="X178" s="294"/>
      <c r="Y178" s="247">
        <f>IF(OR(L178="3.2.1.", L178="3.2.2."), VLOOKUP(L178, Работы!$A$3:$D$184, 4, 0), 0)</f>
        <v>0</v>
      </c>
      <c r="Z178" s="247">
        <f>IF(OR(L178="3.4.1.", L178="3.4.2."), VLOOKUP(L178, Работы!$A$3:$D$184, 4, 0), 0)</f>
        <v>0</v>
      </c>
      <c r="AA178" s="68">
        <f>P178*O178+Q178*T178+R178*T178+S178*T178+U178+V178+W178*Y178+X178*Y178+Z178</f>
        <v>4143</v>
      </c>
      <c r="AB178" s="295"/>
      <c r="AC178" s="296"/>
      <c r="AD178" s="296"/>
      <c r="AE178" s="69">
        <f>AC178*AD178</f>
        <v>0</v>
      </c>
      <c r="AF178" s="71">
        <f>C178*Работы!$D$180</f>
        <v>3712.8900000000003</v>
      </c>
      <c r="AG178" s="68">
        <f>AA178+AE178+AF178+AL178+AM178</f>
        <v>7855.89</v>
      </c>
      <c r="AH178" s="72"/>
      <c r="AI178" s="73"/>
      <c r="AJ178" s="245">
        <f>AG178-AA178*AI178</f>
        <v>7855.89</v>
      </c>
      <c r="AK178" s="251"/>
      <c r="AL178" s="302">
        <f>IF(OR(E178="да"), 4040, 0)</f>
        <v>0</v>
      </c>
      <c r="AM178" s="365">
        <f>IF(OR(D178="доп."), AA178*0.1, 0)</f>
        <v>0</v>
      </c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43"/>
      <c r="BW178" s="43"/>
      <c r="BX178" s="43"/>
      <c r="BY178" s="43"/>
      <c r="BZ178" s="43"/>
      <c r="CA178" s="43"/>
      <c r="CB178" s="43"/>
      <c r="CC178" s="43"/>
      <c r="CD178" s="43"/>
      <c r="CE178" s="43"/>
      <c r="CF178" s="43"/>
      <c r="CG178" s="43"/>
      <c r="CH178" s="43"/>
      <c r="CI178" s="43"/>
      <c r="CJ178" s="43"/>
      <c r="CK178" s="43"/>
      <c r="CL178" s="43"/>
      <c r="CM178" s="43"/>
      <c r="CN178" s="43"/>
      <c r="CO178" s="43"/>
      <c r="CP178" s="43"/>
      <c r="CQ178" s="43"/>
    </row>
    <row r="179" spans="1:95" s="46" customFormat="1" ht="102" x14ac:dyDescent="0.25">
      <c r="A179" s="241">
        <f>ROW(A179)-10</f>
        <v>169</v>
      </c>
      <c r="B179" s="335" t="s">
        <v>2190</v>
      </c>
      <c r="C179" s="241">
        <f>VLOOKUP(B179, Расстояния!B:J, 9, 0)</f>
        <v>67</v>
      </c>
      <c r="D179" s="242" t="str">
        <f>VLOOKUP(B179, Расстояния!B:K, 10, 0)</f>
        <v>осн.</v>
      </c>
      <c r="E179" s="242" t="str">
        <f>VLOOKUP(B179, Расстояния!B:F, 5, 0)</f>
        <v>нет</v>
      </c>
      <c r="F179" s="290" t="s">
        <v>4149</v>
      </c>
      <c r="G179" s="305">
        <v>46107.88958333333</v>
      </c>
      <c r="H179" s="345">
        <v>46107.938194444447</v>
      </c>
      <c r="I179" s="345">
        <v>46107.939583333333</v>
      </c>
      <c r="J179" s="350" t="s">
        <v>3883</v>
      </c>
      <c r="K179" s="306"/>
      <c r="L179" s="292" t="s">
        <v>367</v>
      </c>
      <c r="M179" s="241" t="str">
        <f>VLOOKUP(L179,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79" s="330" t="s">
        <v>3843</v>
      </c>
      <c r="O179" s="298"/>
      <c r="P179" s="248">
        <f>IF(OR(L179="3.3.1.", L179="3.3.2.", L179="3.3.3.", L179="3.1.1.", L179="3.1.2.", L179="3.4.1.", L179="3.4.2."), 0, VLOOKUP(L179, Работы!$A$3:$D$184, 4, 0))</f>
        <v>0</v>
      </c>
      <c r="Q179" s="243">
        <f>ROUNDUP((I179-H179)*24, 0)</f>
        <v>1</v>
      </c>
      <c r="R179" s="293"/>
      <c r="S179" s="293"/>
      <c r="T179" s="244">
        <f>IF(OR(L179="3.3.1.", L179="3.3.2.", L179="3.3.3."), VLOOKUP(L179, Работы!$A$3:$D$184, 4, 0), 0)</f>
        <v>903</v>
      </c>
      <c r="U179" s="246">
        <f>IF(OR(L179="3.1.1."), VLOOKUP(L179, Работы!$A$3:$D$184, 4, 0), 0)</f>
        <v>0</v>
      </c>
      <c r="V179" s="246">
        <f>IF(OR(L179="3.1.2."), VLOOKUP(L179, Работы!$A$3:$D$184, 4, 0), 0)</f>
        <v>0</v>
      </c>
      <c r="W179" s="294"/>
      <c r="X179" s="294"/>
      <c r="Y179" s="247">
        <f>IF(OR(L179="3.2.1.", L179="3.2.2."), VLOOKUP(L179, Работы!$A$3:$D$184, 4, 0), 0)</f>
        <v>0</v>
      </c>
      <c r="Z179" s="247">
        <f>IF(OR(L179="3.4.1.", L179="3.4.2."), VLOOKUP(L179, Работы!$A$3:$D$184, 4, 0), 0)</f>
        <v>0</v>
      </c>
      <c r="AA179" s="68">
        <f>P179*O179+Q179*T179+R179*T179+S179*T179+U179+V179+W179*Y179+X179*Y179+Z179</f>
        <v>903</v>
      </c>
      <c r="AB179" s="295"/>
      <c r="AC179" s="296"/>
      <c r="AD179" s="296"/>
      <c r="AE179" s="69">
        <f>AC179*AD179</f>
        <v>0</v>
      </c>
      <c r="AF179" s="71">
        <f>C179*Работы!$D$180</f>
        <v>3605.27</v>
      </c>
      <c r="AG179" s="68">
        <f>AA179+AE179+AF179+AL179+AM179</f>
        <v>4508.2700000000004</v>
      </c>
      <c r="AH179" s="72"/>
      <c r="AI179" s="73"/>
      <c r="AJ179" s="245">
        <f>AG179-AA179*AI179</f>
        <v>4508.2700000000004</v>
      </c>
      <c r="AK179" s="302"/>
      <c r="AL179" s="302">
        <f>IF(OR(E179="да"), 4040, 0)</f>
        <v>0</v>
      </c>
      <c r="AM179" s="365">
        <f>IF(OR(D179="доп."), AA179*0.1, 0)</f>
        <v>0</v>
      </c>
      <c r="AN179" s="251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43"/>
      <c r="BW179" s="43"/>
      <c r="BX179" s="43"/>
      <c r="BY179" s="43"/>
      <c r="BZ179" s="43"/>
      <c r="CA179" s="43"/>
      <c r="CB179" s="43"/>
      <c r="CC179" s="43"/>
      <c r="CD179" s="43"/>
      <c r="CE179" s="43"/>
      <c r="CF179" s="43"/>
      <c r="CG179" s="43"/>
      <c r="CH179" s="43"/>
      <c r="CI179" s="43"/>
      <c r="CJ179" s="43"/>
      <c r="CK179" s="43"/>
      <c r="CL179" s="43"/>
      <c r="CM179" s="43"/>
      <c r="CN179" s="43"/>
      <c r="CO179" s="43"/>
      <c r="CP179" s="43"/>
      <c r="CQ179" s="43"/>
    </row>
    <row r="180" spans="1:95" s="46" customFormat="1" ht="63.75" x14ac:dyDescent="0.25">
      <c r="A180" s="241">
        <f>ROW(A180)-10</f>
        <v>170</v>
      </c>
      <c r="B180" s="335" t="s">
        <v>2347</v>
      </c>
      <c r="C180" s="241">
        <v>20</v>
      </c>
      <c r="D180" s="242" t="str">
        <f>VLOOKUP(B180, Расстояния!B:K, 10, 0)</f>
        <v>осн.</v>
      </c>
      <c r="E180" s="242" t="str">
        <f>VLOOKUP(B180, Расстояния!B:F, 5, 0)</f>
        <v>нет</v>
      </c>
      <c r="F180" s="290" t="s">
        <v>4199</v>
      </c>
      <c r="G180" s="305">
        <v>46101.257638888892</v>
      </c>
      <c r="H180" s="345">
        <v>46101.277777777781</v>
      </c>
      <c r="I180" s="345">
        <v>46101.277777777781</v>
      </c>
      <c r="J180" s="350" t="s">
        <v>4192</v>
      </c>
      <c r="K180" s="306"/>
      <c r="L180" s="341" t="s">
        <v>371</v>
      </c>
      <c r="M180" s="241" t="str">
        <f>VLOOKUP(L180, Работы!A:B, 2, 0)</f>
        <v>Стоимость отменённого вызова на Аварийно-восстановительные работы, заявка по которым получена во внерабочее время</v>
      </c>
      <c r="N180" s="346" t="s">
        <v>3882</v>
      </c>
      <c r="O180" s="298"/>
      <c r="P180" s="248">
        <f>IF(OR(L180="3.3.1.", L180="3.3.2.", L180="3.3.3.", L180="3.1.1.", L180="3.1.2.", L180="3.4.1.", L180="3.4.2."), 0, VLOOKUP(L180, Работы!$A$3:$D$184, 4, 0))</f>
        <v>0</v>
      </c>
      <c r="Q180" s="243"/>
      <c r="R180" s="293"/>
      <c r="S180" s="293"/>
      <c r="T180" s="244">
        <f>IF(OR(L180="3.3.1.", L180="3.3.2.", L180="3.3.3."), VLOOKUP(L180, Работы!$A$3:$D$184, 4, 0), 0)</f>
        <v>0</v>
      </c>
      <c r="U180" s="246">
        <f>IF(OR(L180="3.1.1."), VLOOKUP(L180, Работы!$A$3:$D$184, 4, 0), 0)</f>
        <v>0</v>
      </c>
      <c r="V180" s="246">
        <f>IF(OR(L180="3.1.2."), VLOOKUP(L180, Работы!$A$3:$D$184, 4, 0), 0)</f>
        <v>0</v>
      </c>
      <c r="W180" s="294"/>
      <c r="X180" s="294"/>
      <c r="Y180" s="247">
        <f>IF(OR(L180="3.2.1.", L180="3.2.2."), VLOOKUP(L180, Работы!$A$3:$D$184, 4, 0), 0)</f>
        <v>0</v>
      </c>
      <c r="Z180" s="247">
        <f>IF(OR(L180="3.4.1.", L180="3.4.2."), VLOOKUP(L180, Работы!$A$3:$D$184, 4, 0), 0)</f>
        <v>1731</v>
      </c>
      <c r="AA180" s="68">
        <f>P180*O180+Q180*T180+R180*T180+S180*T180+U180+V180+W180*Y180+X180*Y180+Z180</f>
        <v>1731</v>
      </c>
      <c r="AB180" s="295"/>
      <c r="AC180" s="296"/>
      <c r="AD180" s="296"/>
      <c r="AE180" s="69">
        <f>AC180*AD180</f>
        <v>0</v>
      </c>
      <c r="AF180" s="71">
        <f>C180*Работы!$D$180</f>
        <v>1076.2</v>
      </c>
      <c r="AG180" s="68">
        <f>AA180+AE180+AF180+AL180+AM180</f>
        <v>2807.2</v>
      </c>
      <c r="AH180" s="72"/>
      <c r="AI180" s="73"/>
      <c r="AJ180" s="245">
        <f>AG180-AA180*AI180</f>
        <v>2807.2</v>
      </c>
      <c r="AK180" s="302"/>
      <c r="AL180" s="302">
        <f>IF(OR(E180="да"), 4040, 0)</f>
        <v>0</v>
      </c>
      <c r="AM180" s="365">
        <f>IF(OR(D180="доп."), AA180*0.1, 0)</f>
        <v>0</v>
      </c>
      <c r="AN180" s="1289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</row>
    <row r="181" spans="1:95" s="46" customFormat="1" ht="51" x14ac:dyDescent="0.25">
      <c r="A181" s="241">
        <f>ROW(A181)-10</f>
        <v>171</v>
      </c>
      <c r="B181" s="335" t="s">
        <v>2347</v>
      </c>
      <c r="C181" s="241">
        <f>VLOOKUP(B181, Расстояния!B:J, 9, 0)</f>
        <v>63</v>
      </c>
      <c r="D181" s="242" t="str">
        <f>VLOOKUP(B181, Расстояния!B:K, 10, 0)</f>
        <v>осн.</v>
      </c>
      <c r="E181" s="242" t="str">
        <f>VLOOKUP(B181, Расстояния!B:F, 5, 0)</f>
        <v>нет</v>
      </c>
      <c r="F181" s="290" t="s">
        <v>4222</v>
      </c>
      <c r="G181" s="305">
        <v>46108.042824074073</v>
      </c>
      <c r="H181" s="345">
        <v>46108.068749999999</v>
      </c>
      <c r="I181" s="345">
        <v>46108.088888888888</v>
      </c>
      <c r="J181" s="303" t="s">
        <v>4207</v>
      </c>
      <c r="K181" s="306"/>
      <c r="L181" s="340" t="s">
        <v>332</v>
      </c>
      <c r="M181" s="241" t="str">
        <f>VLOOKUP(L181, Работы!A:B, 2, 0)</f>
        <v>Стоимость аварийно-восстановительных работ, заявка по которым получена во внерабочее время</v>
      </c>
      <c r="N181" s="347" t="s">
        <v>4261</v>
      </c>
      <c r="O181" s="298"/>
      <c r="P181" s="248">
        <f>IF(OR(L181="3.3.1.", L181="3.3.2.", L181="3.3.3.", L181="3.1.1.", L181="3.1.2.", L181="3.4.1.", L181="3.4.2."), 0, VLOOKUP(L181, Работы!$A$3:$D$184, 4, 0))</f>
        <v>0</v>
      </c>
      <c r="Q181" s="243"/>
      <c r="R181" s="293"/>
      <c r="S181" s="293"/>
      <c r="T181" s="244">
        <f>IF(OR(L181="3.3.1.", L181="3.3.2.", L181="3.3.3."), VLOOKUP(L181, Работы!$A$3:$D$184, 4, 0), 0)</f>
        <v>0</v>
      </c>
      <c r="U181" s="246">
        <f>IF(OR(L181="3.1.1."), VLOOKUP(L181, Работы!$A$3:$D$184, 4, 0), 0)</f>
        <v>0</v>
      </c>
      <c r="V181" s="246">
        <f>IF(OR(L181="3.1.2."), VLOOKUP(L181, Работы!$A$3:$D$184, 4, 0), 0)</f>
        <v>7187</v>
      </c>
      <c r="W181" s="294"/>
      <c r="X181" s="294"/>
      <c r="Y181" s="247">
        <f>IF(OR(L181="3.2.1.", L181="3.2.2."), VLOOKUP(L181, Работы!$A$3:$D$184, 4, 0), 0)</f>
        <v>0</v>
      </c>
      <c r="Z181" s="247">
        <f>IF(OR(L181="3.4.1.", L181="3.4.2."), VLOOKUP(L181, Работы!$A$3:$D$184, 4, 0), 0)</f>
        <v>0</v>
      </c>
      <c r="AA181" s="68">
        <f>P181*O181+Q181*T181+R181*T181+S181*T181+U181+V181+W181*Y181+X181*Y181+Z181</f>
        <v>7187</v>
      </c>
      <c r="AB181" s="295"/>
      <c r="AC181" s="296"/>
      <c r="AD181" s="296"/>
      <c r="AE181" s="69">
        <f>AC181*AD181</f>
        <v>0</v>
      </c>
      <c r="AF181" s="71">
        <f>C181*Работы!$D$180</f>
        <v>3390.03</v>
      </c>
      <c r="AG181" s="68">
        <f>AA181+AE181+AF181+AL181+AM181</f>
        <v>10577.03</v>
      </c>
      <c r="AH181" s="72"/>
      <c r="AI181" s="73"/>
      <c r="AJ181" s="245">
        <f>AG181-AA181*AI181</f>
        <v>10577.03</v>
      </c>
      <c r="AK181" s="297"/>
      <c r="AL181" s="302">
        <f>IF(OR(E181="да"), 4040, 0)</f>
        <v>0</v>
      </c>
      <c r="AM181" s="365">
        <f>IF(OR(D181="доп."), AA181*0.1, 0)</f>
        <v>0</v>
      </c>
      <c r="AN181" s="1287"/>
      <c r="AO181" s="34"/>
      <c r="AP181" s="34"/>
      <c r="AQ181" s="34"/>
      <c r="AR181" s="34"/>
      <c r="AS181" s="34"/>
      <c r="AT181" s="370"/>
      <c r="AU181" s="370"/>
      <c r="AV181" s="370"/>
      <c r="AW181" s="370"/>
      <c r="AX181" s="370"/>
      <c r="AY181" s="370"/>
      <c r="AZ181" s="370"/>
      <c r="BA181" s="370"/>
      <c r="BB181" s="370"/>
      <c r="BC181" s="370"/>
      <c r="BD181" s="370"/>
      <c r="BE181" s="370"/>
      <c r="BF181" s="370"/>
      <c r="BG181" s="370"/>
      <c r="BH181" s="370"/>
      <c r="BI181" s="370"/>
      <c r="BJ181" s="370"/>
      <c r="BK181" s="370"/>
      <c r="BL181" s="370"/>
      <c r="BM181" s="370"/>
      <c r="BN181" s="370"/>
      <c r="BO181" s="370"/>
      <c r="BP181" s="370"/>
      <c r="BQ181" s="370"/>
      <c r="BR181" s="370"/>
      <c r="BS181" s="370"/>
      <c r="BT181" s="370"/>
      <c r="BU181" s="370"/>
      <c r="BV181" s="370"/>
      <c r="BW181" s="370"/>
      <c r="BX181" s="370"/>
      <c r="BY181" s="370"/>
      <c r="BZ181" s="370"/>
      <c r="CA181" s="370"/>
      <c r="CB181" s="370"/>
      <c r="CC181" s="370"/>
      <c r="CD181" s="370"/>
      <c r="CE181" s="370"/>
      <c r="CF181" s="370"/>
      <c r="CG181" s="370"/>
      <c r="CH181" s="370"/>
      <c r="CI181" s="370"/>
      <c r="CJ181" s="370"/>
      <c r="CK181" s="370"/>
      <c r="CL181" s="370"/>
      <c r="CM181" s="370"/>
      <c r="CN181" s="370"/>
      <c r="CO181" s="370"/>
      <c r="CP181" s="370"/>
      <c r="CQ181" s="370"/>
    </row>
    <row r="182" spans="1:95" s="46" customFormat="1" ht="51" x14ac:dyDescent="0.25">
      <c r="A182" s="241">
        <f>ROW(A182)-10</f>
        <v>172</v>
      </c>
      <c r="B182" s="335" t="s">
        <v>2355</v>
      </c>
      <c r="C182" s="241">
        <f>VLOOKUP(B182, Расстояния!B:J, 9, 0)</f>
        <v>60</v>
      </c>
      <c r="D182" s="242" t="str">
        <f>VLOOKUP(B182, Расстояния!B:K, 10, 0)</f>
        <v>осн.</v>
      </c>
      <c r="E182" s="242" t="str">
        <f>VLOOKUP(B182, Расстояния!B:F, 5, 0)</f>
        <v>нет</v>
      </c>
      <c r="F182" s="290" t="s">
        <v>4171</v>
      </c>
      <c r="G182" s="305">
        <v>46104.448611111111</v>
      </c>
      <c r="H182" s="345">
        <v>46104.513888888891</v>
      </c>
      <c r="I182" s="345">
        <v>46104.656944444447</v>
      </c>
      <c r="J182" s="304" t="s">
        <v>4164</v>
      </c>
      <c r="K182" s="306"/>
      <c r="L182" s="292" t="s">
        <v>321</v>
      </c>
      <c r="M182" s="241" t="str">
        <f>VLOOKUP(L182, Работы!A:B, 2, 0)</f>
        <v>Стоимость аварийно-восстановительных работ, заявка по которым получена в течение рабочего времени</v>
      </c>
      <c r="N182" s="330" t="s">
        <v>4249</v>
      </c>
      <c r="O182" s="298"/>
      <c r="P182" s="248">
        <f>IF(OR(L182="3.3.1.", L182="3.3.2.", L182="3.3.3.", L182="3.1.1.", L182="3.1.2.", L182="3.4.1.", L182="3.4.2."), 0, VLOOKUP(L182, Работы!$A$3:$D$184, 4, 0))</f>
        <v>0</v>
      </c>
      <c r="Q182" s="243"/>
      <c r="R182" s="293"/>
      <c r="S182" s="293"/>
      <c r="T182" s="244">
        <f>IF(OR(L182="3.3.1.", L182="3.3.2.", L182="3.3.3."), VLOOKUP(L182, Работы!$A$3:$D$184, 4, 0), 0)</f>
        <v>0</v>
      </c>
      <c r="U182" s="246">
        <f>IF(OR(L182="3.1.1."), VLOOKUP(L182, Работы!$A$3:$D$184, 4, 0), 0)</f>
        <v>3956</v>
      </c>
      <c r="V182" s="246">
        <f>IF(OR(L182="3.1.2."), VLOOKUP(L182, Работы!$A$3:$D$184, 4, 0), 0)</f>
        <v>0</v>
      </c>
      <c r="W182" s="294"/>
      <c r="X182" s="294"/>
      <c r="Y182" s="247">
        <f>IF(OR(L182="3.2.1.", L182="3.2.2."), VLOOKUP(L182, Работы!$A$3:$D$184, 4, 0), 0)</f>
        <v>0</v>
      </c>
      <c r="Z182" s="247">
        <f>IF(OR(L182="3.4.1.", L182="3.4.2."), VLOOKUP(L182, Работы!$A$3:$D$184, 4, 0), 0)</f>
        <v>0</v>
      </c>
      <c r="AA182" s="68">
        <f>P182*O182+Q182*T182+R182*T182+S182*T182+U182+V182+W182*Y182+X182*Y182+Z182</f>
        <v>3956</v>
      </c>
      <c r="AB182" s="295"/>
      <c r="AC182" s="296"/>
      <c r="AD182" s="296"/>
      <c r="AE182" s="69">
        <f>AC182*AD182</f>
        <v>0</v>
      </c>
      <c r="AF182" s="71">
        <f>C182*Работы!$D$180</f>
        <v>3228.6000000000004</v>
      </c>
      <c r="AG182" s="68">
        <f>AA182+AE182+AF182+AL182+AM182</f>
        <v>7184.6</v>
      </c>
      <c r="AH182" s="72"/>
      <c r="AI182" s="73"/>
      <c r="AJ182" s="245">
        <f>AG182-AA182*AI182</f>
        <v>7184.6</v>
      </c>
      <c r="AK182" s="297"/>
      <c r="AL182" s="302">
        <f>IF(OR(E182="да"), 4040, 0)</f>
        <v>0</v>
      </c>
      <c r="AM182" s="365">
        <f>IF(OR(D182="доп."), AA182*0.1, 0)</f>
        <v>0</v>
      </c>
      <c r="AN182" s="1287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O182" s="34"/>
      <c r="CP182" s="34"/>
      <c r="CQ182" s="34"/>
    </row>
    <row r="183" spans="1:95" s="46" customFormat="1" ht="51" x14ac:dyDescent="0.25">
      <c r="A183" s="241">
        <f>ROW(A183)-10</f>
        <v>173</v>
      </c>
      <c r="B183" s="335" t="s">
        <v>2355</v>
      </c>
      <c r="C183" s="241">
        <f>VLOOKUP(B183, Расстояния!B:J, 9, 0)</f>
        <v>60</v>
      </c>
      <c r="D183" s="242" t="str">
        <f>VLOOKUP(B183, Расстояния!B:K, 10, 0)</f>
        <v>осн.</v>
      </c>
      <c r="E183" s="242" t="str">
        <f>VLOOKUP(B183, Расстояния!B:F, 5, 0)</f>
        <v>нет</v>
      </c>
      <c r="F183" s="290" t="s">
        <v>4280</v>
      </c>
      <c r="G183" s="305">
        <v>46098.479166666664</v>
      </c>
      <c r="H183" s="345">
        <v>46099.40625</v>
      </c>
      <c r="I183" s="345">
        <v>46099.565972222219</v>
      </c>
      <c r="J183" s="303" t="s">
        <v>4282</v>
      </c>
      <c r="K183" s="306"/>
      <c r="L183" s="292" t="s">
        <v>321</v>
      </c>
      <c r="M183" s="241" t="str">
        <f>VLOOKUP(L183, Работы!A:B, 2, 0)</f>
        <v>Стоимость аварийно-восстановительных работ, заявка по которым получена в течение рабочего времени</v>
      </c>
      <c r="N183" s="330" t="s">
        <v>4284</v>
      </c>
      <c r="O183" s="298"/>
      <c r="P183" s="248">
        <f>IF(OR(L183="3.3.1.", L183="3.3.2.", L183="3.3.3.", L183="3.1.1.", L183="3.1.2.", L183="3.4.1.", L183="3.4.2."), 0, VLOOKUP(L183, Работы!$A$3:$D$184, 4, 0))</f>
        <v>0</v>
      </c>
      <c r="Q183" s="243"/>
      <c r="R183" s="293"/>
      <c r="S183" s="293"/>
      <c r="T183" s="244">
        <f>IF(OR(L183="3.3.1.", L183="3.3.2.", L183="3.3.3."), VLOOKUP(L183, Работы!$A$3:$D$184, 4, 0), 0)</f>
        <v>0</v>
      </c>
      <c r="U183" s="246">
        <f>IF(OR(L183="3.1.1."), VLOOKUP(L183, Работы!$A$3:$D$184, 4, 0), 0)</f>
        <v>3956</v>
      </c>
      <c r="V183" s="246">
        <f>IF(OR(L183="3.1.2."), VLOOKUP(L183, Работы!$A$3:$D$184, 4, 0), 0)</f>
        <v>0</v>
      </c>
      <c r="W183" s="294"/>
      <c r="X183" s="294"/>
      <c r="Y183" s="247">
        <f>IF(OR(L183="3.2.1.", L183="3.2.2."), VLOOKUP(L183, Работы!$A$3:$D$184, 4, 0), 0)</f>
        <v>0</v>
      </c>
      <c r="Z183" s="247">
        <f>IF(OR(L183="3.4.1.", L183="3.4.2."), VLOOKUP(L183, Работы!$A$3:$D$184, 4, 0), 0)</f>
        <v>0</v>
      </c>
      <c r="AA183" s="68">
        <f>P183*O183+Q183*T183+R183*T183+S183*T183+U183+V183+W183*Y183+X183*Y183+Z183</f>
        <v>3956</v>
      </c>
      <c r="AB183" s="295"/>
      <c r="AC183" s="296"/>
      <c r="AD183" s="296"/>
      <c r="AE183" s="69">
        <f>AC183*AD183</f>
        <v>0</v>
      </c>
      <c r="AF183" s="71">
        <f>C183*Работы!$D$180</f>
        <v>3228.6000000000004</v>
      </c>
      <c r="AG183" s="68">
        <f>AA183+AE183+AF183+AL183+AM183</f>
        <v>7184.6</v>
      </c>
      <c r="AH183" s="72"/>
      <c r="AI183" s="73"/>
      <c r="AJ183" s="245">
        <f>AG183-AA183*AI183</f>
        <v>7184.6</v>
      </c>
      <c r="AK183" s="302"/>
      <c r="AL183" s="302">
        <f>IF(OR(E183="да"), 4040, 0)</f>
        <v>0</v>
      </c>
      <c r="AM183" s="365">
        <f>IF(OR(D183="доп."), AA183*0.1, 0)</f>
        <v>0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43"/>
      <c r="BW183" s="43"/>
      <c r="BX183" s="43"/>
      <c r="BY183" s="43"/>
      <c r="BZ183" s="43"/>
      <c r="CA183" s="43"/>
      <c r="CB183" s="43"/>
      <c r="CC183" s="43"/>
      <c r="CD183" s="43"/>
      <c r="CE183" s="43"/>
      <c r="CF183" s="43"/>
      <c r="CG183" s="43"/>
      <c r="CH183" s="43"/>
      <c r="CI183" s="43"/>
      <c r="CJ183" s="43"/>
      <c r="CK183" s="43"/>
      <c r="CL183" s="43"/>
      <c r="CM183" s="43"/>
      <c r="CN183" s="43"/>
      <c r="CO183" s="43"/>
      <c r="CP183" s="43"/>
      <c r="CQ183" s="43"/>
    </row>
    <row r="184" spans="1:95" s="46" customFormat="1" ht="63.75" x14ac:dyDescent="0.25">
      <c r="A184" s="241">
        <f>ROW(A184)-10</f>
        <v>174</v>
      </c>
      <c r="B184" s="335" t="s">
        <v>958</v>
      </c>
      <c r="C184" s="241">
        <v>13</v>
      </c>
      <c r="D184" s="242" t="str">
        <f>VLOOKUP(B184, Расстояния!B:K, 10, 0)</f>
        <v>осн.</v>
      </c>
      <c r="E184" s="242" t="str">
        <f>VLOOKUP(B184, Расстояния!B:F, 5, 0)</f>
        <v>нет</v>
      </c>
      <c r="F184" s="290" t="s">
        <v>4124</v>
      </c>
      <c r="G184" s="305">
        <v>46110.713888888888</v>
      </c>
      <c r="H184" s="305">
        <v>46110.753472222219</v>
      </c>
      <c r="I184" s="305">
        <v>46110.753472222219</v>
      </c>
      <c r="J184" s="303" t="s">
        <v>4043</v>
      </c>
      <c r="K184" s="306"/>
      <c r="L184" s="250" t="s">
        <v>371</v>
      </c>
      <c r="M184" s="241" t="str">
        <f>VLOOKUP(L184, Работы!A:B, 2, 0)</f>
        <v>Стоимость отменённого вызова на Аварийно-восстановительные работы, заявка по которым получена во внерабочее время</v>
      </c>
      <c r="N184" s="346" t="s">
        <v>3882</v>
      </c>
      <c r="O184" s="298"/>
      <c r="P184" s="248">
        <f>IF(OR(L184="3.3.1.", L184="3.3.2.", L184="3.3.3.", L184="3.1.1.", L184="3.1.2.", L184="3.4.1.", L184="3.4.2."), 0, VLOOKUP(L184, Работы!$A$3:$D$184, 4, 0))</f>
        <v>0</v>
      </c>
      <c r="Q184" s="243"/>
      <c r="R184" s="293"/>
      <c r="S184" s="293"/>
      <c r="T184" s="244">
        <f>IF(OR(L184="3.3.1.", L184="3.3.2.", L184="3.3.3."), VLOOKUP(L184, Работы!$A$3:$D$184, 4, 0), 0)</f>
        <v>0</v>
      </c>
      <c r="U184" s="246">
        <f>IF(OR(L184="3.1.1."), VLOOKUP(L184, Работы!$A$3:$D$184, 4, 0), 0)</f>
        <v>0</v>
      </c>
      <c r="V184" s="246">
        <f>IF(OR(L184="3.1.2."), VLOOKUP(L184, Работы!$A$3:$D$184, 4, 0), 0)</f>
        <v>0</v>
      </c>
      <c r="W184" s="294"/>
      <c r="X184" s="294"/>
      <c r="Y184" s="247">
        <f>IF(OR(L184="3.2.1.", L184="3.2.2."), VLOOKUP(L184, Работы!$A$3:$D$184, 4, 0), 0)</f>
        <v>0</v>
      </c>
      <c r="Z184" s="247">
        <f>IF(OR(L184="3.4.1.", L184="3.4.2."), VLOOKUP(L184, Работы!$A$3:$D$184, 4, 0), 0)</f>
        <v>1731</v>
      </c>
      <c r="AA184" s="68">
        <f>P184*O184+Q184*T184+R184*T184+S184*T184+U184+V184+W184*Y184+X184*Y184+Z184</f>
        <v>1731</v>
      </c>
      <c r="AB184" s="295"/>
      <c r="AC184" s="296"/>
      <c r="AD184" s="296"/>
      <c r="AE184" s="69">
        <f>AC184*AD184</f>
        <v>0</v>
      </c>
      <c r="AF184" s="71">
        <f>C184*Работы!$D$180</f>
        <v>699.53</v>
      </c>
      <c r="AG184" s="68">
        <f>AA184+AE184+AF184+AL184+AM184</f>
        <v>2430.5299999999997</v>
      </c>
      <c r="AH184" s="72"/>
      <c r="AI184" s="73"/>
      <c r="AJ184" s="245">
        <f>AG184-AA184*AI184</f>
        <v>2430.5299999999997</v>
      </c>
      <c r="AK184" s="302"/>
      <c r="AL184" s="302">
        <f>IF(OR(E184="да"), 4040, 0)</f>
        <v>0</v>
      </c>
      <c r="AM184" s="365">
        <f>IF(OR(D184="доп."), AA184*0.1, 0)</f>
        <v>0</v>
      </c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43"/>
      <c r="BW184" s="43"/>
      <c r="BX184" s="43"/>
      <c r="BY184" s="43"/>
      <c r="BZ184" s="43"/>
      <c r="CA184" s="43"/>
      <c r="CB184" s="43"/>
      <c r="CC184" s="43"/>
      <c r="CD184" s="43"/>
      <c r="CE184" s="43"/>
      <c r="CF184" s="43"/>
      <c r="CG184" s="43"/>
      <c r="CH184" s="43"/>
      <c r="CI184" s="43"/>
      <c r="CJ184" s="43"/>
      <c r="CK184" s="43"/>
      <c r="CL184" s="43"/>
      <c r="CM184" s="43"/>
      <c r="CN184" s="43"/>
      <c r="CO184" s="43"/>
      <c r="CP184" s="43"/>
      <c r="CQ184" s="43"/>
    </row>
    <row r="185" spans="1:95" s="46" customFormat="1" ht="38.25" x14ac:dyDescent="0.25">
      <c r="A185" s="241">
        <f>ROW(A185)-10</f>
        <v>175</v>
      </c>
      <c r="B185" s="335" t="s">
        <v>962</v>
      </c>
      <c r="C185" s="241">
        <f>VLOOKUP(B185, Расстояния!B:J, 9, 0)</f>
        <v>14</v>
      </c>
      <c r="D185" s="242" t="str">
        <f>VLOOKUP(B185, Расстояния!B:K, 10, 0)</f>
        <v>осн.</v>
      </c>
      <c r="E185" s="242" t="str">
        <f>VLOOKUP(B185, Расстояния!B:F, 5, 0)</f>
        <v>нет</v>
      </c>
      <c r="F185" s="290"/>
      <c r="G185" s="305"/>
      <c r="H185" s="305">
        <v>46110.64166666667</v>
      </c>
      <c r="I185" s="305">
        <v>46110.708333333336</v>
      </c>
      <c r="J185" s="303" t="s">
        <v>4043</v>
      </c>
      <c r="K185" s="306"/>
      <c r="L185" s="250" t="s">
        <v>296</v>
      </c>
      <c r="M185" s="241" t="str">
        <f>VLOOKUP(L185, Работы!A:B, 2, 0)</f>
        <v>Техническое обслуживание БС</v>
      </c>
      <c r="N185" s="330" t="s">
        <v>298</v>
      </c>
      <c r="O185" s="298">
        <v>1</v>
      </c>
      <c r="P185" s="248">
        <f>IF(OR(L185="3.3.1.", L185="3.3.2.", L185="3.3.3.", L185="3.1.1.", L185="3.1.2.", L185="3.4.1.", L185="3.4.2."), 0, VLOOKUP(L185, Работы!$A$3:$D$184, 4, 0))</f>
        <v>4143</v>
      </c>
      <c r="Q185" s="243"/>
      <c r="R185" s="293"/>
      <c r="S185" s="293"/>
      <c r="T185" s="244">
        <f>IF(OR(L185="3.3.1.", L185="3.3.2.", L185="3.3.3."), VLOOKUP(L185, Работы!$A$3:$D$184, 4, 0), 0)</f>
        <v>0</v>
      </c>
      <c r="U185" s="246">
        <f>IF(OR(L185="3.1.1."), VLOOKUP(L185, Работы!$A$3:$D$184, 4, 0), 0)</f>
        <v>0</v>
      </c>
      <c r="V185" s="246">
        <f>IF(OR(L185="3.1.2."), VLOOKUP(L185, Работы!$A$3:$D$184, 4, 0), 0)</f>
        <v>0</v>
      </c>
      <c r="W185" s="294"/>
      <c r="X185" s="294"/>
      <c r="Y185" s="247">
        <f>IF(OR(L185="3.2.1.", L185="3.2.2."), VLOOKUP(L185, Работы!$A$3:$D$184, 4, 0), 0)</f>
        <v>0</v>
      </c>
      <c r="Z185" s="247">
        <f>IF(OR(L185="3.4.1.", L185="3.4.2."), VLOOKUP(L185, Работы!$A$3:$D$184, 4, 0), 0)</f>
        <v>0</v>
      </c>
      <c r="AA185" s="68">
        <f>P185*O185+Q185*T185+R185*T185+S185*T185+U185+V185+W185*Y185+X185*Y185+Z185</f>
        <v>4143</v>
      </c>
      <c r="AB185" s="295"/>
      <c r="AC185" s="296"/>
      <c r="AD185" s="296"/>
      <c r="AE185" s="69">
        <f>AC185*AD185</f>
        <v>0</v>
      </c>
      <c r="AF185" s="71">
        <f>C185*Работы!$D$180</f>
        <v>753.34</v>
      </c>
      <c r="AG185" s="68">
        <f>AA185+AE185+AF185+AL185+AM185</f>
        <v>4896.34</v>
      </c>
      <c r="AH185" s="72"/>
      <c r="AI185" s="73"/>
      <c r="AJ185" s="245">
        <f>AG185-AA185*AI185</f>
        <v>4896.34</v>
      </c>
      <c r="AK185" s="302"/>
      <c r="AL185" s="302">
        <f>IF(OR(E185="да"), 4040, 0)</f>
        <v>0</v>
      </c>
      <c r="AM185" s="365">
        <f>IF(OR(D185="доп."), AA185*0.1, 0)</f>
        <v>0</v>
      </c>
      <c r="AN185" s="251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43"/>
      <c r="BW185" s="43"/>
      <c r="BX185" s="43"/>
      <c r="BY185" s="43"/>
      <c r="BZ185" s="43"/>
      <c r="CA185" s="43"/>
      <c r="CB185" s="43"/>
      <c r="CC185" s="43"/>
      <c r="CD185" s="43"/>
      <c r="CE185" s="43"/>
      <c r="CF185" s="43"/>
      <c r="CG185" s="43"/>
      <c r="CH185" s="43"/>
      <c r="CI185" s="43"/>
      <c r="CJ185" s="43"/>
      <c r="CK185" s="43"/>
      <c r="CL185" s="43"/>
      <c r="CM185" s="43"/>
      <c r="CN185" s="43"/>
      <c r="CO185" s="43"/>
      <c r="CP185" s="43"/>
      <c r="CQ185" s="43"/>
    </row>
    <row r="186" spans="1:95" s="46" customFormat="1" ht="25.5" x14ac:dyDescent="0.25">
      <c r="A186" s="241">
        <f>ROW(A186)-10</f>
        <v>176</v>
      </c>
      <c r="B186" s="335" t="s">
        <v>962</v>
      </c>
      <c r="C186" s="241">
        <v>0</v>
      </c>
      <c r="D186" s="242" t="str">
        <f>VLOOKUP(B186, Расстояния!B:K, 10, 0)</f>
        <v>осн.</v>
      </c>
      <c r="E186" s="242" t="str">
        <f>VLOOKUP(B186, Расстояния!B:F, 5, 0)</f>
        <v>нет</v>
      </c>
      <c r="F186" s="290"/>
      <c r="G186" s="305"/>
      <c r="H186" s="305">
        <v>46110.64166666667</v>
      </c>
      <c r="I186" s="305">
        <v>46110.708333333336</v>
      </c>
      <c r="J186" s="303" t="s">
        <v>4043</v>
      </c>
      <c r="K186" s="306"/>
      <c r="L186" s="250" t="s">
        <v>4013</v>
      </c>
      <c r="M186" s="241" t="str">
        <f>VLOOKUP(L186, Работы!A:B, 2, 0)</f>
        <v>Стоимость проведения инвентаризации Объекта.</v>
      </c>
      <c r="N186" s="330" t="s">
        <v>4304</v>
      </c>
      <c r="O186" s="298">
        <v>1</v>
      </c>
      <c r="P186" s="248">
        <f>IF(OR(L186="3.3.1.", L186="3.3.2.", L186="3.3.3.", L186="3.1.1.", L186="3.1.2.", L186="3.4.1.", L186="3.4.2."), 0, VLOOKUP(L186, Работы!$A$3:$D$184, 4, 0))</f>
        <v>735</v>
      </c>
      <c r="Q186" s="243"/>
      <c r="R186" s="293"/>
      <c r="S186" s="293"/>
      <c r="T186" s="244">
        <f>IF(OR(L186="3.3.1.", L186="3.3.2.", L186="3.3.3."), VLOOKUP(L186, Работы!$A$3:$D$184, 4, 0), 0)</f>
        <v>0</v>
      </c>
      <c r="U186" s="246">
        <f>IF(OR(L186="3.1.1."), VLOOKUP(L186, Работы!$A$3:$D$184, 4, 0), 0)</f>
        <v>0</v>
      </c>
      <c r="V186" s="246">
        <f>IF(OR(L186="3.1.2."), VLOOKUP(L186, Работы!$A$3:$D$184, 4, 0), 0)</f>
        <v>0</v>
      </c>
      <c r="W186" s="294"/>
      <c r="X186" s="294"/>
      <c r="Y186" s="247">
        <f>IF(OR(L186="3.2.1.", L186="3.2.2."), VLOOKUP(L186, Работы!$A$3:$D$184, 4, 0), 0)</f>
        <v>0</v>
      </c>
      <c r="Z186" s="247">
        <f>IF(OR(L186="3.4.1.", L186="3.4.2."), VLOOKUP(L186, Работы!$A$3:$D$184, 4, 0), 0)</f>
        <v>0</v>
      </c>
      <c r="AA186" s="68">
        <f>P186*O186+Q186*T186+R186*T186+S186*T186+U186+V186+W186*Y186+X186*Y186+Z186</f>
        <v>735</v>
      </c>
      <c r="AB186" s="295"/>
      <c r="AC186" s="296"/>
      <c r="AD186" s="296"/>
      <c r="AE186" s="69">
        <f>AC186*AD186</f>
        <v>0</v>
      </c>
      <c r="AF186" s="71">
        <f>C186*Работы!$D$180</f>
        <v>0</v>
      </c>
      <c r="AG186" s="68">
        <f>AA186+AE186+AF186+AL186+AM186</f>
        <v>735</v>
      </c>
      <c r="AH186" s="72"/>
      <c r="AI186" s="73"/>
      <c r="AJ186" s="245">
        <f>AG186-AA186*AI186</f>
        <v>735</v>
      </c>
      <c r="AK186" s="302"/>
      <c r="AL186" s="302">
        <f>IF(OR(E186="да"), 4040, 0)</f>
        <v>0</v>
      </c>
      <c r="AM186" s="365">
        <f>IF(OR(D186="доп."), AA186*0.1, 0)</f>
        <v>0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43"/>
      <c r="BW186" s="43"/>
      <c r="BX186" s="43"/>
      <c r="BY186" s="43"/>
      <c r="BZ186" s="43"/>
      <c r="CA186" s="43"/>
      <c r="CB186" s="43"/>
      <c r="CC186" s="43"/>
      <c r="CD186" s="43"/>
      <c r="CE186" s="43"/>
      <c r="CF186" s="43"/>
      <c r="CG186" s="43"/>
      <c r="CH186" s="43"/>
      <c r="CI186" s="43"/>
      <c r="CJ186" s="43"/>
      <c r="CK186" s="43"/>
      <c r="CL186" s="43"/>
      <c r="CM186" s="43"/>
      <c r="CN186" s="43"/>
      <c r="CO186" s="43"/>
      <c r="CP186" s="43"/>
      <c r="CQ186" s="43"/>
    </row>
    <row r="187" spans="1:95" s="46" customFormat="1" ht="89.25" x14ac:dyDescent="0.25">
      <c r="A187" s="241">
        <f>ROW(A187)-10</f>
        <v>177</v>
      </c>
      <c r="B187" s="335" t="s">
        <v>1844</v>
      </c>
      <c r="C187" s="241">
        <f>VLOOKUP(B187, Расстояния!B:J, 9, 0)</f>
        <v>124</v>
      </c>
      <c r="D187" s="242" t="str">
        <f>VLOOKUP(B187, Расстояния!B:K, 10, 0)</f>
        <v>осн.</v>
      </c>
      <c r="E187" s="242" t="str">
        <f>VLOOKUP(B187, Расстояния!B:F, 5, 0)</f>
        <v>нет</v>
      </c>
      <c r="F187" s="290" t="s">
        <v>4187</v>
      </c>
      <c r="G187" s="305">
        <v>46112.380555555559</v>
      </c>
      <c r="H187" s="345">
        <v>46112.513888888891</v>
      </c>
      <c r="I187" s="345">
        <v>46112.568055555559</v>
      </c>
      <c r="J187" s="303" t="s">
        <v>4164</v>
      </c>
      <c r="K187" s="306"/>
      <c r="L187" s="250" t="s">
        <v>35</v>
      </c>
      <c r="M187" s="241" t="str">
        <f>VLOOKUP(L187, Работы!A:B, 2, 0)</f>
        <v>Диагностика и устранение дефектов АФУ сектора БС (локализация неисправности или перепуток Net Monitor'ом, проверка/ремонт разъёмов, соединительных джемперов, проверка КСВ)</v>
      </c>
      <c r="N187" s="347" t="s">
        <v>4269</v>
      </c>
      <c r="O187" s="298">
        <v>1</v>
      </c>
      <c r="P187" s="248">
        <f>IF(OR(L187="3.3.1.", L187="3.3.2.", L187="3.3.3.", L187="3.1.1.", L187="3.1.2.", L187="3.4.1.", L187="3.4.2."), 0, VLOOKUP(L187, Работы!$A$3:$D$184, 4, 0))</f>
        <v>4180</v>
      </c>
      <c r="Q187" s="243"/>
      <c r="R187" s="293"/>
      <c r="S187" s="293"/>
      <c r="T187" s="244">
        <f>IF(OR(L187="3.3.1.", L187="3.3.2.", L187="3.3.3."), VLOOKUP(L187, Работы!$A$3:$D$184, 4, 0), 0)</f>
        <v>0</v>
      </c>
      <c r="U187" s="246">
        <f>IF(OR(L187="3.1.1."), VLOOKUP(L187, Работы!$A$3:$D$184, 4, 0), 0)</f>
        <v>0</v>
      </c>
      <c r="V187" s="246">
        <f>IF(OR(L187="3.1.2."), VLOOKUP(L187, Работы!$A$3:$D$184, 4, 0), 0)</f>
        <v>0</v>
      </c>
      <c r="W187" s="294"/>
      <c r="X187" s="294"/>
      <c r="Y187" s="247">
        <f>IF(OR(L187="3.2.1.", L187="3.2.2."), VLOOKUP(L187, Работы!$A$3:$D$184, 4, 0), 0)</f>
        <v>0</v>
      </c>
      <c r="Z187" s="247">
        <f>IF(OR(L187="3.4.1.", L187="3.4.2."), VLOOKUP(L187, Работы!$A$3:$D$184, 4, 0), 0)</f>
        <v>0</v>
      </c>
      <c r="AA187" s="68">
        <f>P187*O187+Q187*T187+R187*T187+S187*T187+U187+V187+W187*Y187+X187*Y187+Z187</f>
        <v>4180</v>
      </c>
      <c r="AB187" s="295"/>
      <c r="AC187" s="296"/>
      <c r="AD187" s="296"/>
      <c r="AE187" s="69">
        <f>AC187*AD187</f>
        <v>0</v>
      </c>
      <c r="AF187" s="71">
        <f>C187*Работы!$D$180</f>
        <v>6672.4400000000005</v>
      </c>
      <c r="AG187" s="68">
        <f>AA187+AE187+AF187+AL187+AM187</f>
        <v>10852.44</v>
      </c>
      <c r="AH187" s="72"/>
      <c r="AI187" s="73"/>
      <c r="AJ187" s="245">
        <f>AG187-AA187*AI187</f>
        <v>10852.44</v>
      </c>
      <c r="AK187" s="297"/>
      <c r="AL187" s="302">
        <f>IF(OR(E187="да"), 4040, 0)</f>
        <v>0</v>
      </c>
      <c r="AM187" s="365">
        <f>IF(OR(D187="доп."), AA187*0.1, 0)</f>
        <v>0</v>
      </c>
      <c r="AN187" s="1287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</row>
    <row r="188" spans="1:95" s="46" customFormat="1" ht="102" x14ac:dyDescent="0.25">
      <c r="A188" s="241">
        <f>ROW(A188)-10</f>
        <v>178</v>
      </c>
      <c r="B188" s="335" t="s">
        <v>978</v>
      </c>
      <c r="C188" s="241">
        <f>VLOOKUP(B188, Расстояния!B:J, 9, 0)</f>
        <v>34</v>
      </c>
      <c r="D188" s="242" t="str">
        <f>VLOOKUP(B188, Расстояния!B:K, 10, 0)</f>
        <v>осн.</v>
      </c>
      <c r="E188" s="242" t="str">
        <f>VLOOKUP(B188, Расстояния!B:F, 5, 0)</f>
        <v>нет</v>
      </c>
      <c r="F188" s="290" t="s">
        <v>4119</v>
      </c>
      <c r="G188" s="305">
        <v>46106.595138888886</v>
      </c>
      <c r="H188" s="305">
        <v>46106.645138888889</v>
      </c>
      <c r="I188" s="305">
        <v>46106.697916666664</v>
      </c>
      <c r="J188" s="303" t="s">
        <v>4043</v>
      </c>
      <c r="K188" s="306"/>
      <c r="L188" s="250" t="s">
        <v>367</v>
      </c>
      <c r="M188" s="241" t="str">
        <f>VLOOKUP(L188,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88" s="330" t="s">
        <v>3843</v>
      </c>
      <c r="O188" s="298"/>
      <c r="P188" s="248">
        <f>IF(OR(L188="3.3.1.", L188="3.3.2.", L188="3.3.3.", L188="3.1.1.", L188="3.1.2.", L188="3.4.1.", L188="3.4.2."), 0, VLOOKUP(L188, Работы!$A$3:$D$184, 4, 0))</f>
        <v>0</v>
      </c>
      <c r="Q188" s="243">
        <f>ROUNDUP((I188-H188)*24, 0)</f>
        <v>2</v>
      </c>
      <c r="R188" s="293"/>
      <c r="S188" s="293"/>
      <c r="T188" s="244">
        <f>IF(OR(L188="3.3.1.", L188="3.3.2.", L188="3.3.3."), VLOOKUP(L188, Работы!$A$3:$D$184, 4, 0), 0)</f>
        <v>903</v>
      </c>
      <c r="U188" s="246">
        <f>IF(OR(L188="3.1.1."), VLOOKUP(L188, Работы!$A$3:$D$184, 4, 0), 0)</f>
        <v>0</v>
      </c>
      <c r="V188" s="246">
        <f>IF(OR(L188="3.1.2."), VLOOKUP(L188, Работы!$A$3:$D$184, 4, 0), 0)</f>
        <v>0</v>
      </c>
      <c r="W188" s="294"/>
      <c r="X188" s="294"/>
      <c r="Y188" s="247">
        <f>IF(OR(L188="3.2.1.", L188="3.2.2."), VLOOKUP(L188, Работы!$A$3:$D$184, 4, 0), 0)</f>
        <v>0</v>
      </c>
      <c r="Z188" s="247">
        <f>IF(OR(L188="3.4.1.", L188="3.4.2."), VLOOKUP(L188, Работы!$A$3:$D$184, 4, 0), 0)</f>
        <v>0</v>
      </c>
      <c r="AA188" s="68">
        <f>P188*O188+Q188*T188+R188*T188+S188*T188+U188+V188+W188*Y188+X188*Y188+Z188</f>
        <v>1806</v>
      </c>
      <c r="AB188" s="295"/>
      <c r="AC188" s="296"/>
      <c r="AD188" s="296"/>
      <c r="AE188" s="69">
        <f>AC188*AD188</f>
        <v>0</v>
      </c>
      <c r="AF188" s="71">
        <f>C188*Работы!$D$180</f>
        <v>1829.54</v>
      </c>
      <c r="AG188" s="68">
        <f>AA188+AE188+AF188+AL188+AM188</f>
        <v>3635.54</v>
      </c>
      <c r="AH188" s="72"/>
      <c r="AI188" s="73"/>
      <c r="AJ188" s="245">
        <f>AG188-AA188*AI188</f>
        <v>3635.54</v>
      </c>
      <c r="AK188" s="302"/>
      <c r="AL188" s="302">
        <f>IF(OR(E188="да"), 4040, 0)</f>
        <v>0</v>
      </c>
      <c r="AM188" s="365">
        <f>IF(OR(D188="доп."), AA188*0.1, 0)</f>
        <v>0</v>
      </c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43"/>
      <c r="BW188" s="43"/>
      <c r="BX188" s="43"/>
      <c r="BY188" s="43"/>
      <c r="BZ188" s="43"/>
      <c r="CA188" s="43"/>
      <c r="CB188" s="43"/>
      <c r="CC188" s="43"/>
      <c r="CD188" s="43"/>
      <c r="CE188" s="43"/>
      <c r="CF188" s="43"/>
      <c r="CG188" s="43"/>
      <c r="CH188" s="43"/>
      <c r="CI188" s="43"/>
      <c r="CJ188" s="43"/>
      <c r="CK188" s="43"/>
      <c r="CL188" s="43"/>
      <c r="CM188" s="43"/>
      <c r="CN188" s="43"/>
      <c r="CO188" s="43"/>
      <c r="CP188" s="43"/>
      <c r="CQ188" s="43"/>
    </row>
    <row r="189" spans="1:95" s="46" customFormat="1" ht="38.25" x14ac:dyDescent="0.25">
      <c r="A189" s="241">
        <f>ROW(A189)-10</f>
        <v>179</v>
      </c>
      <c r="B189" s="335" t="s">
        <v>978</v>
      </c>
      <c r="C189" s="241">
        <v>0</v>
      </c>
      <c r="D189" s="242" t="str">
        <f>VLOOKUP(B189, Расстояния!B:K, 10, 0)</f>
        <v>осн.</v>
      </c>
      <c r="E189" s="242" t="str">
        <f>VLOOKUP(B189, Расстояния!B:F, 5, 0)</f>
        <v>нет</v>
      </c>
      <c r="F189" s="290"/>
      <c r="G189" s="305"/>
      <c r="H189" s="305">
        <v>46106.646527777775</v>
      </c>
      <c r="I189" s="305">
        <v>46106.697916666664</v>
      </c>
      <c r="J189" s="303" t="s">
        <v>4043</v>
      </c>
      <c r="K189" s="306"/>
      <c r="L189" s="250" t="s">
        <v>296</v>
      </c>
      <c r="M189" s="241" t="str">
        <f>VLOOKUP(L189, Работы!A:B, 2, 0)</f>
        <v>Техническое обслуживание БС</v>
      </c>
      <c r="N189" s="330" t="s">
        <v>298</v>
      </c>
      <c r="O189" s="298">
        <v>1</v>
      </c>
      <c r="P189" s="248">
        <f>IF(OR(L189="3.3.1.", L189="3.3.2.", L189="3.3.3.", L189="3.1.1.", L189="3.1.2.", L189="3.4.1.", L189="3.4.2."), 0, VLOOKUP(L189, Работы!$A$3:$D$184, 4, 0))</f>
        <v>4143</v>
      </c>
      <c r="Q189" s="243"/>
      <c r="R189" s="243"/>
      <c r="S189" s="243"/>
      <c r="T189" s="244">
        <f>IF(OR(L189="3.3.1.", L189="3.3.2.", L189="3.3.3."), VLOOKUP(L189, Работы!$A$3:$D$184, 4, 0), 0)</f>
        <v>0</v>
      </c>
      <c r="U189" s="246">
        <f>IF(OR(L189="3.1.1."), VLOOKUP(L189, Работы!$A$3:$D$184, 4, 0), 0)</f>
        <v>0</v>
      </c>
      <c r="V189" s="246">
        <f>IF(OR(L189="3.1.2."), VLOOKUP(L189, Работы!$A$3:$D$184, 4, 0), 0)</f>
        <v>0</v>
      </c>
      <c r="W189" s="246"/>
      <c r="X189" s="246"/>
      <c r="Y189" s="247">
        <f>IF(OR(L189="3.2.1.", L189="3.2.2."), VLOOKUP(L189, Работы!$A$3:$D$184, 4, 0), 0)</f>
        <v>0</v>
      </c>
      <c r="Z189" s="247">
        <f>IF(OR(L189="3.4.1.", L189="3.4.2."), VLOOKUP(L189, Работы!$A$3:$D$184, 4, 0), 0)</f>
        <v>0</v>
      </c>
      <c r="AA189" s="68">
        <f>P189*O189+Q189*T189+R189*T189+S189*T189+U189+V189+W189*Y189+X189*Y189+Z189</f>
        <v>4143</v>
      </c>
      <c r="AB189" s="69"/>
      <c r="AC189" s="70"/>
      <c r="AD189" s="70"/>
      <c r="AE189" s="69">
        <f>AC189*AD189</f>
        <v>0</v>
      </c>
      <c r="AF189" s="71">
        <f>C189*Работы!$D$180</f>
        <v>0</v>
      </c>
      <c r="AG189" s="68">
        <f>AA189+AE189+AF189+AL189+AM189</f>
        <v>4143</v>
      </c>
      <c r="AH189" s="72"/>
      <c r="AI189" s="73"/>
      <c r="AJ189" s="245">
        <f>AG189-AA189*AI189</f>
        <v>4143</v>
      </c>
      <c r="AK189" s="45"/>
      <c r="AL189" s="302">
        <f>IF(OR(E189="да"), 4040, 0)</f>
        <v>0</v>
      </c>
      <c r="AM189" s="365">
        <f>IF(OR(D189="доп."), AA189*0.1, 0)</f>
        <v>0</v>
      </c>
      <c r="AN189" s="251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43"/>
      <c r="BW189" s="43"/>
      <c r="BX189" s="43"/>
      <c r="BY189" s="43"/>
      <c r="BZ189" s="43"/>
      <c r="CA189" s="43"/>
      <c r="CB189" s="43"/>
      <c r="CC189" s="43"/>
      <c r="CD189" s="43"/>
      <c r="CE189" s="43"/>
      <c r="CF189" s="43"/>
      <c r="CG189" s="43"/>
      <c r="CH189" s="43"/>
      <c r="CI189" s="43"/>
      <c r="CJ189" s="43"/>
      <c r="CK189" s="43"/>
      <c r="CL189" s="43"/>
      <c r="CM189" s="43"/>
      <c r="CN189" s="43"/>
      <c r="CO189" s="43"/>
      <c r="CP189" s="43"/>
      <c r="CQ189" s="43"/>
    </row>
    <row r="190" spans="1:95" s="46" customFormat="1" ht="25.5" x14ac:dyDescent="0.25">
      <c r="A190" s="241">
        <f>ROW(A190)-10</f>
        <v>180</v>
      </c>
      <c r="B190" s="335" t="s">
        <v>978</v>
      </c>
      <c r="C190" s="241">
        <v>0</v>
      </c>
      <c r="D190" s="242" t="str">
        <f>VLOOKUP(B190, Расстояния!B:K, 10, 0)</f>
        <v>осн.</v>
      </c>
      <c r="E190" s="242" t="str">
        <f>VLOOKUP(B190, Расстояния!B:F, 5, 0)</f>
        <v>нет</v>
      </c>
      <c r="F190" s="290"/>
      <c r="G190" s="305"/>
      <c r="H190" s="305">
        <v>46106.646527777775</v>
      </c>
      <c r="I190" s="305">
        <v>46106.697916666664</v>
      </c>
      <c r="J190" s="303" t="s">
        <v>4043</v>
      </c>
      <c r="K190" s="306"/>
      <c r="L190" s="250" t="s">
        <v>4013</v>
      </c>
      <c r="M190" s="241" t="str">
        <f>VLOOKUP(L190, Работы!A:B, 2, 0)</f>
        <v>Стоимость проведения инвентаризации Объекта.</v>
      </c>
      <c r="N190" s="330" t="s">
        <v>4304</v>
      </c>
      <c r="O190" s="298">
        <v>1</v>
      </c>
      <c r="P190" s="248">
        <f>IF(OR(L190="3.3.1.", L190="3.3.2.", L190="3.3.3.", L190="3.1.1.", L190="3.1.2.", L190="3.4.1.", L190="3.4.2."), 0, VLOOKUP(L190, Работы!$A$3:$D$184, 4, 0))</f>
        <v>735</v>
      </c>
      <c r="Q190" s="243"/>
      <c r="R190" s="243"/>
      <c r="S190" s="243"/>
      <c r="T190" s="244">
        <f>IF(OR(L190="3.3.1.", L190="3.3.2.", L190="3.3.3."), VLOOKUP(L190, Работы!$A$3:$D$184, 4, 0), 0)</f>
        <v>0</v>
      </c>
      <c r="U190" s="246">
        <f>IF(OR(L190="3.1.1."), VLOOKUP(L190, Работы!$A$3:$D$184, 4, 0), 0)</f>
        <v>0</v>
      </c>
      <c r="V190" s="246">
        <f>IF(OR(L190="3.1.2."), VLOOKUP(L190, Работы!$A$3:$D$184, 4, 0), 0)</f>
        <v>0</v>
      </c>
      <c r="W190" s="246"/>
      <c r="X190" s="246"/>
      <c r="Y190" s="247">
        <f>IF(OR(L190="3.2.1.", L190="3.2.2."), VLOOKUP(L190, Работы!$A$3:$D$184, 4, 0), 0)</f>
        <v>0</v>
      </c>
      <c r="Z190" s="247">
        <f>IF(OR(L190="3.4.1.", L190="3.4.2."), VLOOKUP(L190, Работы!$A$3:$D$184, 4, 0), 0)</f>
        <v>0</v>
      </c>
      <c r="AA190" s="68">
        <f>P190*O190+Q190*T190+R190*T190+S190*T190+U190+V190+W190*Y190+X190*Y190+Z190</f>
        <v>735</v>
      </c>
      <c r="AB190" s="69"/>
      <c r="AC190" s="70"/>
      <c r="AD190" s="70"/>
      <c r="AE190" s="69">
        <f>AC190*AD190</f>
        <v>0</v>
      </c>
      <c r="AF190" s="71">
        <f>C190*Работы!$D$180</f>
        <v>0</v>
      </c>
      <c r="AG190" s="68">
        <f>AA190+AE190+AF190+AL190+AM190</f>
        <v>735</v>
      </c>
      <c r="AH190" s="72"/>
      <c r="AI190" s="73"/>
      <c r="AJ190" s="245">
        <f>AG190-AA190*AI190</f>
        <v>735</v>
      </c>
      <c r="AK190" s="45"/>
      <c r="AL190" s="302">
        <f>IF(OR(E190="да"), 4040, 0)</f>
        <v>0</v>
      </c>
      <c r="AM190" s="365">
        <f>IF(OR(D190="доп."), AA190*0.1, 0)</f>
        <v>0</v>
      </c>
      <c r="AN190" s="251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43"/>
      <c r="BW190" s="43"/>
      <c r="BX190" s="43"/>
      <c r="BY190" s="43"/>
      <c r="BZ190" s="43"/>
      <c r="CA190" s="43"/>
      <c r="CB190" s="43"/>
      <c r="CC190" s="43"/>
      <c r="CD190" s="43"/>
      <c r="CE190" s="43"/>
      <c r="CF190" s="43"/>
      <c r="CG190" s="43"/>
      <c r="CH190" s="43"/>
      <c r="CI190" s="43"/>
      <c r="CJ190" s="43"/>
      <c r="CK190" s="43"/>
      <c r="CL190" s="43"/>
      <c r="CM190" s="43"/>
      <c r="CN190" s="43"/>
      <c r="CO190" s="43"/>
      <c r="CP190" s="43"/>
      <c r="CQ190" s="43"/>
    </row>
    <row r="191" spans="1:95" s="46" customFormat="1" ht="102" x14ac:dyDescent="0.25">
      <c r="A191" s="241">
        <f>ROW(A191)-10</f>
        <v>181</v>
      </c>
      <c r="B191" s="335" t="s">
        <v>2359</v>
      </c>
      <c r="C191" s="241">
        <f>VLOOKUP(B191, Расстояния!B:J, 9, 0)</f>
        <v>71</v>
      </c>
      <c r="D191" s="242" t="str">
        <f>VLOOKUP(B191, Расстояния!B:K, 10, 0)</f>
        <v>осн.</v>
      </c>
      <c r="E191" s="242" t="str">
        <f>VLOOKUP(B191, Расстояния!B:F, 5, 0)</f>
        <v>нет</v>
      </c>
      <c r="F191" s="290" t="s">
        <v>4210</v>
      </c>
      <c r="G191" s="305">
        <v>46098.502546296295</v>
      </c>
      <c r="H191" s="345">
        <v>46098.53125</v>
      </c>
      <c r="I191" s="345">
        <v>46098.593055555553</v>
      </c>
      <c r="J191" s="303" t="s">
        <v>4207</v>
      </c>
      <c r="K191" s="306"/>
      <c r="L191" s="250" t="s">
        <v>367</v>
      </c>
      <c r="M191" s="241" t="str">
        <f>VLOOKUP(L191,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91" s="330" t="s">
        <v>3843</v>
      </c>
      <c r="O191" s="298"/>
      <c r="P191" s="248">
        <f>IF(OR(L191="3.3.1.", L191="3.3.2.", L191="3.3.3.", L191="3.1.1.", L191="3.1.2.", L191="3.4.1.", L191="3.4.2."), 0, VLOOKUP(L191, Работы!$A$3:$D$184, 4, 0))</f>
        <v>0</v>
      </c>
      <c r="Q191" s="243">
        <f>ROUNDUP((I191-H191)*24, 0)</f>
        <v>2</v>
      </c>
      <c r="R191" s="243"/>
      <c r="S191" s="243"/>
      <c r="T191" s="244">
        <f>IF(OR(L191="3.3.1.", L191="3.3.2.", L191="3.3.3."), VLOOKUP(L191, Работы!$A$3:$D$184, 4, 0), 0)</f>
        <v>903</v>
      </c>
      <c r="U191" s="246">
        <f>IF(OR(L191="3.1.1."), VLOOKUP(L191, Работы!$A$3:$D$184, 4, 0), 0)</f>
        <v>0</v>
      </c>
      <c r="V191" s="246">
        <f>IF(OR(L191="3.1.2."), VLOOKUP(L191, Работы!$A$3:$D$184, 4, 0), 0)</f>
        <v>0</v>
      </c>
      <c r="W191" s="246"/>
      <c r="X191" s="246"/>
      <c r="Y191" s="247">
        <f>IF(OR(L191="3.2.1.", L191="3.2.2."), VLOOKUP(L191, Работы!$A$3:$D$184, 4, 0), 0)</f>
        <v>0</v>
      </c>
      <c r="Z191" s="247">
        <f>IF(OR(L191="3.4.1.", L191="3.4.2."), VLOOKUP(L191, Работы!$A$3:$D$184, 4, 0), 0)</f>
        <v>0</v>
      </c>
      <c r="AA191" s="68">
        <f>P191*O191+Q191*T191+R191*T191+S191*T191+U191+V191+W191*Y191+X191*Y191+Z191</f>
        <v>1806</v>
      </c>
      <c r="AB191" s="69"/>
      <c r="AC191" s="70"/>
      <c r="AD191" s="70"/>
      <c r="AE191" s="69">
        <f>AC191*AD191</f>
        <v>0</v>
      </c>
      <c r="AF191" s="71">
        <f>C191*Работы!$D$180</f>
        <v>3820.51</v>
      </c>
      <c r="AG191" s="68">
        <f>AA191+AE191+AF191+AL191+AM191</f>
        <v>5626.51</v>
      </c>
      <c r="AH191" s="72"/>
      <c r="AI191" s="73"/>
      <c r="AJ191" s="245">
        <f>AG191-AA191*AI191</f>
        <v>5626.51</v>
      </c>
      <c r="AK191" s="73"/>
      <c r="AL191" s="302">
        <f>IF(OR(E191="да"), 4040, 0)</f>
        <v>0</v>
      </c>
      <c r="AM191" s="365">
        <f>IF(OR(D191="доп."), AA191*0.1, 0)</f>
        <v>0</v>
      </c>
      <c r="AN191" s="251"/>
      <c r="AO191" s="34"/>
      <c r="AP191" s="34"/>
      <c r="AQ191" s="34"/>
      <c r="AR191" s="34"/>
      <c r="AS191" s="34"/>
    </row>
    <row r="192" spans="1:95" s="46" customFormat="1" ht="51" x14ac:dyDescent="0.25">
      <c r="A192" s="241">
        <f>ROW(A192)-10</f>
        <v>182</v>
      </c>
      <c r="B192" s="335" t="s">
        <v>2359</v>
      </c>
      <c r="C192" s="241">
        <v>0</v>
      </c>
      <c r="D192" s="242" t="str">
        <f>VLOOKUP(B192, Расстояния!B:K, 10, 0)</f>
        <v>осн.</v>
      </c>
      <c r="E192" s="242" t="str">
        <f>VLOOKUP(B192, Расстояния!B:F, 5, 0)</f>
        <v>нет</v>
      </c>
      <c r="F192" s="290" t="s">
        <v>4214</v>
      </c>
      <c r="G192" s="305">
        <v>46102.659907407404</v>
      </c>
      <c r="H192" s="345">
        <v>46102.592361111114</v>
      </c>
      <c r="I192" s="345">
        <v>46102.690972222219</v>
      </c>
      <c r="J192" s="303" t="s">
        <v>4207</v>
      </c>
      <c r="K192" s="306"/>
      <c r="L192" s="341" t="s">
        <v>332</v>
      </c>
      <c r="M192" s="241" t="str">
        <f>VLOOKUP(L192, Работы!A:B, 2, 0)</f>
        <v>Стоимость аварийно-восстановительных работ, заявка по которым получена во внерабочее время</v>
      </c>
      <c r="N192" s="346" t="s">
        <v>4274</v>
      </c>
      <c r="O192" s="298"/>
      <c r="P192" s="248">
        <f>IF(OR(L192="3.3.1.", L192="3.3.2.", L192="3.3.3.", L192="3.1.1.", L192="3.1.2.", L192="3.4.1.", L192="3.4.2."), 0, VLOOKUP(L192, Работы!$A$3:$D$184, 4, 0))</f>
        <v>0</v>
      </c>
      <c r="Q192" s="243"/>
      <c r="R192" s="293"/>
      <c r="S192" s="293"/>
      <c r="T192" s="244">
        <f>IF(OR(L192="3.3.1.", L192="3.3.2.", L192="3.3.3."), VLOOKUP(L192, Работы!$A$3:$D$184, 4, 0), 0)</f>
        <v>0</v>
      </c>
      <c r="U192" s="246">
        <f>IF(OR(L192="3.1.1."), VLOOKUP(L192, Работы!$A$3:$D$184, 4, 0), 0)</f>
        <v>0</v>
      </c>
      <c r="V192" s="246">
        <f>IF(OR(L192="3.1.2."), VLOOKUP(L192, Работы!$A$3:$D$184, 4, 0), 0)</f>
        <v>7187</v>
      </c>
      <c r="W192" s="294"/>
      <c r="X192" s="294"/>
      <c r="Y192" s="247">
        <f>IF(OR(L192="3.2.1.", L192="3.2.2."), VLOOKUP(L192, Работы!$A$3:$D$184, 4, 0), 0)</f>
        <v>0</v>
      </c>
      <c r="Z192" s="247">
        <f>IF(OR(L192="3.4.1.", L192="3.4.2."), VLOOKUP(L192, Работы!$A$3:$D$184, 4, 0), 0)</f>
        <v>0</v>
      </c>
      <c r="AA192" s="68">
        <f>P192*O192+Q192*T192+R192*T192+S192*T192+U192+V192+W192*Y192+X192*Y192+Z192</f>
        <v>7187</v>
      </c>
      <c r="AB192" s="295"/>
      <c r="AC192" s="296"/>
      <c r="AD192" s="296"/>
      <c r="AE192" s="69">
        <f>AC192*AD192</f>
        <v>0</v>
      </c>
      <c r="AF192" s="71">
        <f>C192*Работы!$D$180</f>
        <v>0</v>
      </c>
      <c r="AG192" s="68">
        <f>AA192+AE192+AF192+AL192+AM192</f>
        <v>7187</v>
      </c>
      <c r="AH192" s="72"/>
      <c r="AI192" s="73"/>
      <c r="AJ192" s="245">
        <f>AG192-AA192*AI192</f>
        <v>7187</v>
      </c>
      <c r="AK192" s="297"/>
      <c r="AL192" s="302">
        <f>IF(OR(E192="да"), 4040, 0)</f>
        <v>0</v>
      </c>
      <c r="AM192" s="365">
        <f>IF(OR(D192="доп."), AA192*0.1, 0)</f>
        <v>0</v>
      </c>
      <c r="AN192" s="1287"/>
      <c r="AO192" s="34"/>
      <c r="AP192" s="34"/>
      <c r="AQ192" s="34"/>
      <c r="AR192" s="34"/>
      <c r="AS192" s="34"/>
      <c r="AT192" s="370"/>
      <c r="AU192" s="370"/>
      <c r="AV192" s="370"/>
      <c r="AW192" s="370"/>
      <c r="AX192" s="370"/>
      <c r="AY192" s="370"/>
      <c r="AZ192" s="370"/>
      <c r="BA192" s="370"/>
      <c r="BB192" s="370"/>
      <c r="BC192" s="370"/>
      <c r="BD192" s="370"/>
      <c r="BE192" s="370"/>
      <c r="BF192" s="370"/>
      <c r="BG192" s="370"/>
      <c r="BH192" s="370"/>
      <c r="BI192" s="370"/>
      <c r="BJ192" s="370"/>
      <c r="BK192" s="370"/>
      <c r="BL192" s="370"/>
      <c r="BM192" s="370"/>
      <c r="BN192" s="370"/>
      <c r="BO192" s="370"/>
      <c r="BP192" s="370"/>
      <c r="BQ192" s="370"/>
      <c r="BR192" s="370"/>
      <c r="BS192" s="370"/>
      <c r="BT192" s="370"/>
      <c r="BU192" s="370"/>
      <c r="BV192" s="370"/>
      <c r="BW192" s="370"/>
      <c r="BX192" s="370"/>
      <c r="BY192" s="370"/>
      <c r="BZ192" s="370"/>
      <c r="CA192" s="370"/>
      <c r="CB192" s="370"/>
      <c r="CC192" s="370"/>
      <c r="CD192" s="370"/>
      <c r="CE192" s="370"/>
      <c r="CF192" s="370"/>
      <c r="CG192" s="370"/>
      <c r="CH192" s="370"/>
      <c r="CI192" s="370"/>
      <c r="CJ192" s="370"/>
      <c r="CK192" s="370"/>
      <c r="CL192" s="370"/>
      <c r="CM192" s="370"/>
      <c r="CN192" s="370"/>
      <c r="CO192" s="370"/>
      <c r="CP192" s="370"/>
      <c r="CQ192" s="370"/>
    </row>
    <row r="193" spans="1:95" s="46" customFormat="1" ht="38.25" x14ac:dyDescent="0.25">
      <c r="A193" s="241">
        <f>ROW(A193)-10</f>
        <v>183</v>
      </c>
      <c r="B193" s="335" t="s">
        <v>1616</v>
      </c>
      <c r="C193" s="241">
        <f>VLOOKUP(B193, Расстояния!B:J, 9, 0)</f>
        <v>52</v>
      </c>
      <c r="D193" s="242" t="str">
        <f>VLOOKUP(B193, Расстояния!B:K, 10, 0)</f>
        <v>осн.</v>
      </c>
      <c r="E193" s="242" t="str">
        <f>VLOOKUP(B193, Расстояния!B:F, 5, 0)</f>
        <v>нет</v>
      </c>
      <c r="F193" s="290"/>
      <c r="G193" s="305"/>
      <c r="H193" s="345">
        <v>46098.536805555559</v>
      </c>
      <c r="I193" s="345">
        <v>46098.5625</v>
      </c>
      <c r="J193" s="304" t="s">
        <v>4046</v>
      </c>
      <c r="K193" s="306"/>
      <c r="L193" s="250" t="s">
        <v>296</v>
      </c>
      <c r="M193" s="241" t="str">
        <f>VLOOKUP(L193, Работы!A:B, 2, 0)</f>
        <v>Техническое обслуживание БС</v>
      </c>
      <c r="N193" s="330" t="s">
        <v>298</v>
      </c>
      <c r="O193" s="298">
        <v>1</v>
      </c>
      <c r="P193" s="248">
        <f>IF(OR(L193="3.3.1.", L193="3.3.2.", L193="3.3.3.", L193="3.1.1.", L193="3.1.2.", L193="3.4.1.", L193="3.4.2."), 0, VLOOKUP(L193, Работы!$A$3:$D$184, 4, 0))</f>
        <v>4143</v>
      </c>
      <c r="Q193" s="243"/>
      <c r="R193" s="293"/>
      <c r="S193" s="293"/>
      <c r="T193" s="244">
        <f>IF(OR(L193="3.3.1.", L193="3.3.2.", L193="3.3.3."), VLOOKUP(L193, Работы!$A$3:$D$184, 4, 0), 0)</f>
        <v>0</v>
      </c>
      <c r="U193" s="246">
        <f>IF(OR(L193="3.1.1."), VLOOKUP(L193, Работы!$A$3:$D$184, 4, 0), 0)</f>
        <v>0</v>
      </c>
      <c r="V193" s="246">
        <f>IF(OR(L193="3.1.2."), VLOOKUP(L193, Работы!$A$3:$D$184, 4, 0), 0)</f>
        <v>0</v>
      </c>
      <c r="W193" s="294"/>
      <c r="X193" s="294"/>
      <c r="Y193" s="247">
        <f>IF(OR(L193="3.2.1.", L193="3.2.2."), VLOOKUP(L193, Работы!$A$3:$D$184, 4, 0), 0)</f>
        <v>0</v>
      </c>
      <c r="Z193" s="247">
        <f>IF(OR(L193="3.4.1.", L193="3.4.2."), VLOOKUP(L193, Работы!$A$3:$D$184, 4, 0), 0)</f>
        <v>0</v>
      </c>
      <c r="AA193" s="68">
        <f>P193*O193+Q193*T193+R193*T193+S193*T193+U193+V193+W193*Y193+X193*Y193+Z193</f>
        <v>4143</v>
      </c>
      <c r="AB193" s="295"/>
      <c r="AC193" s="296"/>
      <c r="AD193" s="296"/>
      <c r="AE193" s="69">
        <f>AC193*AD193</f>
        <v>0</v>
      </c>
      <c r="AF193" s="71">
        <f>C193*Работы!$D$180</f>
        <v>2798.12</v>
      </c>
      <c r="AG193" s="68">
        <f>AA193+AE193+AF193+AL193+AM193</f>
        <v>6941.12</v>
      </c>
      <c r="AH193" s="72"/>
      <c r="AI193" s="73"/>
      <c r="AJ193" s="245">
        <f>AG193-AA193*AI193</f>
        <v>6941.12</v>
      </c>
      <c r="AK193" s="251"/>
      <c r="AL193" s="302">
        <f>IF(OR(E193="да"), 4040, 0)</f>
        <v>0</v>
      </c>
      <c r="AM193" s="365">
        <f>IF(OR(D193="доп."), AA193*0.1, 0)</f>
        <v>0</v>
      </c>
      <c r="AN193" s="251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O193" s="34"/>
      <c r="CP193" s="34"/>
      <c r="CQ193" s="34"/>
    </row>
    <row r="194" spans="1:95" s="46" customFormat="1" ht="25.5" x14ac:dyDescent="0.25">
      <c r="A194" s="241">
        <f>ROW(A194)-10</f>
        <v>184</v>
      </c>
      <c r="B194" s="335" t="s">
        <v>1616</v>
      </c>
      <c r="C194" s="241">
        <v>0</v>
      </c>
      <c r="D194" s="242" t="str">
        <f>VLOOKUP(B194, Расстояния!B:K, 10, 0)</f>
        <v>осн.</v>
      </c>
      <c r="E194" s="242" t="str">
        <f>VLOOKUP(B194, Расстояния!B:F, 5, 0)</f>
        <v>нет</v>
      </c>
      <c r="F194" s="290"/>
      <c r="G194" s="305"/>
      <c r="H194" s="345">
        <v>46098.536805555559</v>
      </c>
      <c r="I194" s="345">
        <v>46098.5625</v>
      </c>
      <c r="J194" s="304" t="s">
        <v>4046</v>
      </c>
      <c r="K194" s="306"/>
      <c r="L194" s="250" t="s">
        <v>4013</v>
      </c>
      <c r="M194" s="241" t="str">
        <f>VLOOKUP(L194, Работы!A:B, 2, 0)</f>
        <v>Стоимость проведения инвентаризации Объекта.</v>
      </c>
      <c r="N194" s="330" t="s">
        <v>4304</v>
      </c>
      <c r="O194" s="298">
        <v>1</v>
      </c>
      <c r="P194" s="248">
        <f>IF(OR(L194="3.3.1.", L194="3.3.2.", L194="3.3.3.", L194="3.1.1.", L194="3.1.2.", L194="3.4.1.", L194="3.4.2."), 0, VLOOKUP(L194, Работы!$A$3:$D$184, 4, 0))</f>
        <v>735</v>
      </c>
      <c r="Q194" s="243"/>
      <c r="R194" s="293"/>
      <c r="S194" s="293"/>
      <c r="T194" s="244">
        <f>IF(OR(L194="3.3.1.", L194="3.3.2.", L194="3.3.3."), VLOOKUP(L194, Работы!$A$3:$D$184, 4, 0), 0)</f>
        <v>0</v>
      </c>
      <c r="U194" s="246">
        <f>IF(OR(L194="3.1.1."), VLOOKUP(L194, Работы!$A$3:$D$184, 4, 0), 0)</f>
        <v>0</v>
      </c>
      <c r="V194" s="246">
        <f>IF(OR(L194="3.1.2."), VLOOKUP(L194, Работы!$A$3:$D$184, 4, 0), 0)</f>
        <v>0</v>
      </c>
      <c r="W194" s="294"/>
      <c r="X194" s="294"/>
      <c r="Y194" s="247">
        <f>IF(OR(L194="3.2.1.", L194="3.2.2."), VLOOKUP(L194, Работы!$A$3:$D$184, 4, 0), 0)</f>
        <v>0</v>
      </c>
      <c r="Z194" s="247">
        <f>IF(OR(L194="3.4.1.", L194="3.4.2."), VLOOKUP(L194, Работы!$A$3:$D$184, 4, 0), 0)</f>
        <v>0</v>
      </c>
      <c r="AA194" s="68">
        <f>P194*O194+Q194*T194+R194*T194+S194*T194+U194+V194+W194*Y194+X194*Y194+Z194</f>
        <v>735</v>
      </c>
      <c r="AB194" s="295"/>
      <c r="AC194" s="296"/>
      <c r="AD194" s="296"/>
      <c r="AE194" s="69">
        <f>AC194*AD194</f>
        <v>0</v>
      </c>
      <c r="AF194" s="71">
        <f>C194*Работы!$D$180</f>
        <v>0</v>
      </c>
      <c r="AG194" s="68">
        <f>AA194+AE194+AF194+AL194+AM194</f>
        <v>735</v>
      </c>
      <c r="AH194" s="72"/>
      <c r="AI194" s="73"/>
      <c r="AJ194" s="245">
        <f>AG194-AA194*AI194</f>
        <v>735</v>
      </c>
      <c r="AK194" s="251"/>
      <c r="AL194" s="302">
        <f>IF(OR(E194="да"), 4040, 0)</f>
        <v>0</v>
      </c>
      <c r="AM194" s="365">
        <f>IF(OR(D194="доп."), AA194*0.1, 0)</f>
        <v>0</v>
      </c>
      <c r="AN194" s="1287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  <c r="CP194" s="34"/>
      <c r="CQ194" s="34"/>
    </row>
    <row r="195" spans="1:95" s="46" customFormat="1" ht="102" x14ac:dyDescent="0.25">
      <c r="A195" s="241">
        <f>ROW(A195)-10</f>
        <v>185</v>
      </c>
      <c r="B195" s="335" t="s">
        <v>1990</v>
      </c>
      <c r="C195" s="241">
        <f>VLOOKUP(B195, Расстояния!B:J, 9, 0)</f>
        <v>68</v>
      </c>
      <c r="D195" s="242" t="str">
        <f>VLOOKUP(B195, Расстояния!B:K, 10, 0)</f>
        <v>осн.</v>
      </c>
      <c r="E195" s="242" t="str">
        <f>VLOOKUP(B195, Расстояния!B:F, 5, 0)</f>
        <v>нет</v>
      </c>
      <c r="F195" s="290" t="s">
        <v>4150</v>
      </c>
      <c r="G195" s="305">
        <v>46107.949305555558</v>
      </c>
      <c r="H195" s="345">
        <v>46107.986111111109</v>
      </c>
      <c r="I195" s="345">
        <v>46108.241666666669</v>
      </c>
      <c r="J195" s="331" t="s">
        <v>3883</v>
      </c>
      <c r="K195" s="306"/>
      <c r="L195" s="292" t="s">
        <v>367</v>
      </c>
      <c r="M195" s="241" t="str">
        <f>VLOOKUP(L195,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195" s="330" t="s">
        <v>3843</v>
      </c>
      <c r="O195" s="298"/>
      <c r="P195" s="248">
        <f>IF(OR(L195="3.3.1.", L195="3.3.2.", L195="3.3.3.", L195="3.1.1.", L195="3.1.2.", L195="3.4.1.", L195="3.4.2."), 0, VLOOKUP(L195, Работы!$A$3:$D$184, 4, 0))</f>
        <v>0</v>
      </c>
      <c r="Q195" s="243">
        <f>ROUNDUP((I195-H195)*24, 0)</f>
        <v>7</v>
      </c>
      <c r="R195" s="293"/>
      <c r="S195" s="293"/>
      <c r="T195" s="244">
        <f>IF(OR(L195="3.3.1.", L195="3.3.2.", L195="3.3.3."), VLOOKUP(L195, Работы!$A$3:$D$184, 4, 0), 0)</f>
        <v>903</v>
      </c>
      <c r="U195" s="246">
        <f>IF(OR(L195="3.1.1."), VLOOKUP(L195, Работы!$A$3:$D$184, 4, 0), 0)</f>
        <v>0</v>
      </c>
      <c r="V195" s="246">
        <f>IF(OR(L195="3.1.2."), VLOOKUP(L195, Работы!$A$3:$D$184, 4, 0), 0)</f>
        <v>0</v>
      </c>
      <c r="W195" s="294"/>
      <c r="X195" s="294"/>
      <c r="Y195" s="247">
        <f>IF(OR(L195="3.2.1.", L195="3.2.2."), VLOOKUP(L195, Работы!$A$3:$D$184, 4, 0), 0)</f>
        <v>0</v>
      </c>
      <c r="Z195" s="247">
        <f>IF(OR(L195="3.4.1.", L195="3.4.2."), VLOOKUP(L195, Работы!$A$3:$D$184, 4, 0), 0)</f>
        <v>0</v>
      </c>
      <c r="AA195" s="68">
        <f>P195*O195+Q195*T195+R195*T195+S195*T195+U195+V195+W195*Y195+X195*Y195+Z195</f>
        <v>6321</v>
      </c>
      <c r="AB195" s="295"/>
      <c r="AC195" s="296"/>
      <c r="AD195" s="296"/>
      <c r="AE195" s="69">
        <f>AC195*AD195</f>
        <v>0</v>
      </c>
      <c r="AF195" s="71">
        <f>C195*Работы!$D$180</f>
        <v>3659.08</v>
      </c>
      <c r="AG195" s="68">
        <f>AA195+AE195+AF195+AL195+AM195</f>
        <v>9980.08</v>
      </c>
      <c r="AH195" s="72"/>
      <c r="AI195" s="73"/>
      <c r="AJ195" s="245">
        <f>AG195-AA195*AI195</f>
        <v>9980.08</v>
      </c>
      <c r="AK195" s="251"/>
      <c r="AL195" s="302">
        <f>IF(OR(E195="да"), 4040, 0)</f>
        <v>0</v>
      </c>
      <c r="AM195" s="365">
        <f>IF(OR(D195="доп."), AA195*0.1, 0)</f>
        <v>0</v>
      </c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43"/>
      <c r="BW195" s="43"/>
      <c r="BX195" s="43"/>
      <c r="BY195" s="43"/>
      <c r="BZ195" s="43"/>
      <c r="CA195" s="43"/>
      <c r="CB195" s="43"/>
      <c r="CC195" s="43"/>
      <c r="CD195" s="43"/>
      <c r="CE195" s="43"/>
      <c r="CF195" s="43"/>
      <c r="CG195" s="43"/>
      <c r="CH195" s="43"/>
      <c r="CI195" s="43"/>
      <c r="CJ195" s="43"/>
      <c r="CK195" s="43"/>
      <c r="CL195" s="43"/>
      <c r="CM195" s="43"/>
      <c r="CN195" s="43"/>
      <c r="CO195" s="43"/>
      <c r="CP195" s="43"/>
      <c r="CQ195" s="43"/>
    </row>
    <row r="196" spans="1:95" s="46" customFormat="1" ht="51" x14ac:dyDescent="0.25">
      <c r="A196" s="241">
        <f>ROW(A196)-10</f>
        <v>186</v>
      </c>
      <c r="B196" s="335" t="s">
        <v>4107</v>
      </c>
      <c r="C196" s="241">
        <f>VLOOKUP(B196, Расстояния!B:J, 9, 0)</f>
        <v>126</v>
      </c>
      <c r="D196" s="242" t="str">
        <f>VLOOKUP(B196, Расстояния!B:K, 10, 0)</f>
        <v>осн.</v>
      </c>
      <c r="E196" s="242" t="str">
        <f>VLOOKUP(B196, Расстояния!B:F, 5, 0)</f>
        <v>нет</v>
      </c>
      <c r="F196" s="290" t="s">
        <v>4113</v>
      </c>
      <c r="G196" s="305">
        <v>46100.365277777775</v>
      </c>
      <c r="H196" s="305">
        <v>46101.425694444442</v>
      </c>
      <c r="I196" s="305">
        <v>46101.527777777781</v>
      </c>
      <c r="J196" s="306" t="s">
        <v>4043</v>
      </c>
      <c r="K196" s="306"/>
      <c r="L196" s="250" t="s">
        <v>321</v>
      </c>
      <c r="M196" s="241" t="str">
        <f>VLOOKUP(L196, Работы!A:B, 2, 0)</f>
        <v>Стоимость аварийно-восстановительных работ, заявка по которым получена в течение рабочего времени</v>
      </c>
      <c r="N196" s="346" t="s">
        <v>4248</v>
      </c>
      <c r="O196" s="298"/>
      <c r="P196" s="248">
        <f>IF(OR(L196="3.3.1.", L196="3.3.2.", L196="3.3.3.", L196="3.1.1.", L196="3.1.2.", L196="3.4.1.", L196="3.4.2."), 0, VLOOKUP(L196, Работы!$A$3:$D$184, 4, 0))</f>
        <v>0</v>
      </c>
      <c r="Q196" s="243"/>
      <c r="R196" s="293"/>
      <c r="S196" s="293"/>
      <c r="T196" s="244">
        <f>IF(OR(L196="3.3.1.", L196="3.3.2.", L196="3.3.3."), VLOOKUP(L196, Работы!$A$3:$D$184, 4, 0), 0)</f>
        <v>0</v>
      </c>
      <c r="U196" s="246">
        <f>IF(OR(L196="3.1.1."), VLOOKUP(L196, Работы!$A$3:$D$184, 4, 0), 0)</f>
        <v>3956</v>
      </c>
      <c r="V196" s="246">
        <f>IF(OR(L196="3.1.2."), VLOOKUP(L196, Работы!$A$3:$D$184, 4, 0), 0)</f>
        <v>0</v>
      </c>
      <c r="W196" s="294"/>
      <c r="X196" s="294"/>
      <c r="Y196" s="247">
        <f>IF(OR(L196="3.2.1.", L196="3.2.2."), VLOOKUP(L196, Работы!$A$3:$D$184, 4, 0), 0)</f>
        <v>0</v>
      </c>
      <c r="Z196" s="247">
        <f>IF(OR(L196="3.4.1.", L196="3.4.2."), VLOOKUP(L196, Работы!$A$3:$D$184, 4, 0), 0)</f>
        <v>0</v>
      </c>
      <c r="AA196" s="68">
        <f>P196*O196+Q196*T196+R196*T196+S196*T196+U196+V196+W196*Y196+X196*Y196+Z196</f>
        <v>3956</v>
      </c>
      <c r="AB196" s="295"/>
      <c r="AC196" s="296"/>
      <c r="AD196" s="296"/>
      <c r="AE196" s="69">
        <f>AC196*AD196</f>
        <v>0</v>
      </c>
      <c r="AF196" s="71">
        <f>C196*Работы!$D$180</f>
        <v>6780.06</v>
      </c>
      <c r="AG196" s="68">
        <f>AA196+AE196+AF196+AL196+AM196</f>
        <v>10736.060000000001</v>
      </c>
      <c r="AH196" s="72"/>
      <c r="AI196" s="73"/>
      <c r="AJ196" s="245">
        <f>AG196-AA196*AI196</f>
        <v>10736.060000000001</v>
      </c>
      <c r="AK196" s="251"/>
      <c r="AL196" s="302">
        <f>IF(OR(E196="да"), 4040, 0)</f>
        <v>0</v>
      </c>
      <c r="AM196" s="365">
        <f>IF(OR(D196="доп."), AA196*0.1, 0)</f>
        <v>0</v>
      </c>
      <c r="AN196" s="251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43"/>
      <c r="BW196" s="43"/>
      <c r="BX196" s="43"/>
      <c r="BY196" s="43"/>
      <c r="BZ196" s="43"/>
      <c r="CA196" s="43"/>
      <c r="CB196" s="43"/>
      <c r="CC196" s="43"/>
      <c r="CD196" s="43"/>
      <c r="CE196" s="43"/>
      <c r="CF196" s="43"/>
      <c r="CG196" s="43"/>
      <c r="CH196" s="43"/>
      <c r="CI196" s="43"/>
      <c r="CJ196" s="43"/>
      <c r="CK196" s="43"/>
      <c r="CL196" s="43"/>
      <c r="CM196" s="43"/>
      <c r="CN196" s="43"/>
      <c r="CO196" s="43"/>
      <c r="CP196" s="43"/>
      <c r="CQ196" s="43"/>
    </row>
    <row r="197" spans="1:95" s="46" customFormat="1" ht="63.75" x14ac:dyDescent="0.25">
      <c r="A197" s="241">
        <f>ROW(A197)-10</f>
        <v>187</v>
      </c>
      <c r="B197" s="335" t="s">
        <v>4068</v>
      </c>
      <c r="C197" s="241">
        <v>60</v>
      </c>
      <c r="D197" s="242" t="str">
        <f>VLOOKUP(B197, Расстояния!B:K, 10, 0)</f>
        <v>осн.</v>
      </c>
      <c r="E197" s="242" t="str">
        <f>VLOOKUP(B197, Расстояния!B:F, 5, 0)</f>
        <v>нет</v>
      </c>
      <c r="F197" s="290" t="s">
        <v>4190</v>
      </c>
      <c r="G197" s="305">
        <v>46106.126388888886</v>
      </c>
      <c r="H197" s="345">
        <v>46106.177083333336</v>
      </c>
      <c r="I197" s="345">
        <v>46106.177083333336</v>
      </c>
      <c r="J197" s="306" t="s">
        <v>4048</v>
      </c>
      <c r="K197" s="306"/>
      <c r="L197" s="250" t="s">
        <v>371</v>
      </c>
      <c r="M197" s="241" t="str">
        <f>VLOOKUP(L197, Работы!A:B, 2, 0)</f>
        <v>Стоимость отменённого вызова на Аварийно-восстановительные работы, заявка по которым получена во внерабочее время</v>
      </c>
      <c r="N197" s="346" t="s">
        <v>3882</v>
      </c>
      <c r="O197" s="298"/>
      <c r="P197" s="248">
        <f>IF(OR(L197="3.3.1.", L197="3.3.2.", L197="3.3.3.", L197="3.1.1.", L197="3.1.2.", L197="3.4.1.", L197="3.4.2."), 0, VLOOKUP(L197, Работы!$A$3:$D$184, 4, 0))</f>
        <v>0</v>
      </c>
      <c r="Q197" s="243"/>
      <c r="R197" s="293"/>
      <c r="S197" s="293"/>
      <c r="T197" s="244">
        <f>IF(OR(L197="3.3.1.", L197="3.3.2.", L197="3.3.3."), VLOOKUP(L197, Работы!$A$3:$D$184, 4, 0), 0)</f>
        <v>0</v>
      </c>
      <c r="U197" s="246">
        <f>IF(OR(L197="3.1.1."), VLOOKUP(L197, Работы!$A$3:$D$184, 4, 0), 0)</f>
        <v>0</v>
      </c>
      <c r="V197" s="246">
        <f>IF(OR(L197="3.1.2."), VLOOKUP(L197, Работы!$A$3:$D$184, 4, 0), 0)</f>
        <v>0</v>
      </c>
      <c r="W197" s="294"/>
      <c r="X197" s="294"/>
      <c r="Y197" s="247">
        <f>IF(OR(L197="3.2.1.", L197="3.2.2."), VLOOKUP(L197, Работы!$A$3:$D$184, 4, 0), 0)</f>
        <v>0</v>
      </c>
      <c r="Z197" s="247">
        <f>IF(OR(L197="3.4.1.", L197="3.4.2."), VLOOKUP(L197, Работы!$A$3:$D$184, 4, 0), 0)</f>
        <v>1731</v>
      </c>
      <c r="AA197" s="68">
        <f>P197*O197+Q197*T197+R197*T197+S197*T197+U197+V197+W197*Y197+X197*Y197+Z197</f>
        <v>1731</v>
      </c>
      <c r="AB197" s="295"/>
      <c r="AC197" s="296"/>
      <c r="AD197" s="296"/>
      <c r="AE197" s="69">
        <f>AC197*AD197</f>
        <v>0</v>
      </c>
      <c r="AF197" s="71">
        <f>C197*Работы!$D$180</f>
        <v>3228.6000000000004</v>
      </c>
      <c r="AG197" s="68">
        <f>AA197+AE197+AF197+AL197+AM197</f>
        <v>4959.6000000000004</v>
      </c>
      <c r="AH197" s="72"/>
      <c r="AI197" s="73"/>
      <c r="AJ197" s="245">
        <f>AG197-AA197*AI197</f>
        <v>4959.6000000000004</v>
      </c>
      <c r="AK197" s="301"/>
      <c r="AL197" s="302">
        <f>IF(OR(E197="да"), 4040, 0)</f>
        <v>0</v>
      </c>
      <c r="AM197" s="365">
        <f>IF(OR(D197="доп."), AA197*0.1, 0)</f>
        <v>0</v>
      </c>
      <c r="AN197" s="1287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  <c r="CO197" s="34"/>
      <c r="CP197" s="34"/>
      <c r="CQ197" s="34"/>
    </row>
    <row r="198" spans="1:95" s="46" customFormat="1" ht="140.25" x14ac:dyDescent="0.25">
      <c r="A198" s="241">
        <f>ROW(A198)-10</f>
        <v>188</v>
      </c>
      <c r="B198" s="335" t="s">
        <v>4086</v>
      </c>
      <c r="C198" s="241">
        <v>8</v>
      </c>
      <c r="D198" s="242" t="str">
        <f>VLOOKUP(B198, Расстояния!B:K, 10, 0)</f>
        <v>осн.</v>
      </c>
      <c r="E198" s="242" t="str">
        <f>VLOOKUP(B198, Расстояния!B:F, 5, 0)</f>
        <v>нет</v>
      </c>
      <c r="F198" s="290" t="s">
        <v>4094</v>
      </c>
      <c r="G198" s="305">
        <v>46104.65902777778</v>
      </c>
      <c r="H198" s="345">
        <v>46106.433333333334</v>
      </c>
      <c r="I198" s="345">
        <v>46106.541666666664</v>
      </c>
      <c r="J198" s="354" t="s">
        <v>4046</v>
      </c>
      <c r="K198" s="306"/>
      <c r="L198" s="292" t="s">
        <v>208</v>
      </c>
      <c r="M198" s="241" t="str">
        <f>VLOOKUP(L198, Работы!A:B, 2, 0)</f>
        <v>Работы по осмотру и проверке работоспособности нового Объекта. Оплата Работ по Драйв-тесту, выполняемых в ходе осмотра и проверки работоспособности нового Объекта, осуществляется отдельно в соответствии с условиями пункта 9 настоящего Приложения №10.3</v>
      </c>
      <c r="N198" s="330" t="s">
        <v>4248</v>
      </c>
      <c r="O198" s="298">
        <v>1</v>
      </c>
      <c r="P198" s="248">
        <f>IF(OR(L198="3.3.1.", L198="3.3.2.", L198="3.3.3.", L198="3.1.1.", L198="3.1.2.", L198="3.4.1.", L198="3.4.2."), 0, VLOOKUP(L198, Работы!$A$3:$D$184, 4, 0))</f>
        <v>3221</v>
      </c>
      <c r="Q198" s="243"/>
      <c r="R198" s="293"/>
      <c r="S198" s="293"/>
      <c r="T198" s="244">
        <f>IF(OR(L198="3.3.1.", L198="3.3.2.", L198="3.3.3."), VLOOKUP(L198, Работы!$A$3:$D$184, 4, 0), 0)</f>
        <v>0</v>
      </c>
      <c r="U198" s="246">
        <f>IF(OR(L198="3.1.1."), VLOOKUP(L198, Работы!$A$3:$D$184, 4, 0), 0)</f>
        <v>0</v>
      </c>
      <c r="V198" s="246">
        <f>IF(OR(L198="3.1.2."), VLOOKUP(L198, Работы!$A$3:$D$184, 4, 0), 0)</f>
        <v>0</v>
      </c>
      <c r="W198" s="294"/>
      <c r="X198" s="294"/>
      <c r="Y198" s="247">
        <f>IF(OR(L198="3.2.1.", L198="3.2.2."), VLOOKUP(L198, Работы!$A$3:$D$184, 4, 0), 0)</f>
        <v>0</v>
      </c>
      <c r="Z198" s="247">
        <f>IF(OR(L198="3.4.1.", L198="3.4.2."), VLOOKUP(L198, Работы!$A$3:$D$184, 4, 0), 0)</f>
        <v>0</v>
      </c>
      <c r="AA198" s="68">
        <f>P198*O198+Q198*T198+R198*T198+S198*T198+U198+V198+W198*Y198+X198*Y198+Z198</f>
        <v>3221</v>
      </c>
      <c r="AB198" s="295"/>
      <c r="AC198" s="296"/>
      <c r="AD198" s="296"/>
      <c r="AE198" s="69">
        <f>AC198*AD198</f>
        <v>0</v>
      </c>
      <c r="AF198" s="71">
        <f>C198*Работы!$D$180</f>
        <v>430.48</v>
      </c>
      <c r="AG198" s="68">
        <f>AA198+AE198+AF198+AL198+AM198</f>
        <v>3651.48</v>
      </c>
      <c r="AH198" s="72"/>
      <c r="AI198" s="73"/>
      <c r="AJ198" s="245">
        <f>AG198-AA198*AI198</f>
        <v>3651.48</v>
      </c>
      <c r="AK198" s="301"/>
      <c r="AL198" s="302">
        <f>IF(OR(E198="да"), 4040, 0)</f>
        <v>0</v>
      </c>
      <c r="AM198" s="365">
        <f>IF(OR(D198="доп."), AA198*0.1, 0)</f>
        <v>0</v>
      </c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  <c r="CO198" s="34"/>
      <c r="CP198" s="34"/>
      <c r="CQ198" s="34"/>
    </row>
    <row r="199" spans="1:95" s="46" customFormat="1" ht="114.75" x14ac:dyDescent="0.25">
      <c r="A199" s="241">
        <f>ROW(A199)-10</f>
        <v>189</v>
      </c>
      <c r="B199" s="335" t="s">
        <v>4086</v>
      </c>
      <c r="C199" s="241">
        <v>0</v>
      </c>
      <c r="D199" s="242" t="str">
        <f>VLOOKUP(B199, Расстояния!B:K, 10, 0)</f>
        <v>осн.</v>
      </c>
      <c r="E199" s="242" t="str">
        <f>VLOOKUP(B199, Расстояния!B:F, 5, 0)</f>
        <v>нет</v>
      </c>
      <c r="F199" s="290" t="s">
        <v>4095</v>
      </c>
      <c r="G199" s="305">
        <v>46106.439583333333</v>
      </c>
      <c r="H199" s="345">
        <v>46106.433333333334</v>
      </c>
      <c r="I199" s="345">
        <v>46106.541666666664</v>
      </c>
      <c r="J199" s="354" t="s">
        <v>4046</v>
      </c>
      <c r="K199" s="306"/>
      <c r="L199" s="292" t="s">
        <v>198</v>
      </c>
      <c r="M199" s="241" t="str">
        <f>VLOOKUP(L199, Работы!A:B, 2, 0)</f>
        <v>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</v>
      </c>
      <c r="N199" s="346" t="s">
        <v>4245</v>
      </c>
      <c r="O199" s="298">
        <v>1</v>
      </c>
      <c r="P199" s="248">
        <f>IF(OR(L199="3.3.1.", L199="3.3.2.", L199="3.3.3.", L199="3.1.1.", L199="3.1.2.", L199="3.4.1.", L199="3.4.2."), 0, VLOOKUP(L199, Работы!$A$3:$D$184, 4, 0))</f>
        <v>735</v>
      </c>
      <c r="Q199" s="243"/>
      <c r="R199" s="293"/>
      <c r="S199" s="293"/>
      <c r="T199" s="244">
        <f>IF(OR(L199="3.3.1.", L199="3.3.2.", L199="3.3.3."), VLOOKUP(L199, Работы!$A$3:$D$184, 4, 0), 0)</f>
        <v>0</v>
      </c>
      <c r="U199" s="246">
        <f>IF(OR(L199="3.1.1."), VLOOKUP(L199, Работы!$A$3:$D$184, 4, 0), 0)</f>
        <v>0</v>
      </c>
      <c r="V199" s="246">
        <f>IF(OR(L199="3.1.2."), VLOOKUP(L199, Работы!$A$3:$D$184, 4, 0), 0)</f>
        <v>0</v>
      </c>
      <c r="W199" s="294"/>
      <c r="X199" s="294"/>
      <c r="Y199" s="247">
        <f>IF(OR(L199="3.2.1.", L199="3.2.2."), VLOOKUP(L199, Работы!$A$3:$D$184, 4, 0), 0)</f>
        <v>0</v>
      </c>
      <c r="Z199" s="247">
        <f>IF(OR(L199="3.4.1.", L199="3.4.2."), VLOOKUP(L199, Работы!$A$3:$D$184, 4, 0), 0)</f>
        <v>0</v>
      </c>
      <c r="AA199" s="68">
        <f>P199*O199+Q199*T199+R199*T199+S199*T199+U199+V199+W199*Y199+X199*Y199+Z199</f>
        <v>735</v>
      </c>
      <c r="AB199" s="295"/>
      <c r="AC199" s="296"/>
      <c r="AD199" s="296"/>
      <c r="AE199" s="69">
        <f>AC199*AD199</f>
        <v>0</v>
      </c>
      <c r="AF199" s="71">
        <f>C199*Работы!$D$180</f>
        <v>0</v>
      </c>
      <c r="AG199" s="68">
        <f>AA199+AE199+AF199+AL199+AM199</f>
        <v>735</v>
      </c>
      <c r="AH199" s="72"/>
      <c r="AI199" s="73"/>
      <c r="AJ199" s="245">
        <f>AG199-AA199*AI199</f>
        <v>735</v>
      </c>
      <c r="AK199" s="301"/>
      <c r="AL199" s="302">
        <f>IF(OR(E199="да"), 4040, 0)</f>
        <v>0</v>
      </c>
      <c r="AM199" s="365">
        <f>IF(OR(D199="доп."), AA199*0.1, 0)</f>
        <v>0</v>
      </c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  <c r="CO199" s="34"/>
      <c r="CP199" s="34"/>
      <c r="CQ199" s="34"/>
    </row>
    <row r="200" spans="1:95" s="46" customFormat="1" ht="38.25" x14ac:dyDescent="0.25">
      <c r="A200" s="241">
        <f>ROW(A200)-10</f>
        <v>190</v>
      </c>
      <c r="B200" s="335" t="s">
        <v>4086</v>
      </c>
      <c r="C200" s="241">
        <v>0</v>
      </c>
      <c r="D200" s="242" t="str">
        <f>VLOOKUP(B200, Расстояния!B:K, 10, 0)</f>
        <v>осн.</v>
      </c>
      <c r="E200" s="242" t="str">
        <f>VLOOKUP(B200, Расстояния!B:F, 5, 0)</f>
        <v>нет</v>
      </c>
      <c r="F200" s="290" t="s">
        <v>4096</v>
      </c>
      <c r="G200" s="305">
        <v>46106.477777777778</v>
      </c>
      <c r="H200" s="345">
        <v>46106.433333333334</v>
      </c>
      <c r="I200" s="345">
        <v>46106.541666666664</v>
      </c>
      <c r="J200" s="354" t="s">
        <v>4046</v>
      </c>
      <c r="K200" s="306"/>
      <c r="L200" s="292" t="s">
        <v>280</v>
      </c>
      <c r="M200" s="241" t="str">
        <f>VLOOKUP(L200, Работы!A:B, 2, 0)</f>
        <v>Настройка, прописка ИБП, включая подключение и тестирование внешних аварий</v>
      </c>
      <c r="N200" s="346" t="s">
        <v>4238</v>
      </c>
      <c r="O200" s="298">
        <v>1</v>
      </c>
      <c r="P200" s="248">
        <f>IF(OR(L200="3.3.1.", L200="3.3.2.", L200="3.3.3.", L200="3.1.1.", L200="3.1.2.", L200="3.4.1.", L200="3.4.2."), 0, VLOOKUP(L200, Работы!$A$3:$D$184, 4, 0))</f>
        <v>735</v>
      </c>
      <c r="Q200" s="243"/>
      <c r="R200" s="293"/>
      <c r="S200" s="293"/>
      <c r="T200" s="244">
        <f>IF(OR(L200="3.3.1.", L200="3.3.2.", L200="3.3.3."), VLOOKUP(L200, Работы!$A$3:$D$184, 4, 0), 0)</f>
        <v>0</v>
      </c>
      <c r="U200" s="246">
        <f>IF(OR(L200="3.1.1."), VLOOKUP(L200, Работы!$A$3:$D$184, 4, 0), 0)</f>
        <v>0</v>
      </c>
      <c r="V200" s="246">
        <f>IF(OR(L200="3.1.2."), VLOOKUP(L200, Работы!$A$3:$D$184, 4, 0), 0)</f>
        <v>0</v>
      </c>
      <c r="W200" s="294"/>
      <c r="X200" s="294"/>
      <c r="Y200" s="247">
        <f>IF(OR(L200="3.2.1.", L200="3.2.2."), VLOOKUP(L200, Работы!$A$3:$D$184, 4, 0), 0)</f>
        <v>0</v>
      </c>
      <c r="Z200" s="247">
        <f>IF(OR(L200="3.4.1.", L200="3.4.2."), VLOOKUP(L200, Работы!$A$3:$D$184, 4, 0), 0)</f>
        <v>0</v>
      </c>
      <c r="AA200" s="68">
        <f>P200*O200+Q200*T200+R200*T200+S200*T200+U200+V200+W200*Y200+X200*Y200+Z200</f>
        <v>735</v>
      </c>
      <c r="AB200" s="295"/>
      <c r="AC200" s="296"/>
      <c r="AD200" s="296"/>
      <c r="AE200" s="69">
        <f>AC200*AD200</f>
        <v>0</v>
      </c>
      <c r="AF200" s="71">
        <f>C200*Работы!$D$180</f>
        <v>0</v>
      </c>
      <c r="AG200" s="68">
        <f>AA200+AE200+AF200+AL200+AM200</f>
        <v>735</v>
      </c>
      <c r="AH200" s="72"/>
      <c r="AI200" s="73"/>
      <c r="AJ200" s="245">
        <f>AG200-AA200*AI200</f>
        <v>735</v>
      </c>
      <c r="AK200" s="301"/>
      <c r="AL200" s="302">
        <f>IF(OR(E200="да"), 4040, 0)</f>
        <v>0</v>
      </c>
      <c r="AM200" s="365">
        <f>IF(OR(D200="доп."), AA200*0.1, 0)</f>
        <v>0</v>
      </c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  <c r="CO200" s="34"/>
      <c r="CP200" s="34"/>
      <c r="CQ200" s="34"/>
    </row>
    <row r="201" spans="1:95" s="46" customFormat="1" ht="76.5" x14ac:dyDescent="0.25">
      <c r="A201" s="241">
        <f>ROW(A201)-10</f>
        <v>191</v>
      </c>
      <c r="B201" s="335" t="s">
        <v>4059</v>
      </c>
      <c r="C201" s="241">
        <f>VLOOKUP(B201, Расстояния!B:J, 9, 0)</f>
        <v>34</v>
      </c>
      <c r="D201" s="242" t="str">
        <f>VLOOKUP(B201, Расстояния!B:K, 10, 0)</f>
        <v>осн.</v>
      </c>
      <c r="E201" s="242" t="str">
        <f>VLOOKUP(B201, Расстояния!B:F, 5, 0)</f>
        <v>нет</v>
      </c>
      <c r="F201" s="290" t="s">
        <v>4105</v>
      </c>
      <c r="G201" s="305">
        <v>46110.824305555558</v>
      </c>
      <c r="H201" s="345">
        <v>46110.863194444442</v>
      </c>
      <c r="I201" s="345">
        <v>46110.989583333336</v>
      </c>
      <c r="J201" s="354" t="s">
        <v>4046</v>
      </c>
      <c r="K201" s="306"/>
      <c r="L201" s="250" t="s">
        <v>332</v>
      </c>
      <c r="M201" s="241" t="str">
        <f>VLOOKUP(L201, Работы!A:B, 2, 0)</f>
        <v>Стоимость аварийно-восстановительных работ, заявка по которым получена во внерабочее время</v>
      </c>
      <c r="N201" s="330" t="s">
        <v>4252</v>
      </c>
      <c r="O201" s="298"/>
      <c r="P201" s="248">
        <f>IF(OR(L201="3.3.1.", L201="3.3.2.", L201="3.3.3.", L201="3.1.1.", L201="3.1.2.", L201="3.4.1.", L201="3.4.2."), 0, VLOOKUP(L201, Работы!$A$3:$D$184, 4, 0))</f>
        <v>0</v>
      </c>
      <c r="Q201" s="243"/>
      <c r="R201" s="293"/>
      <c r="S201" s="293"/>
      <c r="T201" s="244">
        <f>IF(OR(L201="3.3.1.", L201="3.3.2.", L201="3.3.3."), VLOOKUP(L201, Работы!$A$3:$D$184, 4, 0), 0)</f>
        <v>0</v>
      </c>
      <c r="U201" s="246">
        <f>IF(OR(L201="3.1.1."), VLOOKUP(L201, Работы!$A$3:$D$184, 4, 0), 0)</f>
        <v>0</v>
      </c>
      <c r="V201" s="246">
        <f>IF(OR(L201="3.1.2."), VLOOKUP(L201, Работы!$A$3:$D$184, 4, 0), 0)</f>
        <v>7187</v>
      </c>
      <c r="W201" s="294"/>
      <c r="X201" s="294"/>
      <c r="Y201" s="247">
        <f>IF(OR(L201="3.2.1.", L201="3.2.2."), VLOOKUP(L201, Работы!$A$3:$D$184, 4, 0), 0)</f>
        <v>0</v>
      </c>
      <c r="Z201" s="247">
        <f>IF(OR(L201="3.4.1.", L201="3.4.2."), VLOOKUP(L201, Работы!$A$3:$D$184, 4, 0), 0)</f>
        <v>0</v>
      </c>
      <c r="AA201" s="68">
        <f>P201*O201+Q201*T201+R201*T201+S201*T201+U201+V201+W201*Y201+X201*Y201+Z201</f>
        <v>7187</v>
      </c>
      <c r="AB201" s="295"/>
      <c r="AC201" s="296"/>
      <c r="AD201" s="296"/>
      <c r="AE201" s="69">
        <f>AC201*AD201</f>
        <v>0</v>
      </c>
      <c r="AF201" s="71">
        <f>C201*Работы!$D$180</f>
        <v>1829.54</v>
      </c>
      <c r="AG201" s="68">
        <f>AA201+AE201+AF201+AL201+AM201</f>
        <v>9016.5400000000009</v>
      </c>
      <c r="AH201" s="72"/>
      <c r="AI201" s="73"/>
      <c r="AJ201" s="245">
        <f>AG201-AA201*AI201</f>
        <v>9016.5400000000009</v>
      </c>
      <c r="AK201" s="251"/>
      <c r="AL201" s="302">
        <f>IF(OR(E201="да"), 4040, 0)</f>
        <v>0</v>
      </c>
      <c r="AM201" s="365">
        <f>IF(OR(D201="доп."), AA201*0.1, 0)</f>
        <v>0</v>
      </c>
      <c r="AO201" s="34"/>
      <c r="AP201" s="34"/>
      <c r="AQ201" s="34"/>
      <c r="AR201" s="34"/>
      <c r="AS201" s="34"/>
    </row>
    <row r="202" spans="1:95" s="46" customFormat="1" ht="25.5" x14ac:dyDescent="0.25">
      <c r="A202" s="241">
        <f>ROW(A202)-10</f>
        <v>192</v>
      </c>
      <c r="B202" s="335" t="s">
        <v>4059</v>
      </c>
      <c r="C202" s="241">
        <v>0</v>
      </c>
      <c r="D202" s="242" t="str">
        <f>VLOOKUP(B202, Расстояния!B:K, 10, 0)</f>
        <v>осн.</v>
      </c>
      <c r="E202" s="242" t="str">
        <f>VLOOKUP(B202, Расстояния!B:F, 5, 0)</f>
        <v>нет</v>
      </c>
      <c r="F202" s="290" t="s">
        <v>4106</v>
      </c>
      <c r="G202" s="305">
        <v>46110.945833333331</v>
      </c>
      <c r="H202" s="305">
        <v>46110.945833333331</v>
      </c>
      <c r="I202" s="345">
        <v>46110.989583333336</v>
      </c>
      <c r="J202" s="354" t="s">
        <v>4046</v>
      </c>
      <c r="K202" s="306"/>
      <c r="L202" s="292" t="s">
        <v>243</v>
      </c>
      <c r="M202" s="241" t="str">
        <f>VLOOKUP(L202, Работы!A:B, 2, 0)</f>
        <v>Замена одной аккумуляторной батареи в группе</v>
      </c>
      <c r="N202" s="330" t="s">
        <v>4244</v>
      </c>
      <c r="O202" s="298">
        <v>2</v>
      </c>
      <c r="P202" s="248">
        <f>IF(OR(L202="3.3.1.", L202="3.3.2.", L202="3.3.3.", L202="3.1.1.", L202="3.1.2.", L202="3.4.1.", L202="3.4.2."), 0, VLOOKUP(L202, Работы!$A$3:$D$184, 4, 0))</f>
        <v>1843</v>
      </c>
      <c r="Q202" s="243"/>
      <c r="R202" s="293"/>
      <c r="S202" s="293"/>
      <c r="T202" s="244">
        <f>IF(OR(L202="3.3.1.", L202="3.3.2.", L202="3.3.3."), VLOOKUP(L202, Работы!$A$3:$D$184, 4, 0), 0)</f>
        <v>0</v>
      </c>
      <c r="U202" s="246">
        <f>IF(OR(L202="3.1.1."), VLOOKUP(L202, Работы!$A$3:$D$184, 4, 0), 0)</f>
        <v>0</v>
      </c>
      <c r="V202" s="246">
        <f>IF(OR(L202="3.1.2."), VLOOKUP(L202, Работы!$A$3:$D$184, 4, 0), 0)</f>
        <v>0</v>
      </c>
      <c r="W202" s="294"/>
      <c r="X202" s="294"/>
      <c r="Y202" s="247">
        <f>IF(OR(L202="3.2.1.", L202="3.2.2."), VLOOKUP(L202, Работы!$A$3:$D$184, 4, 0), 0)</f>
        <v>0</v>
      </c>
      <c r="Z202" s="247">
        <f>IF(OR(L202="3.4.1.", L202="3.4.2."), VLOOKUP(L202, Работы!$A$3:$D$184, 4, 0), 0)</f>
        <v>0</v>
      </c>
      <c r="AA202" s="68">
        <f>P202*O202+Q202*T202+R202*T202+S202*T202+U202+V202+W202*Y202+X202*Y202+Z202</f>
        <v>3686</v>
      </c>
      <c r="AB202" s="295"/>
      <c r="AC202" s="296"/>
      <c r="AD202" s="296"/>
      <c r="AE202" s="69">
        <f>AC202*AD202</f>
        <v>0</v>
      </c>
      <c r="AF202" s="71">
        <f>C202*Работы!$D$180</f>
        <v>0</v>
      </c>
      <c r="AG202" s="68">
        <f>AA202+AE202+AF202+AL202+AM202</f>
        <v>3686</v>
      </c>
      <c r="AH202" s="72"/>
      <c r="AI202" s="73"/>
      <c r="AJ202" s="245">
        <f>AG202-AA202*AI202</f>
        <v>3686</v>
      </c>
      <c r="AK202" s="251"/>
      <c r="AL202" s="302">
        <f>IF(OR(E202="да"), 4040, 0)</f>
        <v>0</v>
      </c>
      <c r="AM202" s="365">
        <f>IF(OR(D202="доп."), AA202*0.1, 0)</f>
        <v>0</v>
      </c>
      <c r="AO202" s="34"/>
      <c r="AP202" s="34"/>
      <c r="AQ202" s="34"/>
      <c r="AR202" s="34"/>
      <c r="AS202" s="34"/>
    </row>
    <row r="203" spans="1:95" s="46" customFormat="1" ht="114.75" x14ac:dyDescent="0.25">
      <c r="A203" s="241">
        <f>ROW(A203)-10</f>
        <v>193</v>
      </c>
      <c r="B203" s="335" t="s">
        <v>4059</v>
      </c>
      <c r="C203" s="241">
        <v>0</v>
      </c>
      <c r="D203" s="242" t="str">
        <f>VLOOKUP(B203, Расстояния!B:K, 10, 0)</f>
        <v>осн.</v>
      </c>
      <c r="E203" s="242" t="str">
        <f>VLOOKUP(B203, Расстояния!B:F, 5, 0)</f>
        <v>нет</v>
      </c>
      <c r="F203" s="290" t="s">
        <v>4106</v>
      </c>
      <c r="G203" s="305">
        <v>46110.945833333331</v>
      </c>
      <c r="H203" s="305">
        <v>46110.945833333331</v>
      </c>
      <c r="I203" s="345">
        <v>46110.989583333336</v>
      </c>
      <c r="J203" s="357" t="s">
        <v>4046</v>
      </c>
      <c r="K203" s="332"/>
      <c r="L203" s="292" t="s">
        <v>198</v>
      </c>
      <c r="M203" s="241" t="str">
        <f>VLOOKUP(L203, Работы!A:B, 2, 0)</f>
        <v>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</v>
      </c>
      <c r="N203" s="330" t="s">
        <v>4245</v>
      </c>
      <c r="O203" s="298">
        <v>1</v>
      </c>
      <c r="P203" s="248">
        <f>IF(OR(L203="3.3.1.", L203="3.3.2.", L203="3.3.3.", L203="3.1.1.", L203="3.1.2.", L203="3.4.1.", L203="3.4.2."), 0, VLOOKUP(L203, Работы!$A$3:$D$184, 4, 0))</f>
        <v>735</v>
      </c>
      <c r="Q203" s="243"/>
      <c r="R203" s="293"/>
      <c r="S203" s="293"/>
      <c r="T203" s="244">
        <f>IF(OR(L203="3.3.1.", L203="3.3.2.", L203="3.3.3."), VLOOKUP(L203, Работы!$A$3:$D$184, 4, 0), 0)</f>
        <v>0</v>
      </c>
      <c r="U203" s="246">
        <f>IF(OR(L203="3.1.1."), VLOOKUP(L203, Работы!$A$3:$D$184, 4, 0), 0)</f>
        <v>0</v>
      </c>
      <c r="V203" s="246">
        <f>IF(OR(L203="3.1.2."), VLOOKUP(L203, Работы!$A$3:$D$184, 4, 0), 0)</f>
        <v>0</v>
      </c>
      <c r="W203" s="294"/>
      <c r="X203" s="294"/>
      <c r="Y203" s="247">
        <f>IF(OR(L203="3.2.1.", L203="3.2.2."), VLOOKUP(L203, Работы!$A$3:$D$184, 4, 0), 0)</f>
        <v>0</v>
      </c>
      <c r="Z203" s="247">
        <f>IF(OR(L203="3.4.1.", L203="3.4.2."), VLOOKUP(L203, Работы!$A$3:$D$184, 4, 0), 0)</f>
        <v>0</v>
      </c>
      <c r="AA203" s="68">
        <f>P203*O203+Q203*T203+R203*T203+S203*T203+U203+V203+W203*Y203+X203*Y203+Z203</f>
        <v>735</v>
      </c>
      <c r="AB203" s="295"/>
      <c r="AC203" s="296"/>
      <c r="AD203" s="296"/>
      <c r="AE203" s="69">
        <f>AC203*AD203</f>
        <v>0</v>
      </c>
      <c r="AF203" s="71">
        <f>C203*Работы!$D$180</f>
        <v>0</v>
      </c>
      <c r="AG203" s="68">
        <f>AA203+AE203+AF203+AL203+AM203</f>
        <v>735</v>
      </c>
      <c r="AH203" s="72"/>
      <c r="AI203" s="73"/>
      <c r="AJ203" s="245">
        <f>AG203-AA203*AI203</f>
        <v>735</v>
      </c>
      <c r="AK203" s="251"/>
      <c r="AL203" s="302">
        <f>IF(OR(E203="да"), 4040, 0)</f>
        <v>0</v>
      </c>
      <c r="AM203" s="365">
        <f>IF(OR(D203="доп."), AA203*0.1, 0)</f>
        <v>0</v>
      </c>
      <c r="AN203" s="370"/>
      <c r="AO203" s="34"/>
      <c r="AP203" s="34"/>
      <c r="AQ203" s="34"/>
      <c r="AR203" s="34"/>
      <c r="AS203" s="34"/>
    </row>
    <row r="204" spans="1:95" s="46" customFormat="1" ht="51" x14ac:dyDescent="0.25">
      <c r="A204" s="241">
        <f>ROW(A204)-10</f>
        <v>194</v>
      </c>
      <c r="B204" s="335" t="s">
        <v>4032</v>
      </c>
      <c r="C204" s="241">
        <v>62</v>
      </c>
      <c r="D204" s="242" t="str">
        <f>VLOOKUP(B204, Расстояния!B:K, 10, 0)</f>
        <v>осн.</v>
      </c>
      <c r="E204" s="242" t="str">
        <f>VLOOKUP(B204, Расстояния!B:F, 5, 0)</f>
        <v>нет</v>
      </c>
      <c r="F204" s="290" t="s">
        <v>4073</v>
      </c>
      <c r="G204" s="305">
        <v>46098.362500000003</v>
      </c>
      <c r="H204" s="345">
        <v>46098.440972222219</v>
      </c>
      <c r="I204" s="345">
        <v>46098.461805555555</v>
      </c>
      <c r="J204" s="354" t="s">
        <v>4046</v>
      </c>
      <c r="K204" s="306"/>
      <c r="L204" s="250" t="s">
        <v>321</v>
      </c>
      <c r="M204" s="241" t="str">
        <f>VLOOKUP(L204, Работы!A:B, 2, 0)</f>
        <v>Стоимость аварийно-восстановительных работ, заявка по которым получена в течение рабочего времени</v>
      </c>
      <c r="N204" s="346" t="s">
        <v>4237</v>
      </c>
      <c r="O204" s="298"/>
      <c r="P204" s="248">
        <f>IF(OR(L204="3.3.1.", L204="3.3.2.", L204="3.3.3.", L204="3.1.1.", L204="3.1.2.", L204="3.4.1.", L204="3.4.2."), 0, VLOOKUP(L204, Работы!$A$3:$D$184, 4, 0))</f>
        <v>0</v>
      </c>
      <c r="Q204" s="243"/>
      <c r="R204" s="293"/>
      <c r="S204" s="293"/>
      <c r="T204" s="244">
        <f>IF(OR(L204="3.3.1.", L204="3.3.2.", L204="3.3.3."), VLOOKUP(L204, Работы!$A$3:$D$184, 4, 0), 0)</f>
        <v>0</v>
      </c>
      <c r="U204" s="246">
        <f>IF(OR(L204="3.1.1."), VLOOKUP(L204, Работы!$A$3:$D$184, 4, 0), 0)</f>
        <v>3956</v>
      </c>
      <c r="V204" s="246">
        <f>IF(OR(L204="3.1.2."), VLOOKUP(L204, Работы!$A$3:$D$184, 4, 0), 0)</f>
        <v>0</v>
      </c>
      <c r="W204" s="294"/>
      <c r="X204" s="294"/>
      <c r="Y204" s="247">
        <f>IF(OR(L204="3.2.1.", L204="3.2.2."), VLOOKUP(L204, Работы!$A$3:$D$184, 4, 0), 0)</f>
        <v>0</v>
      </c>
      <c r="Z204" s="247">
        <f>IF(OR(L204="3.4.1.", L204="3.4.2."), VLOOKUP(L204, Работы!$A$3:$D$184, 4, 0), 0)</f>
        <v>0</v>
      </c>
      <c r="AA204" s="68">
        <f>P204*O204+Q204*T204+R204*T204+S204*T204+U204+V204+W204*Y204+X204*Y204+Z204</f>
        <v>3956</v>
      </c>
      <c r="AB204" s="295"/>
      <c r="AC204" s="296"/>
      <c r="AD204" s="296"/>
      <c r="AE204" s="69">
        <f>AC204*AD204</f>
        <v>0</v>
      </c>
      <c r="AF204" s="71">
        <f>C204*Работы!$D$180</f>
        <v>3336.2200000000003</v>
      </c>
      <c r="AG204" s="68">
        <f>AA204+AE204+AF204+AL204+AM204</f>
        <v>7292.22</v>
      </c>
      <c r="AH204" s="72"/>
      <c r="AI204" s="73"/>
      <c r="AJ204" s="245">
        <f>AG204-AA204*AI204</f>
        <v>7292.22</v>
      </c>
      <c r="AK204" s="251"/>
      <c r="AL204" s="302">
        <f>IF(OR(E204="да"), 4040, 0)</f>
        <v>0</v>
      </c>
      <c r="AM204" s="365">
        <f>IF(OR(D204="доп."), AA204*0.1, 0)</f>
        <v>0</v>
      </c>
      <c r="AN204" s="34"/>
      <c r="AO204" s="34"/>
      <c r="AP204" s="34"/>
      <c r="AQ204" s="34"/>
      <c r="AR204" s="34"/>
      <c r="AS204" s="34"/>
      <c r="AT204" s="370"/>
      <c r="AU204" s="370"/>
      <c r="AV204" s="370"/>
      <c r="AW204" s="370"/>
      <c r="AX204" s="370"/>
      <c r="AY204" s="370"/>
      <c r="AZ204" s="370"/>
      <c r="BA204" s="370"/>
      <c r="BB204" s="370"/>
      <c r="BC204" s="370"/>
      <c r="BD204" s="370"/>
      <c r="BE204" s="370"/>
      <c r="BF204" s="370"/>
      <c r="BG204" s="370"/>
      <c r="BH204" s="370"/>
      <c r="BI204" s="370"/>
      <c r="BJ204" s="370"/>
      <c r="BK204" s="370"/>
      <c r="BL204" s="370"/>
      <c r="BM204" s="370"/>
      <c r="BN204" s="370"/>
      <c r="BO204" s="370"/>
      <c r="BP204" s="370"/>
      <c r="BQ204" s="370"/>
      <c r="BR204" s="370"/>
      <c r="BS204" s="370"/>
      <c r="BT204" s="370"/>
      <c r="BU204" s="370"/>
      <c r="BV204" s="370"/>
      <c r="BW204" s="370"/>
      <c r="BX204" s="370"/>
      <c r="BY204" s="370"/>
      <c r="BZ204" s="370"/>
      <c r="CA204" s="370"/>
      <c r="CB204" s="370"/>
      <c r="CC204" s="370"/>
      <c r="CD204" s="370"/>
      <c r="CE204" s="370"/>
      <c r="CF204" s="370"/>
      <c r="CG204" s="370"/>
      <c r="CH204" s="370"/>
      <c r="CI204" s="370"/>
      <c r="CJ204" s="370"/>
      <c r="CK204" s="370"/>
      <c r="CL204" s="370"/>
      <c r="CM204" s="370"/>
      <c r="CN204" s="370"/>
      <c r="CO204" s="370"/>
      <c r="CP204" s="370"/>
      <c r="CQ204" s="370"/>
    </row>
    <row r="205" spans="1:95" s="46" customFormat="1" ht="114.75" x14ac:dyDescent="0.25">
      <c r="A205" s="241">
        <f>ROW(A205)-10</f>
        <v>195</v>
      </c>
      <c r="B205" s="335" t="s">
        <v>2387</v>
      </c>
      <c r="C205" s="241">
        <v>0</v>
      </c>
      <c r="D205" s="242" t="str">
        <f>VLOOKUP(B205, Расстояния!B:K, 10, 0)</f>
        <v>осн.</v>
      </c>
      <c r="E205" s="242" t="str">
        <f>VLOOKUP(B205, Расстояния!B:F, 5, 0)</f>
        <v>нет</v>
      </c>
      <c r="F205" s="290" t="s">
        <v>4165</v>
      </c>
      <c r="G205" s="305">
        <v>46098.551388888889</v>
      </c>
      <c r="H205" s="345">
        <v>46098.42291666667</v>
      </c>
      <c r="I205" s="345">
        <v>46098.546527777777</v>
      </c>
      <c r="J205" s="354" t="s">
        <v>4164</v>
      </c>
      <c r="K205" s="306"/>
      <c r="L205" s="292" t="s">
        <v>198</v>
      </c>
      <c r="M205" s="241" t="str">
        <f>VLOOKUP(L205, Работы!A:B, 2, 0)</f>
        <v>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</v>
      </c>
      <c r="N205" s="352" t="s">
        <v>4189</v>
      </c>
      <c r="O205" s="298">
        <v>1</v>
      </c>
      <c r="P205" s="248">
        <f>IF(OR(L205="3.3.1.", L205="3.3.2.", L205="3.3.3.", L205="3.1.1.", L205="3.1.2.", L205="3.4.1.", L205="3.4.2."), 0, VLOOKUP(L205, Работы!$A$3:$D$184, 4, 0))</f>
        <v>735</v>
      </c>
      <c r="Q205" s="243"/>
      <c r="R205" s="293"/>
      <c r="S205" s="293"/>
      <c r="T205" s="244">
        <f>IF(OR(L205="3.3.1.", L205="3.3.2.", L205="3.3.3."), VLOOKUP(L205, Работы!$A$3:$D$184, 4, 0), 0)</f>
        <v>0</v>
      </c>
      <c r="U205" s="246">
        <f>IF(OR(L205="3.1.1."), VLOOKUP(L205, Работы!$A$3:$D$184, 4, 0), 0)</f>
        <v>0</v>
      </c>
      <c r="V205" s="246">
        <f>IF(OR(L205="3.1.2."), VLOOKUP(L205, Работы!$A$3:$D$184, 4, 0), 0)</f>
        <v>0</v>
      </c>
      <c r="W205" s="294"/>
      <c r="X205" s="294"/>
      <c r="Y205" s="247">
        <f>IF(OR(L205="3.2.1.", L205="3.2.2."), VLOOKUP(L205, Работы!$A$3:$D$184, 4, 0), 0)</f>
        <v>0</v>
      </c>
      <c r="Z205" s="247">
        <f>IF(OR(L205="3.4.1.", L205="3.4.2."), VLOOKUP(L205, Работы!$A$3:$D$184, 4, 0), 0)</f>
        <v>0</v>
      </c>
      <c r="AA205" s="68">
        <f>P205*O205+Q205*T205+R205*T205+S205*T205+U205+V205+W205*Y205+X205*Y205+Z205</f>
        <v>735</v>
      </c>
      <c r="AB205" s="295"/>
      <c r="AC205" s="296"/>
      <c r="AD205" s="296"/>
      <c r="AE205" s="69">
        <f>AC205*AD205</f>
        <v>0</v>
      </c>
      <c r="AF205" s="71">
        <f>C205*Работы!$D$180</f>
        <v>0</v>
      </c>
      <c r="AG205" s="68">
        <f>AA205+AE205+AF205+AL205+AM205</f>
        <v>735</v>
      </c>
      <c r="AH205" s="72"/>
      <c r="AI205" s="73"/>
      <c r="AJ205" s="245">
        <f>AG205-AA205*AI205</f>
        <v>735</v>
      </c>
      <c r="AK205" s="1287"/>
      <c r="AL205" s="302">
        <f>IF(OR(E205="да"), 4040, 0)</f>
        <v>0</v>
      </c>
      <c r="AM205" s="365">
        <f>IF(OR(D205="доп."), AA205*0.1, 0)</f>
        <v>0</v>
      </c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  <c r="CO205" s="34"/>
      <c r="CP205" s="34"/>
      <c r="CQ205" s="34"/>
    </row>
    <row r="206" spans="1:95" s="46" customFormat="1" ht="89.25" x14ac:dyDescent="0.25">
      <c r="A206" s="241">
        <f>ROW(A206)-10</f>
        <v>196</v>
      </c>
      <c r="B206" s="335" t="s">
        <v>2387</v>
      </c>
      <c r="C206" s="241">
        <v>292</v>
      </c>
      <c r="D206" s="242" t="str">
        <f>VLOOKUP(B206, Расстояния!B:K, 10, 0)</f>
        <v>осн.</v>
      </c>
      <c r="E206" s="242" t="str">
        <f>VLOOKUP(B206, Расстояния!B:F, 5, 0)</f>
        <v>нет</v>
      </c>
      <c r="F206" s="290" t="s">
        <v>4163</v>
      </c>
      <c r="G206" s="305">
        <v>46097.375</v>
      </c>
      <c r="H206" s="345">
        <v>46098.42291666667</v>
      </c>
      <c r="I206" s="345">
        <v>46098.546527777777</v>
      </c>
      <c r="J206" s="306" t="s">
        <v>4263</v>
      </c>
      <c r="K206" s="306"/>
      <c r="L206" s="292" t="s">
        <v>239</v>
      </c>
      <c r="M206" s="241" t="str">
        <f>VLOOKUP(L206, Работы!A:B, 2, 0)</f>
        <v>Осмотр и тестирование аккумуляторов источников бесперебойного питания (ИБП) по упрощенной методике (разряд на штатную нагрузку ИБП до 2 (двух) часов с измерением их параметров)</v>
      </c>
      <c r="N206" s="352" t="s">
        <v>4306</v>
      </c>
      <c r="O206" s="298">
        <v>1</v>
      </c>
      <c r="P206" s="248">
        <f>IF(OR(L206="3.3.1.", L206="3.3.2.", L206="3.3.3.", L206="3.1.1.", L206="3.1.2.", L206="3.4.1.", L206="3.4.2."), 0, VLOOKUP(L206, Работы!$A$3:$D$184, 4, 0))</f>
        <v>1778</v>
      </c>
      <c r="Q206" s="243"/>
      <c r="R206" s="293"/>
      <c r="S206" s="293"/>
      <c r="T206" s="244">
        <f>IF(OR(L206="3.3.1.", L206="3.3.2.", L206="3.3.3."), VLOOKUP(L206, Работы!$A$3:$D$184, 4, 0), 0)</f>
        <v>0</v>
      </c>
      <c r="U206" s="246">
        <f>IF(OR(L206="3.1.1."), VLOOKUP(L206, Работы!$A$3:$D$184, 4, 0), 0)</f>
        <v>0</v>
      </c>
      <c r="V206" s="246">
        <f>IF(OR(L206="3.1.2."), VLOOKUP(L206, Работы!$A$3:$D$184, 4, 0), 0)</f>
        <v>0</v>
      </c>
      <c r="W206" s="294"/>
      <c r="X206" s="294"/>
      <c r="Y206" s="247">
        <f>IF(OR(L206="3.2.1.", L206="3.2.2."), VLOOKUP(L206, Работы!$A$3:$D$184, 4, 0), 0)</f>
        <v>0</v>
      </c>
      <c r="Z206" s="247">
        <f>IF(OR(L206="3.4.1.", L206="3.4.2."), VLOOKUP(L206, Работы!$A$3:$D$184, 4, 0), 0)</f>
        <v>0</v>
      </c>
      <c r="AA206" s="68">
        <f>P206*O206+Q206*T206+R206*T206+S206*T206+U206+V206+W206*Y206+X206*Y206+Z206</f>
        <v>1778</v>
      </c>
      <c r="AB206" s="295"/>
      <c r="AC206" s="296"/>
      <c r="AD206" s="296"/>
      <c r="AE206" s="69">
        <f>AC206*AD206</f>
        <v>0</v>
      </c>
      <c r="AF206" s="71">
        <f>C206*Работы!$D$180</f>
        <v>15712.52</v>
      </c>
      <c r="AG206" s="68">
        <f>AA206+AE206+AF206+AL206+AM206</f>
        <v>17490.52</v>
      </c>
      <c r="AH206" s="72"/>
      <c r="AI206" s="73"/>
      <c r="AJ206" s="245">
        <f>AG206-AA206*AI206</f>
        <v>17490.52</v>
      </c>
      <c r="AK206" s="34"/>
      <c r="AL206" s="302">
        <f>IF(OR(E206="да"), 4040, 0)</f>
        <v>0</v>
      </c>
      <c r="AM206" s="365">
        <f>IF(OR(D206="доп."), AA206*0.1, 0)</f>
        <v>0</v>
      </c>
      <c r="AN206" s="34"/>
      <c r="AO206" s="34"/>
      <c r="AP206" s="34"/>
      <c r="AQ206" s="34"/>
      <c r="AR206" s="34"/>
      <c r="AS206" s="34"/>
      <c r="AT206" s="370"/>
      <c r="AU206" s="370"/>
      <c r="AV206" s="370"/>
      <c r="AW206" s="370"/>
      <c r="AX206" s="370"/>
      <c r="AY206" s="370"/>
      <c r="AZ206" s="370"/>
      <c r="BA206" s="370"/>
      <c r="BB206" s="370"/>
      <c r="BC206" s="370"/>
      <c r="BD206" s="370"/>
      <c r="BE206" s="370"/>
      <c r="BF206" s="370"/>
      <c r="BG206" s="370"/>
      <c r="BH206" s="370"/>
      <c r="BI206" s="370"/>
      <c r="BJ206" s="370"/>
      <c r="BK206" s="370"/>
      <c r="BL206" s="370"/>
      <c r="BM206" s="370"/>
      <c r="BN206" s="370"/>
      <c r="BO206" s="370"/>
      <c r="BP206" s="370"/>
      <c r="BQ206" s="370"/>
      <c r="BR206" s="370"/>
      <c r="BS206" s="370"/>
      <c r="BT206" s="370"/>
      <c r="BU206" s="370"/>
      <c r="BV206" s="370"/>
      <c r="BW206" s="370"/>
      <c r="BX206" s="370"/>
      <c r="BY206" s="370"/>
      <c r="BZ206" s="370"/>
      <c r="CA206" s="370"/>
      <c r="CB206" s="370"/>
      <c r="CC206" s="370"/>
      <c r="CD206" s="370"/>
      <c r="CE206" s="370"/>
      <c r="CF206" s="370"/>
      <c r="CG206" s="370"/>
      <c r="CH206" s="370"/>
      <c r="CI206" s="370"/>
      <c r="CJ206" s="370"/>
      <c r="CK206" s="370"/>
      <c r="CL206" s="370"/>
      <c r="CM206" s="370"/>
      <c r="CN206" s="370"/>
      <c r="CO206" s="370"/>
      <c r="CP206" s="370"/>
      <c r="CQ206" s="370"/>
    </row>
    <row r="207" spans="1:95" s="46" customFormat="1" ht="51" x14ac:dyDescent="0.25">
      <c r="A207" s="241">
        <f>ROW(A207)-10</f>
        <v>197</v>
      </c>
      <c r="B207" s="335" t="s">
        <v>1258</v>
      </c>
      <c r="C207" s="241">
        <f>VLOOKUP(B207, Расстояния!B:J, 9, 0)</f>
        <v>24</v>
      </c>
      <c r="D207" s="242" t="str">
        <f>VLOOKUP(B207, Расстояния!B:K, 10, 0)</f>
        <v>доп.</v>
      </c>
      <c r="E207" s="242" t="str">
        <f>VLOOKUP(B207, Расстояния!B:F, 5, 0)</f>
        <v>нет</v>
      </c>
      <c r="F207" s="290" t="s">
        <v>4183</v>
      </c>
      <c r="G207" s="305">
        <v>46108.416666666664</v>
      </c>
      <c r="H207" s="345">
        <v>46108.606944444444</v>
      </c>
      <c r="I207" s="345">
        <v>46108.65</v>
      </c>
      <c r="J207" s="332" t="s">
        <v>4164</v>
      </c>
      <c r="K207" s="332"/>
      <c r="L207" s="250" t="s">
        <v>321</v>
      </c>
      <c r="M207" s="241" t="str">
        <f>VLOOKUP(L207, Работы!A:B, 2, 0)</f>
        <v>Стоимость аварийно-восстановительных работ, заявка по которым получена в течение рабочего времени</v>
      </c>
      <c r="N207" s="330" t="s">
        <v>4249</v>
      </c>
      <c r="O207" s="298"/>
      <c r="P207" s="248">
        <f>IF(OR(L207="3.3.1.", L207="3.3.2.", L207="3.3.3.", L207="3.1.1.", L207="3.1.2.", L207="3.4.1.", L207="3.4.2."), 0, VLOOKUP(L207, Работы!$A$3:$D$184, 4, 0))</f>
        <v>0</v>
      </c>
      <c r="Q207" s="243"/>
      <c r="R207" s="293"/>
      <c r="S207" s="293"/>
      <c r="T207" s="244">
        <f>IF(OR(L207="3.3.1.", L207="3.3.2.", L207="3.3.3."), VLOOKUP(L207, Работы!$A$3:$D$184, 4, 0), 0)</f>
        <v>0</v>
      </c>
      <c r="U207" s="246">
        <f>IF(OR(L207="3.1.1."), VLOOKUP(L207, Работы!$A$3:$D$184, 4, 0), 0)</f>
        <v>3956</v>
      </c>
      <c r="V207" s="246">
        <f>IF(OR(L207="3.1.2."), VLOOKUP(L207, Работы!$A$3:$D$184, 4, 0), 0)</f>
        <v>0</v>
      </c>
      <c r="W207" s="294"/>
      <c r="X207" s="294"/>
      <c r="Y207" s="247">
        <f>IF(OR(L207="3.2.1.", L207="3.2.2."), VLOOKUP(L207, Работы!$A$3:$D$184, 4, 0), 0)</f>
        <v>0</v>
      </c>
      <c r="Z207" s="247">
        <f>IF(OR(L207="3.4.1.", L207="3.4.2."), VLOOKUP(L207, Работы!$A$3:$D$184, 4, 0), 0)</f>
        <v>0</v>
      </c>
      <c r="AA207" s="68">
        <f>P207*O207+Q207*T207+R207*T207+S207*T207+U207+V207+W207*Y207+X207*Y207+Z207</f>
        <v>3956</v>
      </c>
      <c r="AB207" s="295"/>
      <c r="AC207" s="296"/>
      <c r="AD207" s="296"/>
      <c r="AE207" s="69">
        <f>AC207*AD207</f>
        <v>0</v>
      </c>
      <c r="AF207" s="71">
        <f>C207*Работы!$D$180</f>
        <v>1291.44</v>
      </c>
      <c r="AG207" s="68">
        <f>AA207+AE207+AF207+AL207+AM207</f>
        <v>5643.0400000000009</v>
      </c>
      <c r="AH207" s="72"/>
      <c r="AI207" s="73"/>
      <c r="AJ207" s="245">
        <f>AG207-AA207*AI207</f>
        <v>5643.0400000000009</v>
      </c>
      <c r="AK207" s="301"/>
      <c r="AL207" s="302">
        <f>IF(OR(E207="да"), 4040, 0)</f>
        <v>0</v>
      </c>
      <c r="AM207" s="365">
        <f>IF(OR(D207="доп."), AA207*0.1, 0)</f>
        <v>395.6</v>
      </c>
      <c r="AN207" s="251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  <c r="CO207" s="34"/>
      <c r="CP207" s="34"/>
      <c r="CQ207" s="34"/>
    </row>
    <row r="208" spans="1:95" s="46" customFormat="1" ht="114.75" x14ac:dyDescent="0.25">
      <c r="A208" s="241">
        <f>ROW(A208)-10</f>
        <v>198</v>
      </c>
      <c r="B208" s="335" t="s">
        <v>2391</v>
      </c>
      <c r="C208" s="241">
        <f>VLOOKUP(B208, Расстояния!B:J, 9, 0)</f>
        <v>67</v>
      </c>
      <c r="D208" s="242" t="str">
        <f>VLOOKUP(B208, Расстояния!B:K, 10, 0)</f>
        <v>осн.</v>
      </c>
      <c r="E208" s="242" t="str">
        <f>VLOOKUP(B208, Расстояния!B:F, 5, 0)</f>
        <v>нет</v>
      </c>
      <c r="F208" s="290" t="s">
        <v>4178</v>
      </c>
      <c r="G208" s="305">
        <v>46104.35833333333</v>
      </c>
      <c r="H208" s="345">
        <v>46107.354166666664</v>
      </c>
      <c r="I208" s="345">
        <v>46107.484027777777</v>
      </c>
      <c r="J208" s="357" t="s">
        <v>4164</v>
      </c>
      <c r="K208" s="332"/>
      <c r="L208" s="250" t="s">
        <v>198</v>
      </c>
      <c r="M208" s="241" t="str">
        <f>VLOOKUP(L208, Работы!A:B, 2, 0)</f>
        <v>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</v>
      </c>
      <c r="N208" s="347" t="s">
        <v>4271</v>
      </c>
      <c r="O208" s="298">
        <v>1</v>
      </c>
      <c r="P208" s="248">
        <f>IF(OR(L208="3.3.1.", L208="3.3.2.", L208="3.3.3.", L208="3.1.1.", L208="3.1.2.", L208="3.4.1.", L208="3.4.2."), 0, VLOOKUP(L208, Работы!$A$3:$D$184, 4, 0))</f>
        <v>735</v>
      </c>
      <c r="Q208" s="243"/>
      <c r="R208" s="293"/>
      <c r="S208" s="293"/>
      <c r="T208" s="244">
        <f>IF(OR(L208="3.3.1.", L208="3.3.2.", L208="3.3.3."), VLOOKUP(L208, Работы!$A$3:$D$184, 4, 0), 0)</f>
        <v>0</v>
      </c>
      <c r="U208" s="246">
        <f>IF(OR(L208="3.1.1."), VLOOKUP(L208, Работы!$A$3:$D$184, 4, 0), 0)</f>
        <v>0</v>
      </c>
      <c r="V208" s="246">
        <f>IF(OR(L208="3.1.2."), VLOOKUP(L208, Работы!$A$3:$D$184, 4, 0), 0)</f>
        <v>0</v>
      </c>
      <c r="W208" s="294"/>
      <c r="X208" s="294"/>
      <c r="Y208" s="247">
        <f>IF(OR(L208="3.2.1.", L208="3.2.2."), VLOOKUP(L208, Работы!$A$3:$D$184, 4, 0), 0)</f>
        <v>0</v>
      </c>
      <c r="Z208" s="247">
        <f>IF(OR(L208="3.4.1.", L208="3.4.2."), VLOOKUP(L208, Работы!$A$3:$D$184, 4, 0), 0)</f>
        <v>0</v>
      </c>
      <c r="AA208" s="68">
        <f>P208*O208+Q208*T208+R208*T208+S208*T208+U208+V208+W208*Y208+X208*Y208+Z208</f>
        <v>735</v>
      </c>
      <c r="AB208" s="295"/>
      <c r="AC208" s="296"/>
      <c r="AD208" s="296"/>
      <c r="AE208" s="69">
        <f>AC208*AD208</f>
        <v>0</v>
      </c>
      <c r="AF208" s="71">
        <f>C208*Работы!$D$180</f>
        <v>3605.27</v>
      </c>
      <c r="AG208" s="68">
        <f>AA208+AE208+AF208+AL208+AM208</f>
        <v>4340.2700000000004</v>
      </c>
      <c r="AH208" s="72"/>
      <c r="AI208" s="73"/>
      <c r="AJ208" s="245">
        <f>AG208-AA208*AI208</f>
        <v>4340.2700000000004</v>
      </c>
      <c r="AK208" s="301"/>
      <c r="AL208" s="302">
        <f>IF(OR(E208="да"), 4040, 0)</f>
        <v>0</v>
      </c>
      <c r="AM208" s="365">
        <f>IF(OR(D208="доп."), AA208*0.1, 0)</f>
        <v>0</v>
      </c>
      <c r="AN208" s="251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O208" s="34"/>
      <c r="CP208" s="34"/>
      <c r="CQ208" s="34"/>
    </row>
    <row r="209" spans="1:95" s="46" customFormat="1" ht="102" x14ac:dyDescent="0.25">
      <c r="A209" s="241">
        <f>ROW(A209)-10</f>
        <v>199</v>
      </c>
      <c r="B209" s="335" t="s">
        <v>2415</v>
      </c>
      <c r="C209" s="241">
        <f>VLOOKUP(B209, Расстояния!B:J, 9, 0)</f>
        <v>61</v>
      </c>
      <c r="D209" s="242" t="str">
        <f>VLOOKUP(B209, Расстояния!B:K, 10, 0)</f>
        <v>осн.</v>
      </c>
      <c r="E209" s="242" t="str">
        <f>VLOOKUP(B209, Расстояния!B:F, 5, 0)</f>
        <v>нет</v>
      </c>
      <c r="F209" s="290" t="s">
        <v>4151</v>
      </c>
      <c r="G209" s="305">
        <v>46108.136111111111</v>
      </c>
      <c r="H209" s="345">
        <v>46108.2</v>
      </c>
      <c r="I209" s="345">
        <v>46108.212500000001</v>
      </c>
      <c r="J209" s="331" t="s">
        <v>3883</v>
      </c>
      <c r="K209" s="306"/>
      <c r="L209" s="250" t="s">
        <v>367</v>
      </c>
      <c r="M209" s="241" t="str">
        <f>VLOOKUP(L209,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209" s="330" t="s">
        <v>3843</v>
      </c>
      <c r="O209" s="298"/>
      <c r="P209" s="248">
        <f>IF(OR(L209="3.3.1.", L209="3.3.2.", L209="3.3.3.", L209="3.1.1.", L209="3.1.2.", L209="3.4.1.", L209="3.4.2."), 0, VLOOKUP(L209, Работы!$A$3:$D$184, 4, 0))</f>
        <v>0</v>
      </c>
      <c r="Q209" s="243">
        <f>ROUNDUP((I209-H209)*24, 0)</f>
        <v>1</v>
      </c>
      <c r="R209" s="293"/>
      <c r="S209" s="293"/>
      <c r="T209" s="244">
        <f>IF(OR(L209="3.3.1.", L209="3.3.2.", L209="3.3.3."), VLOOKUP(L209, Работы!$A$3:$D$184, 4, 0), 0)</f>
        <v>903</v>
      </c>
      <c r="U209" s="246">
        <f>IF(OR(L209="3.1.1."), VLOOKUP(L209, Работы!$A$3:$D$184, 4, 0), 0)</f>
        <v>0</v>
      </c>
      <c r="V209" s="246">
        <f>IF(OR(L209="3.1.2."), VLOOKUP(L209, Работы!$A$3:$D$184, 4, 0), 0)</f>
        <v>0</v>
      </c>
      <c r="W209" s="294"/>
      <c r="X209" s="294"/>
      <c r="Y209" s="247">
        <f>IF(OR(L209="3.2.1.", L209="3.2.2."), VLOOKUP(L209, Работы!$A$3:$D$184, 4, 0), 0)</f>
        <v>0</v>
      </c>
      <c r="Z209" s="247">
        <f>IF(OR(L209="3.4.1.", L209="3.4.2."), VLOOKUP(L209, Работы!$A$3:$D$184, 4, 0), 0)</f>
        <v>0</v>
      </c>
      <c r="AA209" s="68">
        <f>P209*O209+Q209*T209+R209*T209+S209*T209+U209+V209+W209*Y209+X209*Y209+Z209</f>
        <v>903</v>
      </c>
      <c r="AB209" s="295"/>
      <c r="AC209" s="296"/>
      <c r="AD209" s="296"/>
      <c r="AE209" s="69">
        <f>AC209*AD209</f>
        <v>0</v>
      </c>
      <c r="AF209" s="71">
        <f>C209*Работы!$D$180</f>
        <v>3282.4100000000003</v>
      </c>
      <c r="AG209" s="68">
        <f>AA209+AE209+AF209+AL209+AM209</f>
        <v>4185.41</v>
      </c>
      <c r="AH209" s="72"/>
      <c r="AI209" s="73"/>
      <c r="AJ209" s="245">
        <f>AG209-AA209*AI209</f>
        <v>4185.41</v>
      </c>
      <c r="AK209" s="251"/>
      <c r="AL209" s="302">
        <f>IF(OR(E209="да"), 4040, 0)</f>
        <v>0</v>
      </c>
      <c r="AM209" s="365">
        <f>IF(OR(D209="доп."), AA209*0.1, 0)</f>
        <v>0</v>
      </c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43"/>
      <c r="BW209" s="43"/>
      <c r="BX209" s="43"/>
      <c r="BY209" s="43"/>
      <c r="BZ209" s="43"/>
      <c r="CA209" s="43"/>
      <c r="CB209" s="43"/>
      <c r="CC209" s="43"/>
      <c r="CD209" s="43"/>
      <c r="CE209" s="43"/>
      <c r="CF209" s="43"/>
      <c r="CG209" s="43"/>
      <c r="CH209" s="43"/>
      <c r="CI209" s="43"/>
      <c r="CJ209" s="43"/>
      <c r="CK209" s="43"/>
      <c r="CL209" s="43"/>
      <c r="CM209" s="43"/>
      <c r="CN209" s="43"/>
      <c r="CO209" s="43"/>
      <c r="CP209" s="43"/>
      <c r="CQ209" s="43"/>
    </row>
    <row r="210" spans="1:95" s="46" customFormat="1" ht="63.75" x14ac:dyDescent="0.25">
      <c r="A210" s="241">
        <f>ROW(A210)-10</f>
        <v>200</v>
      </c>
      <c r="B210" s="335" t="s">
        <v>2391</v>
      </c>
      <c r="C210" s="241">
        <v>30</v>
      </c>
      <c r="D210" s="242" t="str">
        <f>VLOOKUP(B210, Расстояния!B:K, 10, 0)</f>
        <v>осн.</v>
      </c>
      <c r="E210" s="242" t="str">
        <f>VLOOKUP(B210, Расстояния!B:F, 5, 0)</f>
        <v>нет</v>
      </c>
      <c r="F210" s="290" t="s">
        <v>4193</v>
      </c>
      <c r="G210" s="305">
        <v>46102</v>
      </c>
      <c r="H210" s="345">
        <v>46102.02847222222</v>
      </c>
      <c r="I210" s="345">
        <v>46102.02847222222</v>
      </c>
      <c r="J210" s="304" t="s">
        <v>4192</v>
      </c>
      <c r="K210" s="306"/>
      <c r="L210" s="340" t="s">
        <v>371</v>
      </c>
      <c r="M210" s="241" t="str">
        <f>VLOOKUP(L210, Работы!A:B, 2, 0)</f>
        <v>Стоимость отменённого вызова на Аварийно-восстановительные работы, заявка по которым получена во внерабочее время</v>
      </c>
      <c r="N210" s="346" t="s">
        <v>3882</v>
      </c>
      <c r="O210" s="298"/>
      <c r="P210" s="248">
        <f>IF(OR(L210="3.3.1.", L210="3.3.2.", L210="3.3.3.", L210="3.1.1.", L210="3.1.2.", L210="3.4.1.", L210="3.4.2."), 0, VLOOKUP(L210, Работы!$A$3:$D$184, 4, 0))</f>
        <v>0</v>
      </c>
      <c r="Q210" s="243"/>
      <c r="R210" s="293"/>
      <c r="S210" s="293"/>
      <c r="T210" s="244">
        <f>IF(OR(L210="3.3.1.", L210="3.3.2.", L210="3.3.3."), VLOOKUP(L210, Работы!$A$3:$D$184, 4, 0), 0)</f>
        <v>0</v>
      </c>
      <c r="U210" s="246">
        <f>IF(OR(L210="3.1.1."), VLOOKUP(L210, Работы!$A$3:$D$184, 4, 0), 0)</f>
        <v>0</v>
      </c>
      <c r="V210" s="246">
        <f>IF(OR(L210="3.1.2."), VLOOKUP(L210, Работы!$A$3:$D$184, 4, 0), 0)</f>
        <v>0</v>
      </c>
      <c r="W210" s="294"/>
      <c r="X210" s="294"/>
      <c r="Y210" s="247">
        <f>IF(OR(L210="3.2.1.", L210="3.2.2."), VLOOKUP(L210, Работы!$A$3:$D$184, 4, 0), 0)</f>
        <v>0</v>
      </c>
      <c r="Z210" s="247">
        <f>IF(OR(L210="3.4.1.", L210="3.4.2."), VLOOKUP(L210, Работы!$A$3:$D$184, 4, 0), 0)</f>
        <v>1731</v>
      </c>
      <c r="AA210" s="68">
        <f>P210*O210+Q210*T210+R210*T210+S210*T210+U210+V210+W210*Y210+X210*Y210+Z210</f>
        <v>1731</v>
      </c>
      <c r="AB210" s="295"/>
      <c r="AC210" s="296"/>
      <c r="AD210" s="296"/>
      <c r="AE210" s="69">
        <f>AC210*AD210</f>
        <v>0</v>
      </c>
      <c r="AF210" s="71">
        <f>C210*Работы!$D$180</f>
        <v>1614.3000000000002</v>
      </c>
      <c r="AG210" s="68">
        <f>AA210+AE210+AF210+AL210+AM210</f>
        <v>3345.3</v>
      </c>
      <c r="AH210" s="72"/>
      <c r="AI210" s="73"/>
      <c r="AJ210" s="245">
        <f>AG210-AA210*AI210</f>
        <v>3345.3</v>
      </c>
      <c r="AK210" s="251"/>
      <c r="AL210" s="302">
        <f>IF(OR(E210="да"), 4040, 0)</f>
        <v>0</v>
      </c>
      <c r="AM210" s="365">
        <f>IF(OR(D210="доп."), AA210*0.1, 0)</f>
        <v>0</v>
      </c>
      <c r="AN210" s="367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  <c r="CO210" s="34"/>
      <c r="CP210" s="34"/>
      <c r="CQ210" s="34"/>
    </row>
    <row r="211" spans="1:95" s="46" customFormat="1" ht="63.75" x14ac:dyDescent="0.25">
      <c r="A211" s="241">
        <f>ROW(A211)-10</f>
        <v>201</v>
      </c>
      <c r="B211" s="335" t="s">
        <v>2391</v>
      </c>
      <c r="C211" s="241">
        <v>63</v>
      </c>
      <c r="D211" s="242" t="str">
        <f>VLOOKUP(B211, Расстояния!B:K, 10, 0)</f>
        <v>осн.</v>
      </c>
      <c r="E211" s="242" t="str">
        <f>VLOOKUP(B211, Расстояния!B:F, 5, 0)</f>
        <v>нет</v>
      </c>
      <c r="F211" s="290" t="s">
        <v>4195</v>
      </c>
      <c r="G211" s="305">
        <v>46102.064583333333</v>
      </c>
      <c r="H211" s="345">
        <v>46102.125</v>
      </c>
      <c r="I211" s="345">
        <v>46102.125</v>
      </c>
      <c r="J211" s="304" t="s">
        <v>4192</v>
      </c>
      <c r="K211" s="306"/>
      <c r="L211" s="250" t="s">
        <v>371</v>
      </c>
      <c r="M211" s="241" t="str">
        <f>VLOOKUP(L211, Работы!A:B, 2, 0)</f>
        <v>Стоимость отменённого вызова на Аварийно-восстановительные работы, заявка по которым получена во внерабочее время</v>
      </c>
      <c r="N211" s="346" t="s">
        <v>3882</v>
      </c>
      <c r="O211" s="298"/>
      <c r="P211" s="248">
        <f>IF(OR(L211="3.3.1.", L211="3.3.2.", L211="3.3.3.", L211="3.1.1.", L211="3.1.2.", L211="3.4.1.", L211="3.4.2."), 0, VLOOKUP(L211, Работы!$A$3:$D$184, 4, 0))</f>
        <v>0</v>
      </c>
      <c r="Q211" s="243"/>
      <c r="R211" s="293"/>
      <c r="S211" s="293"/>
      <c r="T211" s="244">
        <f>IF(OR(L211="3.3.1.", L211="3.3.2.", L211="3.3.3."), VLOOKUP(L211, Работы!$A$3:$D$184, 4, 0), 0)</f>
        <v>0</v>
      </c>
      <c r="U211" s="246">
        <f>IF(OR(L211="3.1.1."), VLOOKUP(L211, Работы!$A$3:$D$184, 4, 0), 0)</f>
        <v>0</v>
      </c>
      <c r="V211" s="246">
        <f>IF(OR(L211="3.1.2."), VLOOKUP(L211, Работы!$A$3:$D$184, 4, 0), 0)</f>
        <v>0</v>
      </c>
      <c r="W211" s="294"/>
      <c r="X211" s="294"/>
      <c r="Y211" s="247">
        <f>IF(OR(L211="3.2.1.", L211="3.2.2."), VLOOKUP(L211, Работы!$A$3:$D$184, 4, 0), 0)</f>
        <v>0</v>
      </c>
      <c r="Z211" s="247">
        <f>IF(OR(L211="3.4.1.", L211="3.4.2."), VLOOKUP(L211, Работы!$A$3:$D$184, 4, 0), 0)</f>
        <v>1731</v>
      </c>
      <c r="AA211" s="68">
        <f>P211*O211+Q211*T211+R211*T211+S211*T211+U211+V211+W211*Y211+X211*Y211+Z211</f>
        <v>1731</v>
      </c>
      <c r="AB211" s="295"/>
      <c r="AC211" s="296"/>
      <c r="AD211" s="296"/>
      <c r="AE211" s="69">
        <f>AC211*AD211</f>
        <v>0</v>
      </c>
      <c r="AF211" s="71">
        <f>C211*Работы!$D$180</f>
        <v>3390.03</v>
      </c>
      <c r="AG211" s="68">
        <f>AA211+AE211+AF211+AL211+AM211</f>
        <v>5121.0300000000007</v>
      </c>
      <c r="AH211" s="72"/>
      <c r="AI211" s="73"/>
      <c r="AJ211" s="245">
        <f>AG211-AA211*AI211</f>
        <v>5121.0300000000007</v>
      </c>
      <c r="AK211" s="301"/>
      <c r="AL211" s="302">
        <f>IF(OR(E211="да"), 4040, 0)</f>
        <v>0</v>
      </c>
      <c r="AM211" s="365">
        <f>IF(OR(D211="доп."), AA211*0.1, 0)</f>
        <v>0</v>
      </c>
      <c r="AN211" s="251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  <c r="CO211" s="34"/>
      <c r="CP211" s="34"/>
      <c r="CQ211" s="34"/>
    </row>
    <row r="212" spans="1:95" s="46" customFormat="1" ht="63.75" x14ac:dyDescent="0.25">
      <c r="A212" s="241">
        <f>ROW(A212)-10</f>
        <v>202</v>
      </c>
      <c r="B212" s="335" t="s">
        <v>2391</v>
      </c>
      <c r="C212" s="241">
        <v>58</v>
      </c>
      <c r="D212" s="242" t="str">
        <f>VLOOKUP(B212, Расстояния!B:K, 10, 0)</f>
        <v>осн.</v>
      </c>
      <c r="E212" s="242" t="str">
        <f>VLOOKUP(B212, Расстояния!B:F, 5, 0)</f>
        <v>нет</v>
      </c>
      <c r="F212" s="290" t="s">
        <v>4196</v>
      </c>
      <c r="G212" s="305">
        <v>46103.744444444441</v>
      </c>
      <c r="H212" s="345">
        <v>46103.799305555556</v>
      </c>
      <c r="I212" s="345">
        <v>46103.799305555556</v>
      </c>
      <c r="J212" s="304" t="s">
        <v>4192</v>
      </c>
      <c r="K212" s="306"/>
      <c r="L212" s="250" t="s">
        <v>371</v>
      </c>
      <c r="M212" s="241" t="str">
        <f>VLOOKUP(L212, Работы!A:B, 2, 0)</f>
        <v>Стоимость отменённого вызова на Аварийно-восстановительные работы, заявка по которым получена во внерабочее время</v>
      </c>
      <c r="N212" s="346" t="s">
        <v>3882</v>
      </c>
      <c r="O212" s="298"/>
      <c r="P212" s="248">
        <f>IF(OR(L212="3.3.1.", L212="3.3.2.", L212="3.3.3.", L212="3.1.1.", L212="3.1.2.", L212="3.4.1.", L212="3.4.2."), 0, VLOOKUP(L212, Работы!$A$3:$D$184, 4, 0))</f>
        <v>0</v>
      </c>
      <c r="Q212" s="243"/>
      <c r="R212" s="293"/>
      <c r="S212" s="293"/>
      <c r="T212" s="244">
        <f>IF(OR(L212="3.3.1.", L212="3.3.2.", L212="3.3.3."), VLOOKUP(L212, Работы!$A$3:$D$184, 4, 0), 0)</f>
        <v>0</v>
      </c>
      <c r="U212" s="246">
        <f>IF(OR(L212="3.1.1."), VLOOKUP(L212, Работы!$A$3:$D$184, 4, 0), 0)</f>
        <v>0</v>
      </c>
      <c r="V212" s="246">
        <f>IF(OR(L212="3.1.2."), VLOOKUP(L212, Работы!$A$3:$D$184, 4, 0), 0)</f>
        <v>0</v>
      </c>
      <c r="W212" s="294"/>
      <c r="X212" s="294"/>
      <c r="Y212" s="247">
        <f>IF(OR(L212="3.2.1.", L212="3.2.2."), VLOOKUP(L212, Работы!$A$3:$D$184, 4, 0), 0)</f>
        <v>0</v>
      </c>
      <c r="Z212" s="247">
        <f>IF(OR(L212="3.4.1.", L212="3.4.2."), VLOOKUP(L212, Работы!$A$3:$D$184, 4, 0), 0)</f>
        <v>1731</v>
      </c>
      <c r="AA212" s="68">
        <f>P212*O212+Q212*T212+R212*T212+S212*T212+U212+V212+W212*Y212+X212*Y212+Z212</f>
        <v>1731</v>
      </c>
      <c r="AB212" s="295"/>
      <c r="AC212" s="296"/>
      <c r="AD212" s="296"/>
      <c r="AE212" s="69">
        <f>AC212*AD212</f>
        <v>0</v>
      </c>
      <c r="AF212" s="71">
        <f>C212*Работы!$D$180</f>
        <v>3120.98</v>
      </c>
      <c r="AG212" s="68">
        <f>AA212+AE212+AF212+AL212+AM212</f>
        <v>4851.9799999999996</v>
      </c>
      <c r="AH212" s="72"/>
      <c r="AI212" s="73"/>
      <c r="AJ212" s="245">
        <f>AG212-AA212*AI212</f>
        <v>4851.9799999999996</v>
      </c>
      <c r="AK212" s="301"/>
      <c r="AL212" s="302">
        <f>IF(OR(E212="да"), 4040, 0)</f>
        <v>0</v>
      </c>
      <c r="AM212" s="365">
        <f>IF(OR(D212="доп."), AA212*0.1, 0)</f>
        <v>0</v>
      </c>
      <c r="AN212" s="251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  <c r="CO212" s="34"/>
      <c r="CP212" s="34"/>
      <c r="CQ212" s="34"/>
    </row>
    <row r="213" spans="1:95" s="46" customFormat="1" ht="102" x14ac:dyDescent="0.25">
      <c r="A213" s="241">
        <f>ROW(A213)-10</f>
        <v>203</v>
      </c>
      <c r="B213" s="335" t="s">
        <v>4067</v>
      </c>
      <c r="C213" s="241">
        <v>6</v>
      </c>
      <c r="D213" s="242" t="str">
        <f>VLOOKUP(B213, Расстояния!B:K, 10, 0)</f>
        <v>осн.</v>
      </c>
      <c r="E213" s="242" t="str">
        <f>VLOOKUP(B213, Расстояния!B:F, 5, 0)</f>
        <v>нет</v>
      </c>
      <c r="F213" s="290" t="s">
        <v>4101</v>
      </c>
      <c r="G213" s="305">
        <v>46108.48333333333</v>
      </c>
      <c r="H213" s="345">
        <v>46108.527083333334</v>
      </c>
      <c r="I213" s="345">
        <v>46108.534722222219</v>
      </c>
      <c r="J213" s="303" t="s">
        <v>4046</v>
      </c>
      <c r="K213" s="306"/>
      <c r="L213" s="250" t="s">
        <v>367</v>
      </c>
      <c r="M213" s="241" t="str">
        <f>VLOOKUP(L213,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213" s="330" t="s">
        <v>3843</v>
      </c>
      <c r="O213" s="298"/>
      <c r="P213" s="248">
        <f>IF(OR(L213="3.3.1.", L213="3.3.2.", L213="3.3.3.", L213="3.1.1.", L213="3.1.2.", L213="3.4.1.", L213="3.4.2."), 0, VLOOKUP(L213, Работы!$A$3:$D$184, 4, 0))</f>
        <v>0</v>
      </c>
      <c r="Q213" s="243">
        <f>ROUNDUP((I213-H213)*24, 0)</f>
        <v>1</v>
      </c>
      <c r="R213" s="293"/>
      <c r="S213" s="293"/>
      <c r="T213" s="244">
        <f>IF(OR(L213="3.3.1.", L213="3.3.2.", L213="3.3.3."), VLOOKUP(L213, Работы!$A$3:$D$184, 4, 0), 0)</f>
        <v>903</v>
      </c>
      <c r="U213" s="246">
        <f>IF(OR(L213="3.1.1."), VLOOKUP(L213, Работы!$A$3:$D$184, 4, 0), 0)</f>
        <v>0</v>
      </c>
      <c r="V213" s="246">
        <f>IF(OR(L213="3.1.2."), VLOOKUP(L213, Работы!$A$3:$D$184, 4, 0), 0)</f>
        <v>0</v>
      </c>
      <c r="W213" s="294"/>
      <c r="X213" s="294"/>
      <c r="Y213" s="247">
        <f>IF(OR(L213="3.2.1.", L213="3.2.2."), VLOOKUP(L213, Работы!$A$3:$D$184, 4, 0), 0)</f>
        <v>0</v>
      </c>
      <c r="Z213" s="247">
        <f>IF(OR(L213="3.4.1.", L213="3.4.2."), VLOOKUP(L213, Работы!$A$3:$D$184, 4, 0), 0)</f>
        <v>0</v>
      </c>
      <c r="AA213" s="68">
        <f>P213*O213+Q213*T213+R213*T213+S213*T213+U213+V213+W213*Y213+X213*Y213+Z213</f>
        <v>903</v>
      </c>
      <c r="AB213" s="295"/>
      <c r="AC213" s="296"/>
      <c r="AD213" s="296"/>
      <c r="AE213" s="69">
        <f>AC213*AD213</f>
        <v>0</v>
      </c>
      <c r="AF213" s="71">
        <f>C213*Работы!$D$180</f>
        <v>322.86</v>
      </c>
      <c r="AG213" s="68">
        <f>AA213+AE213+AF213+AL213+AM213</f>
        <v>1225.8600000000001</v>
      </c>
      <c r="AH213" s="72"/>
      <c r="AI213" s="73"/>
      <c r="AJ213" s="245">
        <f>AG213-AA213*AI213</f>
        <v>1225.8600000000001</v>
      </c>
      <c r="AK213" s="251"/>
      <c r="AL213" s="302">
        <f>IF(OR(E213="да"), 4040, 0)</f>
        <v>0</v>
      </c>
      <c r="AM213" s="365">
        <f>IF(OR(D213="доп."), AA213*0.1, 0)</f>
        <v>0</v>
      </c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  <c r="CO213" s="34"/>
      <c r="CP213" s="34"/>
      <c r="CQ213" s="34"/>
    </row>
    <row r="214" spans="1:95" s="46" customFormat="1" ht="51" x14ac:dyDescent="0.25">
      <c r="A214" s="241">
        <f>ROW(A214)-10</f>
        <v>204</v>
      </c>
      <c r="B214" s="335" t="s">
        <v>2395</v>
      </c>
      <c r="C214" s="241">
        <f>VLOOKUP(B214, Расстояния!B:J, 9, 0)</f>
        <v>65</v>
      </c>
      <c r="D214" s="242" t="str">
        <f>VLOOKUP(B214, Расстояния!B:K, 10, 0)</f>
        <v>осн.</v>
      </c>
      <c r="E214" s="242" t="str">
        <f>VLOOKUP(B214, Расстояния!B:F, 5, 0)</f>
        <v>нет</v>
      </c>
      <c r="F214" s="290" t="s">
        <v>4133</v>
      </c>
      <c r="G214" s="326">
        <v>46100.561111111114</v>
      </c>
      <c r="H214" s="326">
        <v>46100.588194444441</v>
      </c>
      <c r="I214" s="326">
        <v>46100.629861111112</v>
      </c>
      <c r="J214" s="331" t="s">
        <v>4131</v>
      </c>
      <c r="K214" s="306"/>
      <c r="L214" s="249" t="s">
        <v>321</v>
      </c>
      <c r="M214" s="241" t="str">
        <f>VLOOKUP(L214, Работы!A:B, 2, 0)</f>
        <v>Стоимость аварийно-восстановительных работ, заявка по которым получена в течение рабочего времени</v>
      </c>
      <c r="N214" s="347" t="s">
        <v>4261</v>
      </c>
      <c r="O214" s="298"/>
      <c r="P214" s="248">
        <f>IF(OR(L214="3.3.1.", L214="3.3.2.", L214="3.3.3.", L214="3.1.1.", L214="3.1.2.", L214="3.4.1.", L214="3.4.2."), 0, VLOOKUP(L214, Работы!$A$3:$D$184, 4, 0))</f>
        <v>0</v>
      </c>
      <c r="Q214" s="243"/>
      <c r="R214" s="293"/>
      <c r="S214" s="293"/>
      <c r="T214" s="244">
        <f>IF(OR(L214="3.3.1.", L214="3.3.2.", L214="3.3.3."), VLOOKUP(L214, Работы!$A$3:$D$184, 4, 0), 0)</f>
        <v>0</v>
      </c>
      <c r="U214" s="246">
        <f>IF(OR(L214="3.1.1."), VLOOKUP(L214, Работы!$A$3:$D$184, 4, 0), 0)</f>
        <v>3956</v>
      </c>
      <c r="V214" s="246">
        <f>IF(OR(L214="3.1.2."), VLOOKUP(L214, Работы!$A$3:$D$184, 4, 0), 0)</f>
        <v>0</v>
      </c>
      <c r="W214" s="294"/>
      <c r="X214" s="294"/>
      <c r="Y214" s="247">
        <f>IF(OR(L214="3.2.1.", L214="3.2.2."), VLOOKUP(L214, Работы!$A$3:$D$184, 4, 0), 0)</f>
        <v>0</v>
      </c>
      <c r="Z214" s="247">
        <f>IF(OR(L214="3.4.1.", L214="3.4.2."), VLOOKUP(L214, Работы!$A$3:$D$184, 4, 0), 0)</f>
        <v>0</v>
      </c>
      <c r="AA214" s="68">
        <f>P214*O214+Q214*T214+R214*T214+S214*T214+U214+V214+W214*Y214+X214*Y214+Z214</f>
        <v>3956</v>
      </c>
      <c r="AB214" s="295"/>
      <c r="AC214" s="296"/>
      <c r="AD214" s="296"/>
      <c r="AE214" s="69">
        <f>AC214*AD214</f>
        <v>0</v>
      </c>
      <c r="AF214" s="71">
        <f>C214*Работы!$D$180</f>
        <v>3497.65</v>
      </c>
      <c r="AG214" s="68">
        <f>AA214+AE214+AF214+AL214+AM214</f>
        <v>7453.65</v>
      </c>
      <c r="AH214" s="72"/>
      <c r="AI214" s="73"/>
      <c r="AJ214" s="245">
        <f>AG214-AA214*AI214</f>
        <v>7453.65</v>
      </c>
      <c r="AK214" s="251"/>
      <c r="AL214" s="302">
        <f>IF(OR(E214="да"), 4040, 0)</f>
        <v>0</v>
      </c>
      <c r="AM214" s="365">
        <f>IF(OR(D214="доп."), AA214*0.1, 0)</f>
        <v>0</v>
      </c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43"/>
      <c r="BW214" s="43"/>
      <c r="BX214" s="43"/>
      <c r="BY214" s="43"/>
      <c r="BZ214" s="43"/>
      <c r="CA214" s="43"/>
      <c r="CB214" s="43"/>
      <c r="CC214" s="43"/>
      <c r="CD214" s="43"/>
      <c r="CE214" s="43"/>
      <c r="CF214" s="43"/>
      <c r="CG214" s="43"/>
      <c r="CH214" s="43"/>
      <c r="CI214" s="43"/>
      <c r="CJ214" s="43"/>
      <c r="CK214" s="43"/>
      <c r="CL214" s="43"/>
      <c r="CM214" s="43"/>
      <c r="CN214" s="43"/>
      <c r="CO214" s="43"/>
      <c r="CP214" s="43"/>
      <c r="CQ214" s="43"/>
    </row>
    <row r="215" spans="1:95" s="46" customFormat="1" ht="102" x14ac:dyDescent="0.25">
      <c r="A215" s="241">
        <f>ROW(A215)-10</f>
        <v>205</v>
      </c>
      <c r="B215" s="335" t="s">
        <v>2112</v>
      </c>
      <c r="C215" s="241">
        <f>VLOOKUP(B215, Расстояния!B:J, 9, 0)</f>
        <v>73</v>
      </c>
      <c r="D215" s="242" t="str">
        <f>VLOOKUP(B215, Расстояния!B:K, 10, 0)</f>
        <v>осн.</v>
      </c>
      <c r="E215" s="242" t="str">
        <f>VLOOKUP(B215, Расстояния!B:F, 5, 0)</f>
        <v>нет</v>
      </c>
      <c r="F215" s="290" t="s">
        <v>4152</v>
      </c>
      <c r="G215" s="305">
        <v>46108.439583333333</v>
      </c>
      <c r="H215" s="345">
        <v>46108.503472222219</v>
      </c>
      <c r="I215" s="345">
        <v>46108.734722222223</v>
      </c>
      <c r="J215" s="304" t="s">
        <v>3883</v>
      </c>
      <c r="K215" s="306"/>
      <c r="L215" s="250" t="s">
        <v>367</v>
      </c>
      <c r="M215" s="241" t="str">
        <f>VLOOKUP(L215,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215" s="330" t="s">
        <v>3843</v>
      </c>
      <c r="O215" s="298"/>
      <c r="P215" s="248">
        <f>IF(OR(L215="3.3.1.", L215="3.3.2.", L215="3.3.3.", L215="3.1.1.", L215="3.1.2.", L215="3.4.1.", L215="3.4.2."), 0, VLOOKUP(L215, Работы!$A$3:$D$184, 4, 0))</f>
        <v>0</v>
      </c>
      <c r="Q215" s="243">
        <f>ROUNDUP((I215-H215)*24, 0)</f>
        <v>6</v>
      </c>
      <c r="R215" s="293"/>
      <c r="S215" s="293"/>
      <c r="T215" s="244">
        <f>IF(OR(L215="3.3.1.", L215="3.3.2.", L215="3.3.3."), VLOOKUP(L215, Работы!$A$3:$D$184, 4, 0), 0)</f>
        <v>903</v>
      </c>
      <c r="U215" s="246">
        <f>IF(OR(L215="3.1.1."), VLOOKUP(L215, Работы!$A$3:$D$184, 4, 0), 0)</f>
        <v>0</v>
      </c>
      <c r="V215" s="246">
        <f>IF(OR(L215="3.1.2."), VLOOKUP(L215, Работы!$A$3:$D$184, 4, 0), 0)</f>
        <v>0</v>
      </c>
      <c r="W215" s="294"/>
      <c r="X215" s="294"/>
      <c r="Y215" s="247">
        <f>IF(OR(L215="3.2.1.", L215="3.2.2."), VLOOKUP(L215, Работы!$A$3:$D$184, 4, 0), 0)</f>
        <v>0</v>
      </c>
      <c r="Z215" s="247">
        <f>IF(OR(L215="3.4.1.", L215="3.4.2."), VLOOKUP(L215, Работы!$A$3:$D$184, 4, 0), 0)</f>
        <v>0</v>
      </c>
      <c r="AA215" s="68">
        <f>P215*O215+Q215*T215+R215*T215+S215*T215+U215+V215+W215*Y215+X215*Y215+Z215</f>
        <v>5418</v>
      </c>
      <c r="AB215" s="295"/>
      <c r="AC215" s="296"/>
      <c r="AD215" s="296"/>
      <c r="AE215" s="69">
        <f>AC215*AD215</f>
        <v>0</v>
      </c>
      <c r="AF215" s="71">
        <f>C215*Работы!$D$180</f>
        <v>3928.13</v>
      </c>
      <c r="AG215" s="68">
        <f>AA215+AE215+AF215+AL215+AM215</f>
        <v>9346.130000000001</v>
      </c>
      <c r="AH215" s="72"/>
      <c r="AI215" s="73"/>
      <c r="AJ215" s="245">
        <f>AG215-AA215*AI215</f>
        <v>9346.130000000001</v>
      </c>
      <c r="AK215" s="251"/>
      <c r="AL215" s="302">
        <f>IF(OR(E215="да"), 4040, 0)</f>
        <v>0</v>
      </c>
      <c r="AM215" s="365">
        <f>IF(OR(D215="доп."), AA215*0.1, 0)</f>
        <v>0</v>
      </c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43"/>
      <c r="BW215" s="43"/>
      <c r="BX215" s="43"/>
      <c r="BY215" s="43"/>
      <c r="BZ215" s="43"/>
      <c r="CA215" s="43"/>
      <c r="CB215" s="43"/>
      <c r="CC215" s="43"/>
      <c r="CD215" s="43"/>
      <c r="CE215" s="43"/>
      <c r="CF215" s="43"/>
      <c r="CG215" s="43"/>
      <c r="CH215" s="43"/>
      <c r="CI215" s="43"/>
      <c r="CJ215" s="43"/>
      <c r="CK215" s="43"/>
      <c r="CL215" s="43"/>
      <c r="CM215" s="43"/>
      <c r="CN215" s="43"/>
      <c r="CO215" s="43"/>
      <c r="CP215" s="43"/>
      <c r="CQ215" s="43"/>
    </row>
    <row r="216" spans="1:95" s="46" customFormat="1" ht="102" x14ac:dyDescent="0.25">
      <c r="A216" s="241">
        <f>ROW(A216)-10</f>
        <v>206</v>
      </c>
      <c r="B216" s="360" t="s">
        <v>2415</v>
      </c>
      <c r="C216" s="241">
        <f>VLOOKUP(B216, Расстояния!B:J, 9, 0)</f>
        <v>61</v>
      </c>
      <c r="D216" s="242" t="str">
        <f>VLOOKUP(B216, Расстояния!B:K, 10, 0)</f>
        <v>осн.</v>
      </c>
      <c r="E216" s="242" t="str">
        <f>VLOOKUP(B216, Расстояния!B:F, 5, 0)</f>
        <v>нет</v>
      </c>
      <c r="F216" s="328" t="s">
        <v>4154</v>
      </c>
      <c r="G216" s="305">
        <v>46109.53125</v>
      </c>
      <c r="H216" s="345">
        <v>46109.588888888888</v>
      </c>
      <c r="I216" s="345">
        <v>46109.595138888886</v>
      </c>
      <c r="J216" s="304" t="s">
        <v>3883</v>
      </c>
      <c r="K216" s="306"/>
      <c r="L216" s="250" t="s">
        <v>367</v>
      </c>
      <c r="M216" s="241" t="str">
        <f>VLOOKUP(L216,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216" s="330" t="s">
        <v>3843</v>
      </c>
      <c r="O216" s="298"/>
      <c r="P216" s="248">
        <f>IF(OR(L216="3.3.1.", L216="3.3.2.", L216="3.3.3.", L216="3.1.1.", L216="3.1.2.", L216="3.4.1.", L216="3.4.2."), 0, VLOOKUP(L216, Работы!$A$3:$D$184, 4, 0))</f>
        <v>0</v>
      </c>
      <c r="Q216" s="243">
        <f>ROUNDUP((I216-H216)*24, 0)</f>
        <v>1</v>
      </c>
      <c r="R216" s="293"/>
      <c r="S216" s="293"/>
      <c r="T216" s="244">
        <f>IF(OR(L216="3.3.1.", L216="3.3.2.", L216="3.3.3."), VLOOKUP(L216, Работы!$A$3:$D$184, 4, 0), 0)</f>
        <v>903</v>
      </c>
      <c r="U216" s="246">
        <f>IF(OR(L216="3.1.1."), VLOOKUP(L216, Работы!$A$3:$D$184, 4, 0), 0)</f>
        <v>0</v>
      </c>
      <c r="V216" s="246">
        <f>IF(OR(L216="3.1.2."), VLOOKUP(L216, Работы!$A$3:$D$184, 4, 0), 0)</f>
        <v>0</v>
      </c>
      <c r="W216" s="294"/>
      <c r="X216" s="294"/>
      <c r="Y216" s="247">
        <f>IF(OR(L216="3.2.1.", L216="3.2.2."), VLOOKUP(L216, Работы!$A$3:$D$184, 4, 0), 0)</f>
        <v>0</v>
      </c>
      <c r="Z216" s="247">
        <f>IF(OR(L216="3.4.1.", L216="3.4.2."), VLOOKUP(L216, Работы!$A$3:$D$184, 4, 0), 0)</f>
        <v>0</v>
      </c>
      <c r="AA216" s="68">
        <f>P216*O216+Q216*T216+R216*T216+S216*T216+U216+V216+W216*Y216+X216*Y216+Z216</f>
        <v>903</v>
      </c>
      <c r="AB216" s="295"/>
      <c r="AC216" s="296"/>
      <c r="AD216" s="296"/>
      <c r="AE216" s="69">
        <f>AC216*AD216</f>
        <v>0</v>
      </c>
      <c r="AF216" s="71">
        <f>C216*Работы!$D$180</f>
        <v>3282.4100000000003</v>
      </c>
      <c r="AG216" s="68">
        <f>AA216+AE216+AF216+AL216+AM216</f>
        <v>4185.41</v>
      </c>
      <c r="AH216" s="72"/>
      <c r="AI216" s="73"/>
      <c r="AJ216" s="245">
        <f>AG216-AA216*AI216</f>
        <v>4185.41</v>
      </c>
      <c r="AK216" s="251"/>
      <c r="AL216" s="302">
        <f>IF(OR(E216="да"), 4040, 0)</f>
        <v>0</v>
      </c>
      <c r="AM216" s="365">
        <f>IF(OR(D216="доп."), AA216*0.1, 0)</f>
        <v>0</v>
      </c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43"/>
      <c r="BW216" s="43"/>
      <c r="BX216" s="43"/>
      <c r="BY216" s="43"/>
      <c r="BZ216" s="43"/>
      <c r="CA216" s="43"/>
      <c r="CB216" s="43"/>
      <c r="CC216" s="43"/>
      <c r="CD216" s="43"/>
      <c r="CE216" s="43"/>
      <c r="CF216" s="43"/>
      <c r="CG216" s="43"/>
      <c r="CH216" s="43"/>
      <c r="CI216" s="43"/>
      <c r="CJ216" s="43"/>
      <c r="CK216" s="43"/>
      <c r="CL216" s="43"/>
      <c r="CM216" s="43"/>
      <c r="CN216" s="43"/>
      <c r="CO216" s="43"/>
      <c r="CP216" s="43"/>
      <c r="CQ216" s="43"/>
    </row>
    <row r="217" spans="1:95" s="46" customFormat="1" ht="102" x14ac:dyDescent="0.25">
      <c r="A217" s="241">
        <f>ROW(A217)-10</f>
        <v>207</v>
      </c>
      <c r="B217" s="335" t="s">
        <v>2407</v>
      </c>
      <c r="C217" s="241">
        <f>VLOOKUP(B217, Расстояния!B:J, 9, 0)</f>
        <v>71</v>
      </c>
      <c r="D217" s="242" t="str">
        <f>VLOOKUP(B217, Расстояния!B:K, 10, 0)</f>
        <v>осн.</v>
      </c>
      <c r="E217" s="242" t="str">
        <f>VLOOKUP(B217, Расстояния!B:F, 5, 0)</f>
        <v>нет</v>
      </c>
      <c r="F217" s="290" t="s">
        <v>4209</v>
      </c>
      <c r="G217" s="305">
        <v>46098.489675925928</v>
      </c>
      <c r="H217" s="345">
        <v>46098.520138888889</v>
      </c>
      <c r="I217" s="345">
        <v>46098.592361111114</v>
      </c>
      <c r="J217" s="303" t="s">
        <v>4207</v>
      </c>
      <c r="K217" s="306"/>
      <c r="L217" s="340" t="s">
        <v>367</v>
      </c>
      <c r="M217" s="241" t="str">
        <f>VLOOKUP(L217,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217" s="330" t="s">
        <v>3843</v>
      </c>
      <c r="O217" s="298"/>
      <c r="P217" s="248">
        <f>IF(OR(L217="3.3.1.", L217="3.3.2.", L217="3.3.3.", L217="3.1.1.", L217="3.1.2.", L217="3.4.1.", L217="3.4.2."), 0, VLOOKUP(L217, Работы!$A$3:$D$184, 4, 0))</f>
        <v>0</v>
      </c>
      <c r="Q217" s="243">
        <f>ROUNDUP((I217-H217)*24, 0)</f>
        <v>2</v>
      </c>
      <c r="R217" s="293"/>
      <c r="S217" s="293"/>
      <c r="T217" s="244">
        <f>IF(OR(L217="3.3.1.", L217="3.3.2.", L217="3.3.3."), VLOOKUP(L217, Работы!$A$3:$D$184, 4, 0), 0)</f>
        <v>903</v>
      </c>
      <c r="U217" s="246">
        <f>IF(OR(L217="3.1.1."), VLOOKUP(L217, Работы!$A$3:$D$184, 4, 0), 0)</f>
        <v>0</v>
      </c>
      <c r="V217" s="246">
        <f>IF(OR(L217="3.1.2."), VLOOKUP(L217, Работы!$A$3:$D$184, 4, 0), 0)</f>
        <v>0</v>
      </c>
      <c r="W217" s="294"/>
      <c r="X217" s="294"/>
      <c r="Y217" s="247">
        <f>IF(OR(L217="3.2.1.", L217="3.2.2."), VLOOKUP(L217, Работы!$A$3:$D$184, 4, 0), 0)</f>
        <v>0</v>
      </c>
      <c r="Z217" s="247">
        <f>IF(OR(L217="3.4.1.", L217="3.4.2."), VLOOKUP(L217, Работы!$A$3:$D$184, 4, 0), 0)</f>
        <v>0</v>
      </c>
      <c r="AA217" s="68">
        <f>P217*O217+Q217*T217+R217*T217+S217*T217+U217+V217+W217*Y217+X217*Y217+Z217</f>
        <v>1806</v>
      </c>
      <c r="AB217" s="295"/>
      <c r="AC217" s="296"/>
      <c r="AD217" s="296"/>
      <c r="AE217" s="69">
        <f>AC217*AD217</f>
        <v>0</v>
      </c>
      <c r="AF217" s="71">
        <f>C217*Работы!$D$180</f>
        <v>3820.51</v>
      </c>
      <c r="AG217" s="68">
        <f>AA217+AE217+AF217+AL217+AM217</f>
        <v>5626.51</v>
      </c>
      <c r="AH217" s="72"/>
      <c r="AI217" s="73"/>
      <c r="AJ217" s="245">
        <f>AG217-AA217*AI217</f>
        <v>5626.51</v>
      </c>
      <c r="AK217" s="301"/>
      <c r="AL217" s="302">
        <f>IF(OR(E217="да"), 4040, 0)</f>
        <v>0</v>
      </c>
      <c r="AM217" s="365">
        <f>IF(OR(D217="доп."), AA217*0.1, 0)</f>
        <v>0</v>
      </c>
      <c r="AN217" s="251"/>
      <c r="AO217" s="34"/>
      <c r="AP217" s="34"/>
      <c r="AQ217" s="34"/>
      <c r="AR217" s="34"/>
      <c r="AS217" s="34"/>
    </row>
    <row r="218" spans="1:95" s="46" customFormat="1" ht="63.75" x14ac:dyDescent="0.25">
      <c r="A218" s="241">
        <f>ROW(A218)-10</f>
        <v>208</v>
      </c>
      <c r="B218" s="335" t="s">
        <v>2411</v>
      </c>
      <c r="C218" s="241">
        <v>30</v>
      </c>
      <c r="D218" s="242" t="str">
        <f>VLOOKUP(B218, Расстояния!B:K, 10, 0)</f>
        <v>осн.</v>
      </c>
      <c r="E218" s="242" t="str">
        <f>VLOOKUP(B218, Расстояния!B:F, 5, 0)</f>
        <v>нет</v>
      </c>
      <c r="F218" s="290" t="s">
        <v>4197</v>
      </c>
      <c r="G218" s="305">
        <v>46104.769444444442</v>
      </c>
      <c r="H218" s="345">
        <v>46104.794444444444</v>
      </c>
      <c r="I218" s="345">
        <v>46104.794444444444</v>
      </c>
      <c r="J218" s="304" t="s">
        <v>4192</v>
      </c>
      <c r="K218" s="306"/>
      <c r="L218" s="292" t="s">
        <v>371</v>
      </c>
      <c r="M218" s="241" t="str">
        <f>VLOOKUP(L218, Работы!A:B, 2, 0)</f>
        <v>Стоимость отменённого вызова на Аварийно-восстановительные работы, заявка по которым получена во внерабочее время</v>
      </c>
      <c r="N218" s="346" t="s">
        <v>3882</v>
      </c>
      <c r="O218" s="298"/>
      <c r="P218" s="248">
        <f>IF(OR(L218="3.3.1.", L218="3.3.2.", L218="3.3.3.", L218="3.1.1.", L218="3.1.2.", L218="3.4.1.", L218="3.4.2."), 0, VLOOKUP(L218, Работы!$A$3:$D$184, 4, 0))</f>
        <v>0</v>
      </c>
      <c r="Q218" s="243"/>
      <c r="R218" s="293"/>
      <c r="S218" s="293"/>
      <c r="T218" s="244">
        <f>IF(OR(L218="3.3.1.", L218="3.3.2.", L218="3.3.3."), VLOOKUP(L218, Работы!$A$3:$D$184, 4, 0), 0)</f>
        <v>0</v>
      </c>
      <c r="U218" s="246">
        <f>IF(OR(L218="3.1.1."), VLOOKUP(L218, Работы!$A$3:$D$184, 4, 0), 0)</f>
        <v>0</v>
      </c>
      <c r="V218" s="246">
        <f>IF(OR(L218="3.1.2."), VLOOKUP(L218, Работы!$A$3:$D$184, 4, 0), 0)</f>
        <v>0</v>
      </c>
      <c r="W218" s="294"/>
      <c r="X218" s="294"/>
      <c r="Y218" s="247">
        <f>IF(OR(L218="3.2.1.", L218="3.2.2."), VLOOKUP(L218, Работы!$A$3:$D$184, 4, 0), 0)</f>
        <v>0</v>
      </c>
      <c r="Z218" s="247">
        <f>IF(OR(L218="3.4.1.", L218="3.4.2."), VLOOKUP(L218, Работы!$A$3:$D$184, 4, 0), 0)</f>
        <v>1731</v>
      </c>
      <c r="AA218" s="68">
        <f>P218*O218+Q218*T218+R218*T218+S218*T218+U218+V218+W218*Y218+X218*Y218+Z218</f>
        <v>1731</v>
      </c>
      <c r="AB218" s="295"/>
      <c r="AC218" s="296"/>
      <c r="AD218" s="296"/>
      <c r="AE218" s="69">
        <f>AC218*AD218</f>
        <v>0</v>
      </c>
      <c r="AF218" s="71">
        <f>C218*Работы!$D$180</f>
        <v>1614.3000000000002</v>
      </c>
      <c r="AG218" s="68">
        <f>AA218+AE218+AF218+AL218+AM218</f>
        <v>3345.3</v>
      </c>
      <c r="AH218" s="72"/>
      <c r="AI218" s="73"/>
      <c r="AJ218" s="245">
        <f>AG218-AA218*AI218</f>
        <v>3345.3</v>
      </c>
      <c r="AK218" s="251"/>
      <c r="AL218" s="302">
        <f>IF(OR(E218="да"), 4040, 0)</f>
        <v>0</v>
      </c>
      <c r="AM218" s="365">
        <f>IF(OR(D218="доп."), AA218*0.1, 0)</f>
        <v>0</v>
      </c>
      <c r="AN218" s="367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  <c r="CO218" s="34"/>
      <c r="CP218" s="34"/>
      <c r="CQ218" s="34"/>
    </row>
    <row r="219" spans="1:95" s="46" customFormat="1" ht="102" x14ac:dyDescent="0.25">
      <c r="A219" s="241">
        <f>ROW(A219)-10</f>
        <v>209</v>
      </c>
      <c r="B219" s="335" t="s">
        <v>4050</v>
      </c>
      <c r="C219" s="241">
        <f>VLOOKUP(B219, Расстояния!B:J, 9, 0)</f>
        <v>75</v>
      </c>
      <c r="D219" s="242" t="str">
        <f>VLOOKUP(B219, Расстояния!B:K, 10, 0)</f>
        <v>осн.</v>
      </c>
      <c r="E219" s="242" t="str">
        <f>VLOOKUP(B219, Расстояния!B:F, 5, 0)</f>
        <v>нет</v>
      </c>
      <c r="F219" s="290" t="s">
        <v>4153</v>
      </c>
      <c r="G219" s="305">
        <v>46109.616666666669</v>
      </c>
      <c r="H219" s="345">
        <v>46109.663888888892</v>
      </c>
      <c r="I219" s="345">
        <v>46109.767361111109</v>
      </c>
      <c r="J219" s="304" t="s">
        <v>3883</v>
      </c>
      <c r="K219" s="306"/>
      <c r="L219" s="250" t="s">
        <v>367</v>
      </c>
      <c r="M219" s="241" t="str">
        <f>VLOOKUP(L219,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219" s="330" t="s">
        <v>3843</v>
      </c>
      <c r="O219" s="298"/>
      <c r="P219" s="248">
        <f>IF(OR(L219="3.3.1.", L219="3.3.2.", L219="3.3.3.", L219="3.1.1.", L219="3.1.2.", L219="3.4.1.", L219="3.4.2."), 0, VLOOKUP(L219, Работы!$A$3:$D$184, 4, 0))</f>
        <v>0</v>
      </c>
      <c r="Q219" s="243">
        <f>ROUNDUP((I219-H219)*24, 0)</f>
        <v>3</v>
      </c>
      <c r="R219" s="293"/>
      <c r="S219" s="293"/>
      <c r="T219" s="244">
        <f>IF(OR(L219="3.3.1.", L219="3.3.2.", L219="3.3.3."), VLOOKUP(L219, Работы!$A$3:$D$184, 4, 0), 0)</f>
        <v>903</v>
      </c>
      <c r="U219" s="246">
        <f>IF(OR(L219="3.1.1."), VLOOKUP(L219, Работы!$A$3:$D$184, 4, 0), 0)</f>
        <v>0</v>
      </c>
      <c r="V219" s="246">
        <f>IF(OR(L219="3.1.2."), VLOOKUP(L219, Работы!$A$3:$D$184, 4, 0), 0)</f>
        <v>0</v>
      </c>
      <c r="W219" s="294"/>
      <c r="X219" s="294"/>
      <c r="Y219" s="247">
        <f>IF(OR(L219="3.2.1.", L219="3.2.2."), VLOOKUP(L219, Работы!$A$3:$D$184, 4, 0), 0)</f>
        <v>0</v>
      </c>
      <c r="Z219" s="247">
        <f>IF(OR(L219="3.4.1.", L219="3.4.2."), VLOOKUP(L219, Работы!$A$3:$D$184, 4, 0), 0)</f>
        <v>0</v>
      </c>
      <c r="AA219" s="68">
        <f>P219*O219+Q219*T219+R219*T219+S219*T219+U219+V219+W219*Y219+X219*Y219+Z219</f>
        <v>2709</v>
      </c>
      <c r="AB219" s="295"/>
      <c r="AC219" s="296"/>
      <c r="AD219" s="296"/>
      <c r="AE219" s="69">
        <f>AC219*AD219</f>
        <v>0</v>
      </c>
      <c r="AF219" s="71">
        <f>C219*Работы!$D$180</f>
        <v>4035.75</v>
      </c>
      <c r="AG219" s="68">
        <f>AA219+AE219+AF219+AL219+AM219</f>
        <v>6744.75</v>
      </c>
      <c r="AH219" s="72"/>
      <c r="AI219" s="73"/>
      <c r="AJ219" s="245">
        <f>AG219-AA219*AI219</f>
        <v>6744.75</v>
      </c>
      <c r="AK219" s="251"/>
      <c r="AL219" s="302">
        <f>IF(OR(E219="да"), 4040, 0)</f>
        <v>0</v>
      </c>
      <c r="AM219" s="365">
        <f>IF(OR(D219="доп."), AA219*0.1, 0)</f>
        <v>0</v>
      </c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43"/>
      <c r="BW219" s="43"/>
      <c r="BX219" s="43"/>
      <c r="BY219" s="43"/>
      <c r="BZ219" s="43"/>
      <c r="CA219" s="43"/>
      <c r="CB219" s="43"/>
      <c r="CC219" s="43"/>
      <c r="CD219" s="43"/>
      <c r="CE219" s="43"/>
      <c r="CF219" s="43"/>
      <c r="CG219" s="43"/>
      <c r="CH219" s="43"/>
      <c r="CI219" s="43"/>
      <c r="CJ219" s="43"/>
      <c r="CK219" s="43"/>
      <c r="CL219" s="43"/>
      <c r="CM219" s="43"/>
      <c r="CN219" s="43"/>
      <c r="CO219" s="43"/>
      <c r="CP219" s="43"/>
      <c r="CQ219" s="43"/>
    </row>
    <row r="220" spans="1:95" s="46" customFormat="1" ht="57.95" customHeight="1" x14ac:dyDescent="0.25">
      <c r="A220" s="241">
        <f>ROW(A220)-10</f>
        <v>210</v>
      </c>
      <c r="B220" s="362" t="s">
        <v>2070</v>
      </c>
      <c r="C220" s="241">
        <f>VLOOKUP(B220, Расстояния!B:J, 9, 0)</f>
        <v>54</v>
      </c>
      <c r="D220" s="242" t="str">
        <f>VLOOKUP(B220, Расстояния!B:K, 10, 0)</f>
        <v>осн.</v>
      </c>
      <c r="E220" s="242" t="str">
        <f>VLOOKUP(B220, Расстояния!B:F, 5, 0)</f>
        <v>нет</v>
      </c>
      <c r="F220" s="290" t="s">
        <v>4155</v>
      </c>
      <c r="G220" s="305">
        <v>46110.098611111112</v>
      </c>
      <c r="H220" s="345">
        <v>46110.135416666664</v>
      </c>
      <c r="I220" s="345">
        <v>46110.175000000003</v>
      </c>
      <c r="J220" s="331" t="s">
        <v>3883</v>
      </c>
      <c r="K220" s="306"/>
      <c r="L220" s="250" t="s">
        <v>332</v>
      </c>
      <c r="M220" s="241" t="str">
        <f>VLOOKUP(L220, Работы!A:B, 2, 0)</f>
        <v>Стоимость аварийно-восстановительных работ, заявка по которым получена во внерабочее время</v>
      </c>
      <c r="N220" s="347" t="s">
        <v>4246</v>
      </c>
      <c r="O220" s="298"/>
      <c r="P220" s="248">
        <f>IF(OR(L220="3.3.1.", L220="3.3.2.", L220="3.3.3.", L220="3.1.1.", L220="3.1.2.", L220="3.4.1.", L220="3.4.2."), 0, VLOOKUP(L220, Работы!$A$3:$D$184, 4, 0))</f>
        <v>0</v>
      </c>
      <c r="Q220" s="293"/>
      <c r="R220" s="293"/>
      <c r="S220" s="293"/>
      <c r="T220" s="244">
        <f>IF(OR(L220="3.3.1.", L220="3.3.2.", L220="3.3.3."), VLOOKUP(L220, Работы!$A$3:$D$184, 4, 0), 0)</f>
        <v>0</v>
      </c>
      <c r="U220" s="246">
        <f>IF(OR(L220="3.1.1."), VLOOKUP(L220, Работы!$A$3:$D$184, 4, 0), 0)</f>
        <v>0</v>
      </c>
      <c r="V220" s="246">
        <f>IF(OR(L220="3.1.2."), VLOOKUP(L220, Работы!$A$3:$D$184, 4, 0), 0)</f>
        <v>7187</v>
      </c>
      <c r="W220" s="294"/>
      <c r="X220" s="294"/>
      <c r="Y220" s="247">
        <f>IF(OR(L220="3.2.1.", L220="3.2.2."), VLOOKUP(L220, Работы!$A$3:$D$184, 4, 0), 0)</f>
        <v>0</v>
      </c>
      <c r="Z220" s="247">
        <f>IF(OR(L220="3.4.1.", L220="3.4.2."), VLOOKUP(L220, Работы!$A$3:$D$184, 4, 0), 0)</f>
        <v>0</v>
      </c>
      <c r="AA220" s="68">
        <f>P220*O220+Q220*T220+R220*T220+S220*T220+U220+V220+W220*Y220+X220*Y220+Z220</f>
        <v>7187</v>
      </c>
      <c r="AB220" s="295"/>
      <c r="AC220" s="296"/>
      <c r="AD220" s="296"/>
      <c r="AE220" s="69">
        <f>AC220*AD220</f>
        <v>0</v>
      </c>
      <c r="AF220" s="71">
        <f>C220*Работы!$D$180</f>
        <v>2905.7400000000002</v>
      </c>
      <c r="AG220" s="68">
        <f>AA220+AE220+AF220+AL220+AM220</f>
        <v>10092.74</v>
      </c>
      <c r="AH220" s="72"/>
      <c r="AI220" s="73"/>
      <c r="AJ220" s="245">
        <f>AG220-AA220*AI220</f>
        <v>10092.74</v>
      </c>
      <c r="AK220" s="251"/>
      <c r="AL220" s="302">
        <f>IF(OR(E220="да"), 4040, 0)</f>
        <v>0</v>
      </c>
      <c r="AM220" s="365">
        <f>IF(OR(D220="доп."), AA220*0.1, 0)</f>
        <v>0</v>
      </c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43"/>
      <c r="BW220" s="43"/>
      <c r="BX220" s="43"/>
      <c r="BY220" s="43"/>
      <c r="BZ220" s="43"/>
      <c r="CA220" s="43"/>
      <c r="CB220" s="43"/>
      <c r="CC220" s="43"/>
      <c r="CD220" s="43"/>
      <c r="CE220" s="43"/>
      <c r="CF220" s="43"/>
      <c r="CG220" s="43"/>
      <c r="CH220" s="43"/>
      <c r="CI220" s="43"/>
      <c r="CJ220" s="43"/>
      <c r="CK220" s="43"/>
      <c r="CL220" s="43"/>
      <c r="CM220" s="43"/>
      <c r="CN220" s="43"/>
      <c r="CO220" s="43"/>
      <c r="CP220" s="43"/>
      <c r="CQ220" s="43"/>
    </row>
    <row r="221" spans="1:95" s="46" customFormat="1" ht="102" x14ac:dyDescent="0.25">
      <c r="A221" s="241">
        <f>ROW(A221)-10</f>
        <v>211</v>
      </c>
      <c r="B221" s="335" t="s">
        <v>1680</v>
      </c>
      <c r="C221" s="241">
        <f>VLOOKUP(B221, Расстояния!B:J, 9, 0)</f>
        <v>9</v>
      </c>
      <c r="D221" s="242" t="str">
        <f>VLOOKUP(B221, Расстояния!B:K, 10, 0)</f>
        <v>осн.</v>
      </c>
      <c r="E221" s="242" t="str">
        <f>VLOOKUP(B221, Расстояния!B:F, 5, 0)</f>
        <v>нет</v>
      </c>
      <c r="F221" s="290" t="s">
        <v>4071</v>
      </c>
      <c r="G221" s="305">
        <v>46097.455555555556</v>
      </c>
      <c r="H221" s="345">
        <v>46097.494444444441</v>
      </c>
      <c r="I221" s="345">
        <v>46097.645833333336</v>
      </c>
      <c r="J221" s="303" t="s">
        <v>4046</v>
      </c>
      <c r="K221" s="306"/>
      <c r="L221" s="250" t="s">
        <v>367</v>
      </c>
      <c r="M221" s="241" t="str">
        <f>VLOOKUP(L221,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221" s="330" t="s">
        <v>3843</v>
      </c>
      <c r="O221" s="298"/>
      <c r="P221" s="248">
        <f>IF(OR(L221="3.3.1.", L221="3.3.2.", L221="3.3.3.", L221="3.1.1.", L221="3.1.2.", L221="3.4.1.", L221="3.4.2."), 0, VLOOKUP(L221, Работы!$A$3:$D$184, 4, 0))</f>
        <v>0</v>
      </c>
      <c r="Q221" s="293">
        <f>ROUNDUP((I221-H221)*24, 0)</f>
        <v>4</v>
      </c>
      <c r="R221" s="293"/>
      <c r="S221" s="293"/>
      <c r="T221" s="244">
        <f>IF(OR(L221="3.3.1.", L221="3.3.2.", L221="3.3.3."), VLOOKUP(L221, Работы!$A$3:$D$184, 4, 0), 0)</f>
        <v>903</v>
      </c>
      <c r="U221" s="246">
        <f>IF(OR(L221="3.1.1."), VLOOKUP(L221, Работы!$A$3:$D$184, 4, 0), 0)</f>
        <v>0</v>
      </c>
      <c r="V221" s="246">
        <f>IF(OR(L221="3.1.2."), VLOOKUP(L221, Работы!$A$3:$D$184, 4, 0), 0)</f>
        <v>0</v>
      </c>
      <c r="W221" s="294"/>
      <c r="X221" s="294"/>
      <c r="Y221" s="247">
        <f>IF(OR(L221="3.2.1.", L221="3.2.2."), VLOOKUP(L221, Работы!$A$3:$D$184, 4, 0), 0)</f>
        <v>0</v>
      </c>
      <c r="Z221" s="247">
        <f>IF(OR(L221="3.4.1.", L221="3.4.2."), VLOOKUP(L221, Работы!$A$3:$D$184, 4, 0), 0)</f>
        <v>0</v>
      </c>
      <c r="AA221" s="68">
        <f>P221*O221+Q221*T221+R221*T221+S221*T221+U221+V221+W221*Y221+X221*Y221+Z221</f>
        <v>3612</v>
      </c>
      <c r="AB221" s="295"/>
      <c r="AC221" s="296"/>
      <c r="AD221" s="296"/>
      <c r="AE221" s="69">
        <f>AC221*AD221</f>
        <v>0</v>
      </c>
      <c r="AF221" s="71">
        <f>C221*Работы!$D$180</f>
        <v>484.29</v>
      </c>
      <c r="AG221" s="68">
        <f>AA221+AE221+AF221+AL221+AM221</f>
        <v>4096.29</v>
      </c>
      <c r="AH221" s="72"/>
      <c r="AI221" s="73"/>
      <c r="AJ221" s="245">
        <f>AG221-AA221*AI221</f>
        <v>4096.29</v>
      </c>
      <c r="AK221" s="301"/>
      <c r="AL221" s="302">
        <f>IF(OR(E221="да"), 4040, 0)</f>
        <v>0</v>
      </c>
      <c r="AM221" s="365">
        <f>IF(OR(D221="доп."), AA221*0.1, 0)</f>
        <v>0</v>
      </c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43"/>
      <c r="BW221" s="43"/>
      <c r="BX221" s="43"/>
      <c r="BY221" s="43"/>
      <c r="BZ221" s="43"/>
      <c r="CA221" s="43"/>
      <c r="CB221" s="43"/>
      <c r="CC221" s="43"/>
      <c r="CD221" s="43"/>
      <c r="CE221" s="43"/>
      <c r="CF221" s="43"/>
      <c r="CG221" s="43"/>
      <c r="CH221" s="43"/>
      <c r="CI221" s="43"/>
      <c r="CJ221" s="43"/>
      <c r="CK221" s="43"/>
      <c r="CL221" s="43"/>
      <c r="CM221" s="43"/>
      <c r="CN221" s="43"/>
      <c r="CO221" s="43"/>
      <c r="CP221" s="43"/>
      <c r="CQ221" s="43"/>
    </row>
    <row r="222" spans="1:95" s="46" customFormat="1" ht="102" x14ac:dyDescent="0.25">
      <c r="A222" s="241">
        <f>ROW(A222)-10</f>
        <v>212</v>
      </c>
      <c r="B222" s="335" t="s">
        <v>1696</v>
      </c>
      <c r="C222" s="241">
        <f>VLOOKUP(B222, Расстояния!B:J, 9, 0)</f>
        <v>0</v>
      </c>
      <c r="D222" s="242" t="str">
        <f>VLOOKUP(B222, Расстояния!B:K, 10, 0)</f>
        <v>осн.</v>
      </c>
      <c r="E222" s="242" t="str">
        <f>VLOOKUP(B222, Расстояния!B:F, 5, 0)</f>
        <v>нет</v>
      </c>
      <c r="F222" s="290" t="s">
        <v>4097</v>
      </c>
      <c r="G222" s="305">
        <v>46107.374305555553</v>
      </c>
      <c r="H222" s="345">
        <v>46107.416666666664</v>
      </c>
      <c r="I222" s="345">
        <v>46107.425694444442</v>
      </c>
      <c r="J222" s="304" t="s">
        <v>4046</v>
      </c>
      <c r="K222" s="306"/>
      <c r="L222" s="250" t="s">
        <v>367</v>
      </c>
      <c r="M222" s="241" t="str">
        <f>VLOOKUP(L222,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222" s="330" t="s">
        <v>3843</v>
      </c>
      <c r="O222" s="298"/>
      <c r="P222" s="248">
        <f>IF(OR(L222="3.3.1.", L222="3.3.2.", L222="3.3.3.", L222="3.1.1.", L222="3.1.2.", L222="3.4.1.", L222="3.4.2."), 0, VLOOKUP(L222, Работы!$A$3:$D$184, 4, 0))</f>
        <v>0</v>
      </c>
      <c r="Q222" s="293">
        <f>ROUNDUP((I222-H222)*24, 0)</f>
        <v>1</v>
      </c>
      <c r="R222" s="293"/>
      <c r="S222" s="293"/>
      <c r="T222" s="244">
        <f>IF(OR(L222="3.3.1.", L222="3.3.2.", L222="3.3.3."), VLOOKUP(L222, Работы!$A$3:$D$184, 4, 0), 0)</f>
        <v>903</v>
      </c>
      <c r="U222" s="246">
        <f>IF(OR(L222="3.1.1."), VLOOKUP(L222, Работы!$A$3:$D$184, 4, 0), 0)</f>
        <v>0</v>
      </c>
      <c r="V222" s="246">
        <f>IF(OR(L222="3.1.2."), VLOOKUP(L222, Работы!$A$3:$D$184, 4, 0), 0)</f>
        <v>0</v>
      </c>
      <c r="W222" s="294"/>
      <c r="X222" s="294"/>
      <c r="Y222" s="247">
        <f>IF(OR(L222="3.2.1.", L222="3.2.2."), VLOOKUP(L222, Работы!$A$3:$D$184, 4, 0), 0)</f>
        <v>0</v>
      </c>
      <c r="Z222" s="247">
        <f>IF(OR(L222="3.4.1.", L222="3.4.2."), VLOOKUP(L222, Работы!$A$3:$D$184, 4, 0), 0)</f>
        <v>0</v>
      </c>
      <c r="AA222" s="68">
        <f>P222*O222+Q222*T222+R222*T222+S222*T222+U222+V222+W222*Y222+X222*Y222+Z222</f>
        <v>903</v>
      </c>
      <c r="AB222" s="295"/>
      <c r="AC222" s="296"/>
      <c r="AD222" s="296"/>
      <c r="AE222" s="69">
        <f>AC222*AD222</f>
        <v>0</v>
      </c>
      <c r="AF222" s="71">
        <f>C222*Работы!$D$180</f>
        <v>0</v>
      </c>
      <c r="AG222" s="68">
        <f>AA222+AE222+AF222+AL222+AM222</f>
        <v>903</v>
      </c>
      <c r="AH222" s="72"/>
      <c r="AI222" s="73"/>
      <c r="AJ222" s="245">
        <f>AG222-AA222*AI222</f>
        <v>903</v>
      </c>
      <c r="AK222" s="251"/>
      <c r="AL222" s="302">
        <f>IF(OR(E222="да"), 4040, 0)</f>
        <v>0</v>
      </c>
      <c r="AM222" s="365">
        <f>IF(OR(D222="доп."), AA222*0.1, 0)</f>
        <v>0</v>
      </c>
      <c r="AN222" s="251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  <c r="CO222" s="34"/>
      <c r="CP222" s="34"/>
      <c r="CQ222" s="34"/>
    </row>
    <row r="223" spans="1:95" s="46" customFormat="1" ht="102" x14ac:dyDescent="0.25">
      <c r="A223" s="241">
        <f>ROW(A223)-10</f>
        <v>213</v>
      </c>
      <c r="B223" s="335" t="s">
        <v>1696</v>
      </c>
      <c r="C223" s="241">
        <v>0</v>
      </c>
      <c r="D223" s="242" t="str">
        <f>VLOOKUP(B223, Расстояния!B:K, 10, 0)</f>
        <v>осн.</v>
      </c>
      <c r="E223" s="242" t="str">
        <f>VLOOKUP(B223, Расстояния!B:F, 5, 0)</f>
        <v>нет</v>
      </c>
      <c r="F223" s="290" t="s">
        <v>4234</v>
      </c>
      <c r="G223" s="305">
        <v>46098.397222222222</v>
      </c>
      <c r="H223" s="345">
        <v>46098.440972222219</v>
      </c>
      <c r="I223" s="345">
        <v>46098.454861111109</v>
      </c>
      <c r="J223" s="304" t="s">
        <v>4227</v>
      </c>
      <c r="K223" s="306"/>
      <c r="L223" s="340" t="s">
        <v>367</v>
      </c>
      <c r="M223" s="241" t="str">
        <f>VLOOKUP(L223, Работы!A:B, 2, 0)</f>
        <v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v>
      </c>
      <c r="N223" s="330" t="s">
        <v>3843</v>
      </c>
      <c r="O223" s="298"/>
      <c r="P223" s="248">
        <f>IF(OR(L223="3.3.1.", L223="3.3.2.", L223="3.3.3.", L223="3.1.1.", L223="3.1.2.", L223="3.4.1.", L223="3.4.2."), 0, VLOOKUP(L223, Работы!$A$3:$D$184, 4, 0))</f>
        <v>0</v>
      </c>
      <c r="Q223" s="293">
        <f>ROUNDUP((I223-H223)*24, 0)</f>
        <v>1</v>
      </c>
      <c r="R223" s="293"/>
      <c r="S223" s="293"/>
      <c r="T223" s="244">
        <f>IF(OR(L223="3.3.1.", L223="3.3.2.", L223="3.3.3."), VLOOKUP(L223, Работы!$A$3:$D$184, 4, 0), 0)</f>
        <v>903</v>
      </c>
      <c r="U223" s="246">
        <f>IF(OR(L223="3.1.1."), VLOOKUP(L223, Работы!$A$3:$D$184, 4, 0), 0)</f>
        <v>0</v>
      </c>
      <c r="V223" s="246">
        <f>IF(OR(L223="3.1.2."), VLOOKUP(L223, Работы!$A$3:$D$184, 4, 0), 0)</f>
        <v>0</v>
      </c>
      <c r="W223" s="294"/>
      <c r="X223" s="294"/>
      <c r="Y223" s="247">
        <f>IF(OR(L223="3.2.1.", L223="3.2.2."), VLOOKUP(L223, Работы!$A$3:$D$184, 4, 0), 0)</f>
        <v>0</v>
      </c>
      <c r="Z223" s="247">
        <f>IF(OR(L223="3.4.1.", L223="3.4.2."), VLOOKUP(L223, Работы!$A$3:$D$184, 4, 0), 0)</f>
        <v>0</v>
      </c>
      <c r="AA223" s="68">
        <f>P223*O223+Q223*T223+R223*T223+S223*T223+U223+V223+W223*Y223+X223*Y223+Z223</f>
        <v>903</v>
      </c>
      <c r="AB223" s="295"/>
      <c r="AC223" s="296"/>
      <c r="AD223" s="296"/>
      <c r="AE223" s="69">
        <f>AC223*AD223</f>
        <v>0</v>
      </c>
      <c r="AF223" s="71">
        <f>C223*Работы!$D$180</f>
        <v>0</v>
      </c>
      <c r="AG223" s="68">
        <f>AA223+AE223+AF223+AL223+AM223</f>
        <v>903</v>
      </c>
      <c r="AH223" s="72"/>
      <c r="AI223" s="73"/>
      <c r="AJ223" s="245">
        <f>AG223-AA223*AI223</f>
        <v>903</v>
      </c>
      <c r="AK223" s="251"/>
      <c r="AL223" s="302">
        <f>IF(OR(E223="да"), 4040, 0)</f>
        <v>0</v>
      </c>
      <c r="AM223" s="365">
        <f>IF(OR(D223="доп."), AA223*0.1, 0)</f>
        <v>0</v>
      </c>
      <c r="AN223" s="367"/>
      <c r="AO223" s="34"/>
      <c r="AP223" s="34"/>
      <c r="AQ223" s="34"/>
      <c r="AR223" s="34"/>
      <c r="AS223" s="34"/>
    </row>
    <row r="224" spans="1:95" s="46" customFormat="1" ht="114.75" x14ac:dyDescent="0.25">
      <c r="A224" s="241">
        <f>ROW(A224)-10</f>
        <v>214</v>
      </c>
      <c r="B224" s="335"/>
      <c r="C224" s="241"/>
      <c r="D224" s="242"/>
      <c r="E224" s="242"/>
      <c r="F224" s="290"/>
      <c r="G224" s="305"/>
      <c r="H224" s="345"/>
      <c r="I224" s="345"/>
      <c r="J224" s="303" t="s">
        <v>4046</v>
      </c>
      <c r="K224" s="306"/>
      <c r="L224" s="292" t="s">
        <v>198</v>
      </c>
      <c r="M224" s="241" t="str">
        <f>VLOOKUP(L224, Работы!A:B, 2, 0)</f>
        <v>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</v>
      </c>
      <c r="N224" s="330" t="s">
        <v>4251</v>
      </c>
      <c r="O224" s="298">
        <v>3</v>
      </c>
      <c r="P224" s="248">
        <f>IF(OR(L224="3.3.1.", L224="3.3.2.", L224="3.3.3.", L224="3.1.1.", L224="3.1.2.", L224="3.4.1.", L224="3.4.2."), 0, VLOOKUP(L224, Работы!$A$3:$D$184, 4, 0))</f>
        <v>735</v>
      </c>
      <c r="Q224" s="293"/>
      <c r="R224" s="293"/>
      <c r="S224" s="293"/>
      <c r="T224" s="244">
        <f>IF(OR(L224="3.3.1.", L224="3.3.2.", L224="3.3.3."), VLOOKUP(L224, Работы!$A$3:$D$184, 4, 0), 0)</f>
        <v>0</v>
      </c>
      <c r="U224" s="246">
        <f>IF(OR(L224="3.1.1."), VLOOKUP(L224, Работы!$A$3:$D$184, 4, 0), 0)</f>
        <v>0</v>
      </c>
      <c r="V224" s="246">
        <f>IF(OR(L224="3.1.2."), VLOOKUP(L224, Работы!$A$3:$D$184, 4, 0), 0)</f>
        <v>0</v>
      </c>
      <c r="W224" s="294"/>
      <c r="X224" s="294"/>
      <c r="Y224" s="247">
        <f>IF(OR(L224="3.2.1.", L224="3.2.2."), VLOOKUP(L224, Работы!$A$3:$D$184, 4, 0), 0)</f>
        <v>0</v>
      </c>
      <c r="Z224" s="247">
        <f>IF(OR(L224="3.4.1.", L224="3.4.2."), VLOOKUP(L224, Работы!$A$3:$D$184, 4, 0), 0)</f>
        <v>0</v>
      </c>
      <c r="AA224" s="68">
        <f>P224*O224+Q224*T224+R224*T224+S224*T224+U224+V224+W224*Y224+X224*Y224+Z224</f>
        <v>2205</v>
      </c>
      <c r="AB224" s="295"/>
      <c r="AC224" s="296"/>
      <c r="AD224" s="296"/>
      <c r="AE224" s="69">
        <f>AC224*AD224</f>
        <v>0</v>
      </c>
      <c r="AF224" s="71">
        <f>C224*Работы!$D$180</f>
        <v>0</v>
      </c>
      <c r="AG224" s="68">
        <f>AA224+AE224+AF224+AL224+AM224</f>
        <v>2205</v>
      </c>
      <c r="AH224" s="72"/>
      <c r="AI224" s="73"/>
      <c r="AJ224" s="245">
        <f>AG224-AA224*AI224</f>
        <v>2205</v>
      </c>
      <c r="AK224" s="251"/>
      <c r="AL224" s="302">
        <f>IF(OR(E224="да"), 4040, 0)</f>
        <v>0</v>
      </c>
      <c r="AM224" s="365">
        <f>IF(OR(D224="доп."), AA224*0.1, 0)</f>
        <v>0</v>
      </c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43"/>
      <c r="BW224" s="43"/>
      <c r="BX224" s="43"/>
      <c r="BY224" s="43"/>
      <c r="BZ224" s="43"/>
      <c r="CA224" s="43"/>
      <c r="CB224" s="43"/>
      <c r="CC224" s="43"/>
      <c r="CD224" s="43"/>
      <c r="CE224" s="43"/>
      <c r="CF224" s="43"/>
      <c r="CG224" s="43"/>
      <c r="CH224" s="43"/>
      <c r="CI224" s="43"/>
      <c r="CJ224" s="43"/>
      <c r="CK224" s="43"/>
      <c r="CL224" s="43"/>
      <c r="CM224" s="43"/>
      <c r="CN224" s="43"/>
      <c r="CO224" s="43"/>
      <c r="CP224" s="43"/>
      <c r="CQ224" s="43"/>
    </row>
    <row r="225" spans="1:45" s="46" customFormat="1" ht="25.5" x14ac:dyDescent="0.25">
      <c r="A225" s="241">
        <f>ROW(A225)-10</f>
        <v>215</v>
      </c>
      <c r="B225" s="335"/>
      <c r="C225" s="241"/>
      <c r="D225" s="242"/>
      <c r="E225" s="242"/>
      <c r="F225" s="290"/>
      <c r="G225" s="305">
        <v>46098</v>
      </c>
      <c r="H225" s="305"/>
      <c r="I225" s="305"/>
      <c r="J225" s="303" t="s">
        <v>4047</v>
      </c>
      <c r="K225" s="306"/>
      <c r="L225" s="292" t="s">
        <v>358</v>
      </c>
      <c r="M225" s="327" t="str">
        <f>VLOOKUP(L225, [2]Работы!A:B, 2, 0)</f>
        <v>Стоимость Километро - вызова до Объекта*</v>
      </c>
      <c r="N225" s="330" t="s">
        <v>4235</v>
      </c>
      <c r="O225" s="298">
        <v>72</v>
      </c>
      <c r="P225" s="248">
        <f>IF(OR(L225="3.3.1.", L225="3.3.2.", L225="3.3.3.", L225="3.1.1.", L225="3.1.2.", L225="3.4.1.", L225="3.4.2."), 0, VLOOKUP(L225, Работы!$A$3:$D$184, 4, 0))</f>
        <v>53.81</v>
      </c>
      <c r="Q225" s="243"/>
      <c r="R225" s="293"/>
      <c r="S225" s="293"/>
      <c r="T225" s="244">
        <f>IF(OR(L225="3.3.1.", L225="3.3.2.", L225="3.3.3."), VLOOKUP(L225, Работы!$A$3:$D$184, 4, 0), 0)</f>
        <v>0</v>
      </c>
      <c r="U225" s="246">
        <f>IF(OR(L225="3.1.1."), VLOOKUP(L225, Работы!$A$3:$D$184, 4, 0), 0)</f>
        <v>0</v>
      </c>
      <c r="V225" s="246">
        <f>IF(OR(L225="3.1.2."), VLOOKUP(L225, Работы!$A$3:$D$184, 4, 0), 0)</f>
        <v>0</v>
      </c>
      <c r="W225" s="294"/>
      <c r="X225" s="294"/>
      <c r="Y225" s="247">
        <f>IF(OR(L225="3.2.1.", L225="3.2.2."), VLOOKUP(L225, Работы!$A$3:$D$184, 4, 0), 0)</f>
        <v>0</v>
      </c>
      <c r="Z225" s="247">
        <f>IF(OR(L225="3.4.1.", L225="3.4.2."), VLOOKUP(L225, Работы!$A$3:$D$184, 4, 0), 0)</f>
        <v>0</v>
      </c>
      <c r="AA225" s="68">
        <f>P225*O225+Q225*T225+R225*T225+S225*T225+U225+V225+W225*Y225+X225*Y225+Z225</f>
        <v>3874.32</v>
      </c>
      <c r="AB225" s="295"/>
      <c r="AC225" s="296"/>
      <c r="AD225" s="296"/>
      <c r="AE225" s="69">
        <f>AC225*AD225</f>
        <v>0</v>
      </c>
      <c r="AF225" s="71">
        <f>C225*Работы!$D$180</f>
        <v>0</v>
      </c>
      <c r="AG225" s="68">
        <f>AA225+AE225+AF225+AL225+AM225</f>
        <v>3874.32</v>
      </c>
      <c r="AH225" s="72"/>
      <c r="AI225" s="73"/>
      <c r="AJ225" s="245">
        <f>AG225-AA225*AI225</f>
        <v>3874.32</v>
      </c>
      <c r="AK225" s="301"/>
      <c r="AL225" s="302">
        <f>IF(OR(E225="да"), 4040, 0)</f>
        <v>0</v>
      </c>
      <c r="AM225" s="365">
        <f>IF(OR(D225="доп."), AA225*0.1, 0)</f>
        <v>0</v>
      </c>
      <c r="AN225" s="251"/>
      <c r="AO225" s="34"/>
      <c r="AP225" s="34"/>
      <c r="AQ225" s="34"/>
      <c r="AR225" s="34"/>
      <c r="AS225" s="34"/>
    </row>
    <row r="226" spans="1:45" s="46" customFormat="1" ht="25.5" x14ac:dyDescent="0.25">
      <c r="A226" s="241">
        <f>ROW(A226)-10</f>
        <v>216</v>
      </c>
      <c r="B226" s="335"/>
      <c r="C226" s="241"/>
      <c r="D226" s="242"/>
      <c r="E226" s="242"/>
      <c r="F226" s="290"/>
      <c r="G226" s="305">
        <v>46099</v>
      </c>
      <c r="H226" s="305"/>
      <c r="I226" s="305"/>
      <c r="J226" s="303" t="s">
        <v>4047</v>
      </c>
      <c r="K226" s="306"/>
      <c r="L226" s="292" t="s">
        <v>358</v>
      </c>
      <c r="M226" s="327" t="str">
        <f>VLOOKUP(L226, [2]Работы!A:B, 2, 0)</f>
        <v>Стоимость Километро - вызова до Объекта*</v>
      </c>
      <c r="N226" s="346" t="s">
        <v>4235</v>
      </c>
      <c r="O226" s="298">
        <v>190</v>
      </c>
      <c r="P226" s="248">
        <f>IF(OR(L226="3.3.1.", L226="3.3.2.", L226="3.3.3.", L226="3.1.1.", L226="3.1.2.", L226="3.4.1.", L226="3.4.2."), 0, VLOOKUP(L226, Работы!$A$3:$D$184, 4, 0))</f>
        <v>53.81</v>
      </c>
      <c r="Q226" s="243"/>
      <c r="R226" s="293"/>
      <c r="S226" s="293"/>
      <c r="T226" s="244">
        <f>IF(OR(L226="3.3.1.", L226="3.3.2.", L226="3.3.3."), VLOOKUP(L226, Работы!$A$3:$D$184, 4, 0), 0)</f>
        <v>0</v>
      </c>
      <c r="U226" s="246">
        <f>IF(OR(L226="3.1.1."), VLOOKUP(L226, Работы!$A$3:$D$184, 4, 0), 0)</f>
        <v>0</v>
      </c>
      <c r="V226" s="246">
        <f>IF(OR(L226="3.1.2."), VLOOKUP(L226, Работы!$A$3:$D$184, 4, 0), 0)</f>
        <v>0</v>
      </c>
      <c r="W226" s="294"/>
      <c r="X226" s="294"/>
      <c r="Y226" s="247">
        <f>IF(OR(L226="3.2.1.", L226="3.2.2."), VLOOKUP(L226, Работы!$A$3:$D$184, 4, 0), 0)</f>
        <v>0</v>
      </c>
      <c r="Z226" s="247">
        <f>IF(OR(L226="3.4.1.", L226="3.4.2."), VLOOKUP(L226, Работы!$A$3:$D$184, 4, 0), 0)</f>
        <v>0</v>
      </c>
      <c r="AA226" s="68">
        <f>P226*O226+Q226*T226+R226*T226+S226*T226+U226+V226+W226*Y226+X226*Y226+Z226</f>
        <v>10223.9</v>
      </c>
      <c r="AB226" s="295"/>
      <c r="AC226" s="296"/>
      <c r="AD226" s="296"/>
      <c r="AE226" s="69">
        <f>AC226*AD226</f>
        <v>0</v>
      </c>
      <c r="AF226" s="71">
        <f>C226*Работы!$D$180</f>
        <v>0</v>
      </c>
      <c r="AG226" s="68">
        <f>AA226+AE226+AF226+AL226+AM226</f>
        <v>10223.9</v>
      </c>
      <c r="AH226" s="72"/>
      <c r="AI226" s="73"/>
      <c r="AJ226" s="245">
        <f>AG226-AA226*AI226</f>
        <v>10223.9</v>
      </c>
      <c r="AK226" s="301"/>
      <c r="AL226" s="302">
        <f>IF(OR(E226="да"), 4040, 0)</f>
        <v>0</v>
      </c>
      <c r="AM226" s="365">
        <f>IF(OR(D226="доп."), AA226*0.1, 0)</f>
        <v>0</v>
      </c>
      <c r="AN226" s="251"/>
      <c r="AO226" s="34"/>
      <c r="AP226" s="34"/>
      <c r="AQ226" s="34"/>
      <c r="AR226" s="34"/>
      <c r="AS226" s="34"/>
    </row>
    <row r="227" spans="1:45" s="46" customFormat="1" ht="15" x14ac:dyDescent="0.25">
      <c r="A227" s="78"/>
      <c r="B227" s="78"/>
      <c r="C227" s="78">
        <f>SUM(C11:C226)</f>
        <v>8263.5</v>
      </c>
      <c r="D227" s="78"/>
      <c r="E227" s="78"/>
      <c r="F227" s="78"/>
      <c r="G227" s="79"/>
      <c r="H227" s="79"/>
      <c r="I227" s="79"/>
      <c r="J227" s="78"/>
      <c r="K227" s="78"/>
      <c r="L227" s="80"/>
      <c r="M227" s="81"/>
      <c r="N227" s="78"/>
      <c r="O227" s="91">
        <f>SUM(O11:O226)</f>
        <v>383.13200000000001</v>
      </c>
      <c r="P227" s="82"/>
      <c r="Q227" s="83"/>
      <c r="R227" s="83"/>
      <c r="S227" s="83"/>
      <c r="T227" s="82"/>
      <c r="U227" s="78"/>
      <c r="V227" s="78"/>
      <c r="W227" s="78"/>
      <c r="X227" s="78"/>
      <c r="Y227" s="78"/>
      <c r="Z227" s="78"/>
      <c r="AA227" s="91">
        <f>SUM(AA11:AA226)</f>
        <v>677716.00600000005</v>
      </c>
      <c r="AB227" s="85"/>
      <c r="AC227" s="85"/>
      <c r="AD227" s="85"/>
      <c r="AE227" s="85"/>
      <c r="AF227" s="84"/>
      <c r="AG227" s="86" t="s">
        <v>3884</v>
      </c>
      <c r="AH227" s="87"/>
      <c r="AI227" s="87"/>
      <c r="AJ227" s="88">
        <f>SUM(AJ11:AJ226)</f>
        <v>1145466.1409999996</v>
      </c>
      <c r="AK227" s="87"/>
      <c r="AL227" s="89"/>
      <c r="AM227" s="89"/>
      <c r="AN227" s="368"/>
      <c r="AO227" s="34"/>
      <c r="AP227" s="34"/>
      <c r="AQ227" s="34"/>
      <c r="AR227" s="34"/>
      <c r="AS227" s="34"/>
    </row>
    <row r="228" spans="1:45" ht="15" x14ac:dyDescent="0.25">
      <c r="A228" s="78"/>
      <c r="B228" s="78"/>
      <c r="C228" s="78"/>
      <c r="D228" s="78"/>
      <c r="E228" s="78"/>
      <c r="F228" s="78"/>
      <c r="G228" s="90"/>
      <c r="H228" s="90"/>
      <c r="I228" s="90"/>
      <c r="J228" s="90"/>
      <c r="K228" s="90"/>
      <c r="L228" s="80"/>
      <c r="M228" s="81"/>
      <c r="N228" s="78"/>
      <c r="O228" s="78"/>
      <c r="P228" s="78"/>
      <c r="Q228" s="83"/>
      <c r="R228" s="91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81"/>
      <c r="AG228" s="92" t="s">
        <v>4070</v>
      </c>
      <c r="AH228" s="93"/>
      <c r="AI228" s="87"/>
      <c r="AJ228" s="94">
        <f>ROUND(AJ227*0.22, 2)</f>
        <v>252002.55</v>
      </c>
      <c r="AK228" s="87"/>
      <c r="AL228" s="81"/>
      <c r="AM228" s="95"/>
      <c r="AN228" s="33"/>
      <c r="AO228" s="34"/>
      <c r="AP228" s="34"/>
      <c r="AQ228" s="34"/>
      <c r="AR228" s="34"/>
      <c r="AS228" s="34"/>
    </row>
    <row r="229" spans="1:45" s="42" customFormat="1" ht="15" x14ac:dyDescent="0.25">
      <c r="A229" s="33"/>
      <c r="B229" s="78"/>
      <c r="C229" s="78"/>
      <c r="D229" s="78"/>
      <c r="E229" s="78"/>
      <c r="F229" s="78"/>
      <c r="G229" s="90"/>
      <c r="H229" s="90"/>
      <c r="I229" s="90"/>
      <c r="J229" s="90"/>
      <c r="K229" s="90"/>
      <c r="L229" s="80"/>
      <c r="M229" s="81"/>
      <c r="N229" s="78"/>
      <c r="O229" s="78"/>
      <c r="P229" s="78"/>
      <c r="Q229" s="83"/>
      <c r="R229" s="91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81"/>
      <c r="AG229" s="92" t="s">
        <v>3885</v>
      </c>
      <c r="AH229" s="31"/>
      <c r="AI229" s="87"/>
      <c r="AJ229" s="94">
        <f>ROUND(SUM(AJ227:AJ228), 2)</f>
        <v>1397468.69</v>
      </c>
      <c r="AK229" s="87"/>
      <c r="AL229" s="96"/>
      <c r="AM229" s="97"/>
      <c r="AO229" s="34"/>
      <c r="AP229" s="34"/>
      <c r="AQ229" s="34"/>
      <c r="AR229" s="34"/>
      <c r="AS229" s="34"/>
    </row>
    <row r="230" spans="1:45" s="42" customFormat="1" x14ac:dyDescent="0.25">
      <c r="F230" s="34"/>
      <c r="G230" s="98"/>
      <c r="H230" s="98"/>
      <c r="I230" s="47" t="s">
        <v>3886</v>
      </c>
      <c r="N230" s="46"/>
      <c r="Q230" s="51"/>
      <c r="W230" s="33"/>
      <c r="X230" s="33"/>
      <c r="Y230" s="33"/>
      <c r="Z230" s="33"/>
      <c r="AA230" s="99"/>
      <c r="AB230" s="99"/>
      <c r="AC230" s="99"/>
      <c r="AD230" s="99"/>
      <c r="AE230" s="99"/>
      <c r="AF230" s="33"/>
      <c r="AG230" s="33"/>
      <c r="AH230" s="34"/>
      <c r="AI230" s="34"/>
      <c r="AJ230" s="33"/>
      <c r="AK230" s="34"/>
      <c r="AM230" s="100"/>
      <c r="AO230" s="34"/>
      <c r="AP230" s="34"/>
      <c r="AQ230" s="34"/>
      <c r="AR230" s="34"/>
      <c r="AS230" s="34"/>
    </row>
    <row r="231" spans="1:45" s="42" customFormat="1" x14ac:dyDescent="0.25">
      <c r="B231" s="33"/>
      <c r="C231" s="33"/>
      <c r="D231" s="33"/>
      <c r="E231" s="33"/>
      <c r="F231" s="34"/>
      <c r="G231" s="35"/>
      <c r="H231" s="35"/>
      <c r="I231" s="36"/>
      <c r="J231" s="35"/>
      <c r="K231" s="35"/>
      <c r="L231" s="36"/>
      <c r="M231" s="33"/>
      <c r="N231" s="34"/>
      <c r="O231" s="33"/>
      <c r="P231" s="33"/>
      <c r="Q231" s="101"/>
      <c r="R231" s="38"/>
      <c r="S231" s="33"/>
      <c r="T231" s="33"/>
      <c r="U231" s="33"/>
      <c r="V231" s="33"/>
      <c r="W231" s="33"/>
      <c r="X231" s="33"/>
      <c r="Y231" s="33"/>
      <c r="Z231" s="33"/>
      <c r="AA231" s="99"/>
      <c r="AB231" s="99"/>
      <c r="AC231" s="99"/>
      <c r="AD231" s="99"/>
      <c r="AE231" s="99"/>
      <c r="AF231" s="33"/>
      <c r="AG231" s="33"/>
      <c r="AH231" s="34"/>
      <c r="AI231" s="34"/>
      <c r="AJ231" s="102"/>
      <c r="AK231" s="34"/>
      <c r="AM231" s="100"/>
      <c r="AN231" s="369"/>
    </row>
    <row r="232" spans="1:45" x14ac:dyDescent="0.25">
      <c r="A232" s="42"/>
      <c r="B232" s="42"/>
      <c r="C232" s="392" t="s">
        <v>3887</v>
      </c>
      <c r="D232" s="392"/>
      <c r="E232" s="392"/>
      <c r="F232" s="392"/>
      <c r="G232" s="392"/>
      <c r="H232" s="392"/>
      <c r="I232" s="98"/>
      <c r="J232" s="98"/>
      <c r="K232" s="98"/>
      <c r="M232" s="42"/>
      <c r="N232" s="392" t="s">
        <v>3888</v>
      </c>
      <c r="O232" s="392"/>
      <c r="P232" s="392"/>
      <c r="Q232" s="392"/>
      <c r="R232" s="392"/>
      <c r="S232" s="392"/>
      <c r="T232" s="42"/>
      <c r="U232" s="42"/>
      <c r="V232" s="42"/>
      <c r="W232" s="42"/>
      <c r="X232" s="42"/>
      <c r="Y232" s="42"/>
      <c r="Z232" s="42"/>
      <c r="AA232" s="103"/>
      <c r="AB232" s="103"/>
      <c r="AC232" s="103"/>
      <c r="AD232" s="103"/>
      <c r="AE232" s="103"/>
      <c r="AF232" s="42"/>
      <c r="AG232" s="42"/>
      <c r="AH232" s="34"/>
      <c r="AI232" s="34"/>
      <c r="AJ232" s="102"/>
      <c r="AK232" s="34"/>
    </row>
    <row r="233" spans="1:45" x14ac:dyDescent="0.25">
      <c r="B233" s="46"/>
      <c r="C233" s="388"/>
      <c r="D233" s="388"/>
      <c r="E233" s="388"/>
      <c r="F233" s="388"/>
      <c r="G233" s="388"/>
      <c r="H233" s="388"/>
      <c r="I233" s="98"/>
      <c r="J233" s="98"/>
      <c r="K233" s="98"/>
      <c r="M233" s="42"/>
      <c r="N233" s="46"/>
      <c r="O233" s="42"/>
      <c r="P233" s="42"/>
      <c r="Q233" s="101"/>
      <c r="R233" s="100"/>
      <c r="S233" s="42"/>
      <c r="T233" s="42"/>
      <c r="U233" s="42"/>
      <c r="V233" s="42"/>
      <c r="W233" s="42"/>
      <c r="X233" s="42"/>
      <c r="Y233" s="42"/>
      <c r="Z233" s="42"/>
      <c r="AA233" s="103"/>
      <c r="AB233" s="103"/>
      <c r="AC233" s="103"/>
      <c r="AD233" s="103"/>
      <c r="AE233" s="103"/>
      <c r="AF233" s="42"/>
      <c r="AG233" s="42"/>
      <c r="AH233" s="34"/>
      <c r="AI233" s="34"/>
      <c r="AJ233" s="102"/>
      <c r="AK233" s="34"/>
    </row>
    <row r="234" spans="1:45" x14ac:dyDescent="0.25">
      <c r="B234" s="46"/>
      <c r="C234" s="389" t="str">
        <f>ИНФ!$C$12</f>
        <v>Директор  ООО "ЭСТ"</v>
      </c>
      <c r="D234" s="389"/>
      <c r="E234" s="389"/>
      <c r="F234" s="389"/>
      <c r="G234" s="389"/>
      <c r="H234" s="104"/>
      <c r="I234" s="105"/>
      <c r="J234" s="105"/>
      <c r="K234" s="105"/>
      <c r="M234" s="42"/>
      <c r="N234" s="389" t="str">
        <f>ИНФ!$C$15</f>
        <v>Директор макрорегионального филиала "Юг" ОOO "Т2 Мобайл"</v>
      </c>
      <c r="O234" s="389"/>
      <c r="P234" s="389"/>
      <c r="Q234" s="101"/>
      <c r="R234" s="100"/>
      <c r="S234" s="42"/>
      <c r="T234" s="42"/>
      <c r="U234" s="42"/>
      <c r="V234" s="42"/>
      <c r="W234" s="42"/>
      <c r="X234" s="42"/>
      <c r="Y234" s="42"/>
      <c r="Z234" s="42"/>
      <c r="AA234" s="103"/>
      <c r="AB234" s="103"/>
      <c r="AC234" s="103"/>
      <c r="AD234" s="103"/>
      <c r="AE234" s="103"/>
      <c r="AF234" s="42"/>
      <c r="AG234" s="42"/>
      <c r="AH234" s="34"/>
      <c r="AI234" s="34"/>
      <c r="AJ234" s="34"/>
      <c r="AK234" s="34"/>
    </row>
    <row r="235" spans="1:45" x14ac:dyDescent="0.25">
      <c r="C235" s="389"/>
      <c r="D235" s="389"/>
      <c r="E235" s="389"/>
      <c r="F235" s="389"/>
      <c r="G235" s="389"/>
      <c r="H235" s="104"/>
      <c r="I235" s="106"/>
      <c r="J235" s="106"/>
      <c r="K235" s="106"/>
      <c r="M235" s="42"/>
      <c r="N235" s="389"/>
      <c r="O235" s="389"/>
      <c r="P235" s="389"/>
      <c r="Q235" s="101"/>
      <c r="R235" s="38"/>
      <c r="AA235" s="99"/>
      <c r="AB235" s="99"/>
      <c r="AC235" s="99"/>
      <c r="AD235" s="99"/>
      <c r="AE235" s="99"/>
      <c r="AH235" s="34"/>
      <c r="AI235" s="34"/>
      <c r="AJ235" s="34"/>
      <c r="AK235" s="34"/>
    </row>
    <row r="236" spans="1:45" x14ac:dyDescent="0.25">
      <c r="C236" s="389"/>
      <c r="D236" s="389"/>
      <c r="E236" s="389"/>
      <c r="F236" s="389"/>
      <c r="G236" s="389"/>
      <c r="H236" s="104"/>
      <c r="I236" s="105"/>
      <c r="J236" s="105"/>
      <c r="K236" s="105"/>
      <c r="N236" s="389"/>
      <c r="O236" s="389"/>
      <c r="P236" s="389"/>
      <c r="Q236" s="49"/>
      <c r="AJ236" s="34"/>
    </row>
    <row r="237" spans="1:45" x14ac:dyDescent="0.25">
      <c r="Q237" s="49"/>
    </row>
    <row r="238" spans="1:45" x14ac:dyDescent="0.25">
      <c r="Q238" s="49"/>
    </row>
    <row r="239" spans="1:45" x14ac:dyDescent="0.25">
      <c r="Q239" s="49"/>
    </row>
    <row r="240" spans="1:45" x14ac:dyDescent="0.25">
      <c r="O240" s="34"/>
      <c r="Q240" s="49"/>
    </row>
    <row r="241" spans="3:17" x14ac:dyDescent="0.25">
      <c r="C241" s="389" t="str">
        <f>"____________________________"&amp;ИНФ!$C$11</f>
        <v>____________________________Нестеренко Е.В.</v>
      </c>
      <c r="D241" s="389"/>
      <c r="E241" s="389"/>
      <c r="F241" s="389"/>
      <c r="G241" s="389"/>
      <c r="H241" s="389"/>
      <c r="I241" s="389"/>
      <c r="J241" s="389"/>
      <c r="K241" s="389"/>
      <c r="L241" s="389"/>
      <c r="M241" s="389"/>
      <c r="N241" s="389" t="str">
        <f>"________________________"&amp;ИНФ!$C$14</f>
        <v>________________________Мотлях К.Г.</v>
      </c>
      <c r="O241" s="389"/>
      <c r="P241" s="389"/>
      <c r="Q241" s="389"/>
    </row>
    <row r="242" spans="3:17" x14ac:dyDescent="0.25">
      <c r="C242" s="107" t="s">
        <v>3889</v>
      </c>
      <c r="D242" s="107"/>
      <c r="E242" s="107"/>
      <c r="F242" s="387"/>
      <c r="G242" s="387"/>
      <c r="H242" s="108"/>
      <c r="I242" s="108"/>
      <c r="J242" s="108"/>
      <c r="K242" s="108"/>
      <c r="M242" s="107"/>
      <c r="N242" s="34" t="s">
        <v>3889</v>
      </c>
      <c r="Q242" s="49"/>
    </row>
  </sheetData>
  <autoFilter ref="A10:CQ230">
    <sortState ref="A11:CQ230">
      <sortCondition ref="AK10:AK230"/>
    </sortState>
  </autoFilter>
  <sortState ref="B11:AQ226">
    <sortCondition ref="H11:H226"/>
  </sortState>
  <mergeCells count="14">
    <mergeCell ref="F242:G242"/>
    <mergeCell ref="C233:H233"/>
    <mergeCell ref="N234:P236"/>
    <mergeCell ref="M2:N2"/>
    <mergeCell ref="M1:N1"/>
    <mergeCell ref="A8:AB8"/>
    <mergeCell ref="C241:M241"/>
    <mergeCell ref="N241:Q241"/>
    <mergeCell ref="C232:H232"/>
    <mergeCell ref="C234:G236"/>
    <mergeCell ref="O9:P9"/>
    <mergeCell ref="Q9:T9"/>
    <mergeCell ref="U9:Z9"/>
    <mergeCell ref="N232:S232"/>
  </mergeCells>
  <conditionalFormatting sqref="F227:F233 F1:F7 F9:F10 F237:F1048576">
    <cfRule type="duplicateValues" dxfId="1" priority="10"/>
  </conditionalFormatting>
  <conditionalFormatting sqref="L13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5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32">
    <cfRule type="duplicateValues" dxfId="0" priority="9"/>
  </conditionalFormatting>
  <pageMargins left="0.23622046411037445" right="0.23622046411037445" top="0.74803149700164795" bottom="0.74803149700164795" header="0.31496062874794006" footer="0.31496062874794006"/>
  <pageSetup paperSize="9" scale="21" fitToHeight="7" orientation="landscape" r:id="rId1"/>
  <headerFooter>
    <oddFooter>&amp;L&amp;13&amp;"Arial,Regular"Страница  &amp;P из &amp;N&amp;12&amp;"-,Regular"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3"/>
  <sheetViews>
    <sheetView workbookViewId="0">
      <selection activeCell="D16" sqref="D16"/>
    </sheetView>
  </sheetViews>
  <sheetFormatPr defaultColWidth="8.5703125" defaultRowHeight="14.25" x14ac:dyDescent="0.2"/>
  <cols>
    <col min="1" max="1" width="8.28515625" style="109" customWidth="1"/>
    <col min="2" max="2" width="21.42578125" style="109" customWidth="1"/>
    <col min="3" max="3" width="25.5703125" style="109" customWidth="1"/>
    <col min="4" max="4" width="38.85546875" style="109" bestFit="1" customWidth="1"/>
    <col min="5" max="5" width="13.28515625" style="109" customWidth="1"/>
    <col min="6" max="6" width="15.140625" style="110" customWidth="1"/>
    <col min="7" max="7" width="10.5703125" style="109" customWidth="1"/>
    <col min="8" max="8" width="12.140625" style="109" customWidth="1"/>
    <col min="9" max="9" width="8.85546875" style="110" customWidth="1"/>
    <col min="10" max="10" width="8.140625" style="109" customWidth="1"/>
    <col min="11" max="11" width="11" style="109" customWidth="1"/>
    <col min="12" max="12" width="9.28515625" style="109" customWidth="1"/>
    <col min="13" max="13" width="14.42578125" style="109" customWidth="1"/>
    <col min="14" max="14" width="8.5703125" style="109" bestFit="1" customWidth="1"/>
    <col min="15" max="16384" width="8.5703125" style="109"/>
  </cols>
  <sheetData>
    <row r="1" spans="1:13" ht="19.5" customHeight="1" x14ac:dyDescent="0.25">
      <c r="A1" s="111"/>
      <c r="B1" s="111"/>
      <c r="C1" s="111"/>
      <c r="D1" s="111"/>
      <c r="E1" s="111"/>
      <c r="F1" s="111"/>
      <c r="G1" s="111"/>
      <c r="H1" s="111"/>
      <c r="K1" s="112" t="s">
        <v>3890</v>
      </c>
    </row>
    <row r="2" spans="1:13" ht="15" x14ac:dyDescent="0.25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2" t="s">
        <v>3834</v>
      </c>
    </row>
    <row r="3" spans="1:13" ht="15" x14ac:dyDescent="0.25">
      <c r="A3" s="113"/>
      <c r="B3" s="114"/>
      <c r="F3" s="115" t="s">
        <v>3891</v>
      </c>
      <c r="I3" s="109"/>
      <c r="K3" s="112" t="s">
        <v>3835</v>
      </c>
    </row>
    <row r="5" spans="1:13" ht="17.45" customHeight="1" x14ac:dyDescent="0.2">
      <c r="A5" s="406" t="s">
        <v>3892</v>
      </c>
      <c r="B5" s="406"/>
      <c r="C5" s="406"/>
      <c r="D5" s="406"/>
      <c r="E5" s="406"/>
      <c r="F5" s="406"/>
      <c r="G5" s="406"/>
      <c r="H5" s="406"/>
      <c r="I5" s="406"/>
      <c r="J5" s="406"/>
      <c r="K5" s="406"/>
      <c r="L5" s="116"/>
      <c r="M5" s="116"/>
    </row>
    <row r="6" spans="1:13" ht="17.45" customHeight="1" x14ac:dyDescent="0.2">
      <c r="A6" s="116"/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</row>
    <row r="7" spans="1:13" ht="15" customHeight="1" x14ac:dyDescent="0.2">
      <c r="A7" s="118" t="s">
        <v>3896</v>
      </c>
      <c r="B7" s="119"/>
      <c r="C7" s="119"/>
      <c r="D7" s="119"/>
      <c r="E7" s="119"/>
      <c r="F7" s="119"/>
      <c r="G7" s="119"/>
      <c r="H7" s="120">
        <f>КС2!Y23</f>
        <v>0</v>
      </c>
      <c r="I7" s="121"/>
      <c r="J7" s="119"/>
      <c r="K7" s="121"/>
      <c r="L7" s="119"/>
      <c r="M7" s="119"/>
    </row>
    <row r="8" spans="1:13" ht="114.75" customHeight="1" x14ac:dyDescent="0.2">
      <c r="A8" s="407" t="s">
        <v>3902</v>
      </c>
      <c r="B8" s="407"/>
      <c r="C8" s="407"/>
      <c r="D8" s="407"/>
      <c r="E8" s="407"/>
      <c r="F8" s="407"/>
      <c r="G8" s="407"/>
      <c r="H8" s="407"/>
      <c r="I8" s="407"/>
      <c r="J8" s="407"/>
      <c r="K8" s="407"/>
      <c r="L8" s="123"/>
      <c r="M8" s="123"/>
    </row>
    <row r="9" spans="1:13" ht="14.25" customHeight="1" x14ac:dyDescent="0.2">
      <c r="A9" s="408" t="s">
        <v>3906</v>
      </c>
      <c r="B9" s="408"/>
      <c r="C9" s="124" t="str">
        <f>КС2!P23</f>
        <v>ОРЕХ 2612-2613</v>
      </c>
      <c r="D9" s="125" t="s">
        <v>3908</v>
      </c>
      <c r="E9" s="126">
        <f>КС2!Y23</f>
        <v>0</v>
      </c>
      <c r="F9" s="109" t="s">
        <v>3910</v>
      </c>
      <c r="I9" s="109"/>
      <c r="L9" s="119"/>
      <c r="M9" s="119"/>
    </row>
    <row r="10" spans="1:13" ht="13.7" customHeight="1" x14ac:dyDescent="0.2">
      <c r="A10" s="409" t="s">
        <v>3912</v>
      </c>
      <c r="B10" s="409"/>
      <c r="C10" s="409"/>
      <c r="D10" s="409"/>
      <c r="E10" s="119"/>
      <c r="F10" s="119"/>
      <c r="G10" s="119"/>
      <c r="H10" s="119"/>
      <c r="I10" s="119"/>
      <c r="J10" s="119"/>
      <c r="K10" s="119"/>
      <c r="L10" s="119"/>
      <c r="M10" s="119"/>
    </row>
    <row r="11" spans="1:13" ht="17.45" customHeight="1" x14ac:dyDescent="0.2">
      <c r="A11" s="410" t="s">
        <v>3916</v>
      </c>
      <c r="B11" s="410"/>
      <c r="C11" s="410"/>
      <c r="D11" s="410"/>
      <c r="E11" s="410"/>
      <c r="F11" s="410"/>
      <c r="G11" s="410"/>
      <c r="H11" s="410"/>
      <c r="I11" s="410"/>
      <c r="J11" s="410"/>
      <c r="K11" s="410"/>
      <c r="L11" s="131"/>
      <c r="M11" s="131"/>
    </row>
    <row r="12" spans="1:13" ht="52.5" customHeight="1" x14ac:dyDescent="0.2">
      <c r="A12" s="133" t="s">
        <v>27</v>
      </c>
      <c r="B12" s="134" t="s">
        <v>3844</v>
      </c>
      <c r="C12" s="134" t="s">
        <v>3917</v>
      </c>
      <c r="D12" s="134" t="s">
        <v>3920</v>
      </c>
      <c r="E12" s="134" t="s">
        <v>3921</v>
      </c>
      <c r="F12" s="134" t="s">
        <v>3922</v>
      </c>
      <c r="G12" s="134" t="s">
        <v>3923</v>
      </c>
      <c r="H12" s="136"/>
      <c r="I12" s="137"/>
      <c r="J12" s="138"/>
      <c r="K12" s="138"/>
      <c r="L12" s="138"/>
      <c r="M12" s="142"/>
    </row>
    <row r="13" spans="1:13" x14ac:dyDescent="0.2">
      <c r="A13" s="144">
        <v>1</v>
      </c>
      <c r="B13" s="32" t="s">
        <v>1774</v>
      </c>
      <c r="C13" s="74" t="s">
        <v>4299</v>
      </c>
      <c r="D13" s="147" t="s">
        <v>4300</v>
      </c>
      <c r="E13" s="145" t="s">
        <v>300</v>
      </c>
      <c r="F13" s="145">
        <v>1</v>
      </c>
      <c r="G13" s="74" t="s">
        <v>4069</v>
      </c>
      <c r="H13" s="81"/>
      <c r="I13" s="148"/>
      <c r="J13" s="149"/>
      <c r="K13" s="78"/>
      <c r="L13" s="78"/>
      <c r="M13" s="150"/>
    </row>
    <row r="14" spans="1:13" x14ac:dyDescent="0.2">
      <c r="A14" s="144">
        <v>2</v>
      </c>
      <c r="B14" s="32" t="s">
        <v>1733</v>
      </c>
      <c r="C14" s="74" t="s">
        <v>4302</v>
      </c>
      <c r="D14" s="147" t="s">
        <v>4303</v>
      </c>
      <c r="E14" s="145" t="s">
        <v>300</v>
      </c>
      <c r="F14" s="145">
        <v>1</v>
      </c>
      <c r="G14" s="74" t="s">
        <v>4069</v>
      </c>
      <c r="H14" s="81"/>
      <c r="I14" s="148"/>
      <c r="J14" s="149"/>
      <c r="K14" s="78"/>
      <c r="L14" s="78"/>
      <c r="M14" s="150"/>
    </row>
    <row r="15" spans="1:13" x14ac:dyDescent="0.2">
      <c r="A15" s="144">
        <v>3</v>
      </c>
      <c r="B15" s="32" t="s">
        <v>2026</v>
      </c>
      <c r="C15" s="74" t="s">
        <v>4299</v>
      </c>
      <c r="D15" s="147" t="s">
        <v>4300</v>
      </c>
      <c r="E15" s="145" t="s">
        <v>300</v>
      </c>
      <c r="F15" s="145">
        <v>1</v>
      </c>
      <c r="G15" s="74" t="s">
        <v>4069</v>
      </c>
      <c r="H15" s="81"/>
      <c r="I15" s="148"/>
      <c r="J15" s="149"/>
      <c r="K15" s="78"/>
      <c r="L15" s="78"/>
      <c r="M15" s="150"/>
    </row>
    <row r="16" spans="1:13" x14ac:dyDescent="0.2">
      <c r="A16" s="144">
        <v>4</v>
      </c>
      <c r="B16" s="32" t="s">
        <v>2026</v>
      </c>
      <c r="C16" s="74" t="s">
        <v>4302</v>
      </c>
      <c r="D16" s="147" t="s">
        <v>4303</v>
      </c>
      <c r="E16" s="145" t="s">
        <v>300</v>
      </c>
      <c r="F16" s="145">
        <v>2</v>
      </c>
      <c r="G16" s="74" t="s">
        <v>4069</v>
      </c>
      <c r="H16" s="81"/>
      <c r="I16" s="148"/>
      <c r="J16" s="149"/>
      <c r="K16" s="78"/>
      <c r="L16" s="78"/>
      <c r="M16" s="150"/>
    </row>
    <row r="17" spans="1:15" hidden="1" x14ac:dyDescent="0.2">
      <c r="A17" s="144">
        <v>6</v>
      </c>
      <c r="B17" s="32"/>
      <c r="C17" s="74"/>
      <c r="D17" s="147"/>
      <c r="E17" s="145"/>
      <c r="F17" s="145"/>
      <c r="G17" s="74"/>
      <c r="H17" s="81"/>
      <c r="I17" s="148"/>
      <c r="J17" s="149"/>
      <c r="K17" s="78"/>
      <c r="L17" s="78"/>
      <c r="M17" s="150"/>
    </row>
    <row r="18" spans="1:15" hidden="1" x14ac:dyDescent="0.2">
      <c r="A18" s="144">
        <v>7</v>
      </c>
      <c r="B18" s="32"/>
      <c r="C18" s="74"/>
      <c r="D18" s="147"/>
      <c r="E18" s="145"/>
      <c r="F18" s="145"/>
      <c r="G18" s="74"/>
      <c r="H18" s="81"/>
      <c r="I18" s="148"/>
      <c r="J18" s="149"/>
      <c r="K18" s="78"/>
      <c r="L18" s="78"/>
      <c r="M18" s="150"/>
    </row>
    <row r="19" spans="1:15" x14ac:dyDescent="0.2">
      <c r="A19" s="109" t="s">
        <v>3924</v>
      </c>
    </row>
    <row r="20" spans="1:15" x14ac:dyDescent="0.2">
      <c r="A20" s="109" t="s">
        <v>3925</v>
      </c>
    </row>
    <row r="21" spans="1:15" ht="105" x14ac:dyDescent="0.2">
      <c r="A21" s="130" t="s">
        <v>27</v>
      </c>
      <c r="B21" s="132" t="s">
        <v>3844</v>
      </c>
      <c r="C21" s="132" t="s">
        <v>3917</v>
      </c>
      <c r="D21" s="132" t="s">
        <v>3920</v>
      </c>
      <c r="E21" s="132" t="s">
        <v>3927</v>
      </c>
      <c r="F21" s="132" t="s">
        <v>3928</v>
      </c>
      <c r="G21" s="132" t="s">
        <v>3929</v>
      </c>
      <c r="H21" s="132" t="s">
        <v>3930</v>
      </c>
      <c r="I21" s="132" t="s">
        <v>3931</v>
      </c>
      <c r="J21" s="132" t="s">
        <v>3932</v>
      </c>
      <c r="K21" s="132" t="s">
        <v>3933</v>
      </c>
    </row>
    <row r="22" spans="1:15" x14ac:dyDescent="0.2">
      <c r="A22" s="155">
        <v>1</v>
      </c>
      <c r="B22" s="156" t="s">
        <v>3934</v>
      </c>
      <c r="C22" s="157"/>
      <c r="D22" s="156"/>
      <c r="E22" s="157"/>
      <c r="F22" s="157"/>
      <c r="G22" s="157"/>
      <c r="H22" s="157"/>
      <c r="I22" s="157"/>
      <c r="J22" s="157"/>
      <c r="K22" s="157"/>
    </row>
    <row r="24" spans="1:15" x14ac:dyDescent="0.2">
      <c r="A24" s="109" t="s">
        <v>3935</v>
      </c>
    </row>
    <row r="26" spans="1:15" ht="30" x14ac:dyDescent="0.2">
      <c r="A26" s="130" t="s">
        <v>27</v>
      </c>
      <c r="B26" s="132" t="s">
        <v>3844</v>
      </c>
      <c r="C26" s="132" t="s">
        <v>3917</v>
      </c>
      <c r="D26" s="132" t="s">
        <v>3918</v>
      </c>
      <c r="E26" s="132" t="s">
        <v>3919</v>
      </c>
      <c r="F26" s="132" t="s">
        <v>3921</v>
      </c>
      <c r="G26" s="132" t="s">
        <v>3922</v>
      </c>
      <c r="H26" s="132" t="s">
        <v>3923</v>
      </c>
      <c r="I26" s="135"/>
    </row>
    <row r="27" spans="1:15" ht="15" x14ac:dyDescent="0.2">
      <c r="A27" s="139">
        <v>1</v>
      </c>
      <c r="B27" s="140"/>
      <c r="C27" s="141"/>
      <c r="D27" s="143"/>
      <c r="E27" s="145"/>
      <c r="F27" s="145"/>
      <c r="G27" s="145"/>
      <c r="H27" s="146"/>
      <c r="I27" s="119"/>
    </row>
    <row r="28" spans="1:15" ht="15" x14ac:dyDescent="0.2">
      <c r="A28" s="139">
        <v>2</v>
      </c>
      <c r="B28" s="140"/>
      <c r="C28" s="141"/>
      <c r="D28" s="143"/>
      <c r="E28" s="145"/>
      <c r="F28" s="145"/>
      <c r="G28" s="145"/>
      <c r="H28" s="146"/>
      <c r="M28" s="78"/>
      <c r="N28" s="78"/>
      <c r="O28" s="150"/>
    </row>
    <row r="29" spans="1:15" ht="14.45" customHeight="1" x14ac:dyDescent="0.2">
      <c r="A29" s="139">
        <v>3</v>
      </c>
      <c r="B29" s="140"/>
      <c r="C29" s="141"/>
      <c r="D29" s="143"/>
      <c r="E29" s="145"/>
      <c r="F29" s="145"/>
      <c r="G29" s="145"/>
      <c r="H29" s="146"/>
      <c r="M29" s="78"/>
      <c r="N29" s="78"/>
      <c r="O29" s="150"/>
    </row>
    <row r="30" spans="1:15" ht="17.25" customHeight="1" x14ac:dyDescent="0.2">
      <c r="A30" s="139">
        <v>4</v>
      </c>
      <c r="B30" s="140"/>
      <c r="C30" s="141"/>
      <c r="D30" s="143"/>
      <c r="E30" s="145"/>
      <c r="F30" s="145"/>
      <c r="G30" s="145"/>
      <c r="H30" s="146"/>
      <c r="L30" s="78"/>
      <c r="M30" s="78"/>
      <c r="N30" s="78"/>
      <c r="O30" s="151"/>
    </row>
    <row r="31" spans="1:15" x14ac:dyDescent="0.2">
      <c r="L31" s="152"/>
      <c r="M31" s="78"/>
      <c r="N31" s="78"/>
      <c r="O31" s="148"/>
    </row>
    <row r="32" spans="1:15" ht="15" x14ac:dyDescent="0.25">
      <c r="B32" s="153"/>
      <c r="C32" s="78"/>
      <c r="D32" s="96" t="s">
        <v>3886</v>
      </c>
      <c r="E32" s="81"/>
      <c r="H32" s="131"/>
      <c r="I32" s="78"/>
      <c r="L32" s="154"/>
      <c r="M32" s="78"/>
      <c r="N32" s="78"/>
      <c r="O32" s="148"/>
    </row>
    <row r="33" spans="1:15" ht="15" x14ac:dyDescent="0.25">
      <c r="B33" s="153"/>
      <c r="C33" s="78"/>
      <c r="D33" s="81"/>
      <c r="E33" s="81"/>
      <c r="H33" s="131"/>
      <c r="I33" s="78"/>
      <c r="L33" s="154"/>
      <c r="M33" s="78"/>
      <c r="N33" s="78"/>
      <c r="O33" s="148"/>
    </row>
    <row r="34" spans="1:15" ht="15" x14ac:dyDescent="0.25">
      <c r="B34" s="153" t="s">
        <v>3926</v>
      </c>
      <c r="C34" s="78"/>
      <c r="D34" s="81"/>
      <c r="E34" s="81"/>
      <c r="F34" s="153" t="s">
        <v>14</v>
      </c>
      <c r="H34" s="131"/>
      <c r="I34" s="78"/>
      <c r="O34" s="148"/>
    </row>
    <row r="35" spans="1:15" ht="15" x14ac:dyDescent="0.25">
      <c r="B35" s="153"/>
      <c r="C35" s="78"/>
      <c r="D35" s="81"/>
      <c r="E35" s="81"/>
      <c r="H35" s="131"/>
      <c r="I35" s="78"/>
      <c r="O35" s="148"/>
    </row>
    <row r="36" spans="1:15" ht="15" x14ac:dyDescent="0.25">
      <c r="B36" s="153" t="str">
        <f>ИНФ!C12</f>
        <v>Директор  ООО "ЭСТ"</v>
      </c>
      <c r="C36" s="78"/>
      <c r="D36" s="81"/>
      <c r="E36" s="81"/>
      <c r="F36" s="153" t="str">
        <f>ИНФ!C15</f>
        <v>Директор макрорегионального филиала "Юг" ОOO "Т2 Мобайл"</v>
      </c>
      <c r="H36" s="131"/>
      <c r="I36" s="78"/>
    </row>
    <row r="37" spans="1:15" ht="15" x14ac:dyDescent="0.25">
      <c r="B37" s="153"/>
      <c r="C37" s="78"/>
      <c r="D37" s="81"/>
      <c r="E37" s="81"/>
      <c r="H37" s="131"/>
      <c r="I37" s="78"/>
    </row>
    <row r="38" spans="1:15" x14ac:dyDescent="0.2">
      <c r="B38" s="158" t="s">
        <v>3936</v>
      </c>
      <c r="C38" s="159" t="str">
        <f>ИНФ!C11</f>
        <v>Нестеренко Е.В.</v>
      </c>
      <c r="D38" s="159"/>
      <c r="E38" s="159"/>
      <c r="F38" s="159" t="s">
        <v>3937</v>
      </c>
      <c r="H38" s="109" t="str">
        <f>ИНФ!C14</f>
        <v>Мотлях К.Г.</v>
      </c>
      <c r="I38" s="78"/>
    </row>
    <row r="39" spans="1:15" ht="15" x14ac:dyDescent="0.25">
      <c r="A39" s="114"/>
      <c r="B39" s="158"/>
      <c r="C39" s="159"/>
      <c r="D39" s="159"/>
      <c r="E39" s="159"/>
      <c r="F39" s="159"/>
      <c r="I39" s="78"/>
    </row>
    <row r="40" spans="1:15" ht="15" x14ac:dyDescent="0.25">
      <c r="A40" s="114"/>
      <c r="B40" s="158" t="s">
        <v>3889</v>
      </c>
      <c r="C40" s="159"/>
      <c r="D40" s="159"/>
      <c r="E40" s="159"/>
      <c r="F40" s="159" t="s">
        <v>3889</v>
      </c>
      <c r="I40" s="78"/>
    </row>
    <row r="68" spans="2:9" hidden="1" x14ac:dyDescent="0.2">
      <c r="F68" s="109"/>
      <c r="I68" s="109"/>
    </row>
    <row r="69" spans="2:9" ht="15" hidden="1" customHeight="1" x14ac:dyDescent="0.2">
      <c r="B69" s="405" t="s">
        <v>3893</v>
      </c>
      <c r="C69" s="405"/>
      <c r="F69" s="109"/>
      <c r="I69" s="109"/>
    </row>
    <row r="70" spans="2:9" ht="28.5" hidden="1" x14ac:dyDescent="0.2">
      <c r="B70" s="117" t="s">
        <v>3894</v>
      </c>
      <c r="F70" s="109"/>
      <c r="I70" s="109"/>
    </row>
    <row r="71" spans="2:9" hidden="1" x14ac:dyDescent="0.2">
      <c r="B71" s="109" t="s">
        <v>3895</v>
      </c>
      <c r="F71" s="109"/>
      <c r="I71" s="109"/>
    </row>
    <row r="72" spans="2:9" hidden="1" x14ac:dyDescent="0.2">
      <c r="B72" s="109" t="s">
        <v>3897</v>
      </c>
      <c r="F72" s="109"/>
      <c r="I72" s="109"/>
    </row>
    <row r="73" spans="2:9" hidden="1" x14ac:dyDescent="0.2">
      <c r="B73" s="109" t="s">
        <v>3898</v>
      </c>
      <c r="F73" s="109"/>
      <c r="I73" s="109"/>
    </row>
    <row r="74" spans="2:9" hidden="1" x14ac:dyDescent="0.2">
      <c r="F74" s="109"/>
      <c r="I74" s="109"/>
    </row>
    <row r="75" spans="2:9" hidden="1" x14ac:dyDescent="0.2">
      <c r="F75" s="109"/>
      <c r="I75" s="109"/>
    </row>
    <row r="76" spans="2:9" hidden="1" x14ac:dyDescent="0.2">
      <c r="F76" s="109"/>
      <c r="I76" s="109"/>
    </row>
    <row r="77" spans="2:9" hidden="1" x14ac:dyDescent="0.2">
      <c r="B77" s="109" t="s">
        <v>3899</v>
      </c>
      <c r="F77" s="109"/>
      <c r="I77" s="109"/>
    </row>
    <row r="78" spans="2:9" hidden="1" x14ac:dyDescent="0.2">
      <c r="B78" s="109" t="s">
        <v>3900</v>
      </c>
      <c r="F78" s="109"/>
      <c r="I78" s="109"/>
    </row>
    <row r="79" spans="2:9" hidden="1" x14ac:dyDescent="0.2">
      <c r="B79" s="122" t="s">
        <v>3901</v>
      </c>
      <c r="F79" s="109"/>
      <c r="I79" s="109"/>
    </row>
    <row r="80" spans="2:9" hidden="1" x14ac:dyDescent="0.2">
      <c r="B80" s="122" t="s">
        <v>3903</v>
      </c>
      <c r="F80" s="109"/>
      <c r="I80" s="109"/>
    </row>
    <row r="81" spans="2:9" hidden="1" x14ac:dyDescent="0.2">
      <c r="B81" s="122" t="s">
        <v>3904</v>
      </c>
      <c r="F81" s="109"/>
      <c r="I81" s="109"/>
    </row>
    <row r="82" spans="2:9" hidden="1" x14ac:dyDescent="0.2">
      <c r="B82" s="122" t="s">
        <v>3905</v>
      </c>
      <c r="F82" s="109"/>
      <c r="I82" s="109"/>
    </row>
    <row r="83" spans="2:9" hidden="1" x14ac:dyDescent="0.2">
      <c r="B83" s="109" t="s">
        <v>3897</v>
      </c>
      <c r="F83" s="109"/>
      <c r="I83" s="109"/>
    </row>
    <row r="84" spans="2:9" hidden="1" x14ac:dyDescent="0.2">
      <c r="B84" s="122" t="s">
        <v>3907</v>
      </c>
      <c r="F84" s="109"/>
      <c r="I84" s="109"/>
    </row>
    <row r="85" spans="2:9" hidden="1" x14ac:dyDescent="0.2">
      <c r="B85" s="109" t="s">
        <v>3895</v>
      </c>
      <c r="F85" s="109"/>
      <c r="I85" s="109"/>
    </row>
    <row r="86" spans="2:9" hidden="1" x14ac:dyDescent="0.2">
      <c r="B86" s="109" t="s">
        <v>3909</v>
      </c>
      <c r="F86" s="109"/>
      <c r="I86" s="109"/>
    </row>
    <row r="87" spans="2:9" hidden="1" x14ac:dyDescent="0.2">
      <c r="B87" s="109" t="s">
        <v>3911</v>
      </c>
      <c r="F87" s="109"/>
      <c r="I87" s="109"/>
    </row>
    <row r="88" spans="2:9" hidden="1" x14ac:dyDescent="0.2">
      <c r="B88" s="127" t="s">
        <v>3913</v>
      </c>
      <c r="F88" s="109"/>
      <c r="I88" s="109"/>
    </row>
    <row r="89" spans="2:9" hidden="1" x14ac:dyDescent="0.2">
      <c r="F89" s="109"/>
      <c r="I89" s="109"/>
    </row>
    <row r="90" spans="2:9" ht="28.5" hidden="1" x14ac:dyDescent="0.2">
      <c r="B90" s="128" t="s">
        <v>3914</v>
      </c>
      <c r="F90" s="109"/>
      <c r="I90" s="109"/>
    </row>
    <row r="91" spans="2:9" ht="42.75" hidden="1" x14ac:dyDescent="0.2">
      <c r="B91" s="129" t="s">
        <v>3915</v>
      </c>
      <c r="F91" s="109"/>
      <c r="I91" s="109"/>
    </row>
    <row r="92" spans="2:9" hidden="1" x14ac:dyDescent="0.2">
      <c r="F92" s="109"/>
      <c r="I92" s="109"/>
    </row>
    <row r="93" spans="2:9" hidden="1" x14ac:dyDescent="0.2">
      <c r="F93" s="109"/>
      <c r="I93" s="109"/>
    </row>
  </sheetData>
  <mergeCells count="6">
    <mergeCell ref="B69:C69"/>
    <mergeCell ref="A5:K5"/>
    <mergeCell ref="A8:K8"/>
    <mergeCell ref="A9:B9"/>
    <mergeCell ref="A10:D10"/>
    <mergeCell ref="A11:K11"/>
  </mergeCells>
  <pageMargins left="0.25" right="0.25" top="0.75" bottom="0.75" header="0.51180553436279297" footer="0.51180553436279297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XF63"/>
  <sheetViews>
    <sheetView topLeftCell="A13" workbookViewId="0">
      <selection activeCell="AS38" sqref="AS38:AW38"/>
    </sheetView>
  </sheetViews>
  <sheetFormatPr defaultColWidth="8.42578125" defaultRowHeight="12.75" x14ac:dyDescent="0.2"/>
  <cols>
    <col min="1" max="31" width="2.5703125" customWidth="1"/>
    <col min="32" max="32" width="3.5703125" customWidth="1"/>
    <col min="33" max="33" width="2.5703125" customWidth="1"/>
    <col min="34" max="34" width="3.42578125" customWidth="1"/>
    <col min="35" max="35" width="3.140625" customWidth="1"/>
    <col min="36" max="43" width="2.5703125" customWidth="1"/>
    <col min="44" max="44" width="4.42578125" customWidth="1"/>
    <col min="45" max="48" width="2.5703125" customWidth="1"/>
    <col min="49" max="49" width="4.42578125" customWidth="1"/>
    <col min="50" max="50" width="1.85546875" customWidth="1"/>
    <col min="51" max="256" width="8.42578125" hidden="1" bestFit="1" customWidth="1"/>
    <col min="257" max="287" width="2.5703125" hidden="1" bestFit="1" customWidth="1"/>
    <col min="288" max="288" width="4.5703125" hidden="1" bestFit="1" customWidth="1"/>
    <col min="289" max="306" width="2.5703125" hidden="1" bestFit="1" customWidth="1"/>
    <col min="307" max="512" width="8.42578125" hidden="1" bestFit="1" customWidth="1"/>
    <col min="513" max="543" width="2.5703125" hidden="1" bestFit="1" customWidth="1"/>
    <col min="544" max="544" width="4.5703125" hidden="1" bestFit="1" customWidth="1"/>
    <col min="545" max="562" width="2.5703125" hidden="1" bestFit="1" customWidth="1"/>
    <col min="563" max="768" width="8.42578125" hidden="1" bestFit="1" customWidth="1"/>
    <col min="769" max="799" width="2.5703125" hidden="1" bestFit="1" customWidth="1"/>
    <col min="800" max="800" width="4.5703125" hidden="1" bestFit="1" customWidth="1"/>
    <col min="801" max="818" width="2.5703125" hidden="1" bestFit="1" customWidth="1"/>
    <col min="819" max="1024" width="8.42578125" hidden="1" bestFit="1" customWidth="1"/>
    <col min="1025" max="1055" width="2.5703125" hidden="1" bestFit="1" customWidth="1"/>
    <col min="1056" max="1056" width="4.5703125" hidden="1" bestFit="1" customWidth="1"/>
    <col min="1057" max="1074" width="2.5703125" hidden="1" bestFit="1" customWidth="1"/>
    <col min="1075" max="1280" width="8.42578125" hidden="1" bestFit="1" customWidth="1"/>
    <col min="1281" max="1311" width="2.5703125" hidden="1" bestFit="1" customWidth="1"/>
    <col min="1312" max="1312" width="4.5703125" hidden="1" bestFit="1" customWidth="1"/>
    <col min="1313" max="1330" width="2.5703125" hidden="1" bestFit="1" customWidth="1"/>
    <col min="1331" max="1536" width="8.42578125" hidden="1" bestFit="1" customWidth="1"/>
    <col min="1537" max="1567" width="2.5703125" hidden="1" bestFit="1" customWidth="1"/>
    <col min="1568" max="1568" width="4.5703125" hidden="1" bestFit="1" customWidth="1"/>
    <col min="1569" max="1586" width="2.5703125" hidden="1" bestFit="1" customWidth="1"/>
    <col min="1587" max="1792" width="8.42578125" hidden="1" bestFit="1" customWidth="1"/>
    <col min="1793" max="1823" width="2.5703125" hidden="1" bestFit="1" customWidth="1"/>
    <col min="1824" max="1824" width="4.5703125" hidden="1" bestFit="1" customWidth="1"/>
    <col min="1825" max="1842" width="2.5703125" hidden="1" bestFit="1" customWidth="1"/>
    <col min="1843" max="2048" width="8.42578125" hidden="1" bestFit="1" customWidth="1"/>
    <col min="2049" max="2079" width="2.5703125" hidden="1" bestFit="1" customWidth="1"/>
    <col min="2080" max="2080" width="4.5703125" hidden="1" bestFit="1" customWidth="1"/>
    <col min="2081" max="2098" width="2.5703125" hidden="1" bestFit="1" customWidth="1"/>
    <col min="2099" max="2304" width="8.42578125" hidden="1" bestFit="1" customWidth="1"/>
    <col min="2305" max="2335" width="2.5703125" hidden="1" bestFit="1" customWidth="1"/>
    <col min="2336" max="2336" width="4.5703125" hidden="1" bestFit="1" customWidth="1"/>
    <col min="2337" max="2354" width="2.5703125" hidden="1" bestFit="1" customWidth="1"/>
    <col min="2355" max="2560" width="8.42578125" hidden="1" bestFit="1" customWidth="1"/>
    <col min="2561" max="2591" width="2.5703125" hidden="1" bestFit="1" customWidth="1"/>
    <col min="2592" max="2592" width="4.5703125" hidden="1" bestFit="1" customWidth="1"/>
    <col min="2593" max="2610" width="2.5703125" hidden="1" bestFit="1" customWidth="1"/>
    <col min="2611" max="2816" width="8.42578125" hidden="1" bestFit="1" customWidth="1"/>
    <col min="2817" max="2847" width="2.5703125" hidden="1" bestFit="1" customWidth="1"/>
    <col min="2848" max="2848" width="4.5703125" hidden="1" bestFit="1" customWidth="1"/>
    <col min="2849" max="2866" width="2.5703125" hidden="1" bestFit="1" customWidth="1"/>
    <col min="2867" max="3072" width="8.42578125" hidden="1" bestFit="1" customWidth="1"/>
    <col min="3073" max="3103" width="2.5703125" hidden="1" bestFit="1" customWidth="1"/>
    <col min="3104" max="3104" width="4.5703125" hidden="1" bestFit="1" customWidth="1"/>
    <col min="3105" max="3122" width="2.5703125" hidden="1" bestFit="1" customWidth="1"/>
    <col min="3123" max="3328" width="8.42578125" hidden="1" bestFit="1" customWidth="1"/>
    <col min="3329" max="3359" width="2.5703125" hidden="1" bestFit="1" customWidth="1"/>
    <col min="3360" max="3360" width="4.5703125" hidden="1" bestFit="1" customWidth="1"/>
    <col min="3361" max="3378" width="2.5703125" hidden="1" bestFit="1" customWidth="1"/>
    <col min="3379" max="3584" width="8.42578125" hidden="1" bestFit="1" customWidth="1"/>
    <col min="3585" max="3615" width="2.5703125" hidden="1" bestFit="1" customWidth="1"/>
    <col min="3616" max="3616" width="4.5703125" hidden="1" bestFit="1" customWidth="1"/>
    <col min="3617" max="3634" width="2.5703125" hidden="1" bestFit="1" customWidth="1"/>
    <col min="3635" max="3840" width="8.42578125" hidden="1" bestFit="1" customWidth="1"/>
    <col min="3841" max="3871" width="2.5703125" hidden="1" bestFit="1" customWidth="1"/>
    <col min="3872" max="3872" width="4.5703125" hidden="1" bestFit="1" customWidth="1"/>
    <col min="3873" max="3890" width="2.5703125" hidden="1" bestFit="1" customWidth="1"/>
    <col min="3891" max="4096" width="8.42578125" hidden="1" bestFit="1" customWidth="1"/>
    <col min="4097" max="4127" width="2.5703125" hidden="1" bestFit="1" customWidth="1"/>
    <col min="4128" max="4128" width="4.5703125" hidden="1" bestFit="1" customWidth="1"/>
    <col min="4129" max="4146" width="2.5703125" hidden="1" bestFit="1" customWidth="1"/>
    <col min="4147" max="4352" width="8.42578125" hidden="1" bestFit="1" customWidth="1"/>
    <col min="4353" max="4383" width="2.5703125" hidden="1" bestFit="1" customWidth="1"/>
    <col min="4384" max="4384" width="4.5703125" hidden="1" bestFit="1" customWidth="1"/>
    <col min="4385" max="4402" width="2.5703125" hidden="1" bestFit="1" customWidth="1"/>
    <col min="4403" max="4608" width="8.42578125" hidden="1" bestFit="1" customWidth="1"/>
    <col min="4609" max="4639" width="2.5703125" hidden="1" bestFit="1" customWidth="1"/>
    <col min="4640" max="4640" width="4.5703125" hidden="1" bestFit="1" customWidth="1"/>
    <col min="4641" max="4658" width="2.5703125" hidden="1" bestFit="1" customWidth="1"/>
    <col min="4659" max="4864" width="8.42578125" hidden="1" bestFit="1" customWidth="1"/>
    <col min="4865" max="4895" width="2.5703125" hidden="1" bestFit="1" customWidth="1"/>
    <col min="4896" max="4896" width="4.5703125" hidden="1" bestFit="1" customWidth="1"/>
    <col min="4897" max="4914" width="2.5703125" hidden="1" bestFit="1" customWidth="1"/>
    <col min="4915" max="5120" width="8.42578125" hidden="1" bestFit="1" customWidth="1"/>
    <col min="5121" max="5151" width="2.5703125" hidden="1" bestFit="1" customWidth="1"/>
    <col min="5152" max="5152" width="4.5703125" hidden="1" bestFit="1" customWidth="1"/>
    <col min="5153" max="5170" width="2.5703125" hidden="1" bestFit="1" customWidth="1"/>
    <col min="5171" max="5376" width="8.42578125" hidden="1" bestFit="1" customWidth="1"/>
    <col min="5377" max="5407" width="2.5703125" hidden="1" bestFit="1" customWidth="1"/>
    <col min="5408" max="5408" width="4.5703125" hidden="1" bestFit="1" customWidth="1"/>
    <col min="5409" max="5426" width="2.5703125" hidden="1" bestFit="1" customWidth="1"/>
    <col min="5427" max="5632" width="8.42578125" hidden="1" bestFit="1" customWidth="1"/>
    <col min="5633" max="5663" width="2.5703125" hidden="1" bestFit="1" customWidth="1"/>
    <col min="5664" max="5664" width="4.5703125" hidden="1" bestFit="1" customWidth="1"/>
    <col min="5665" max="5682" width="2.5703125" hidden="1" bestFit="1" customWidth="1"/>
    <col min="5683" max="5888" width="8.42578125" hidden="1" bestFit="1" customWidth="1"/>
    <col min="5889" max="5919" width="2.5703125" hidden="1" bestFit="1" customWidth="1"/>
    <col min="5920" max="5920" width="4.5703125" hidden="1" bestFit="1" customWidth="1"/>
    <col min="5921" max="5938" width="2.5703125" hidden="1" bestFit="1" customWidth="1"/>
    <col min="5939" max="6144" width="8.42578125" hidden="1" bestFit="1" customWidth="1"/>
    <col min="6145" max="6175" width="2.5703125" hidden="1" bestFit="1" customWidth="1"/>
    <col min="6176" max="6176" width="4.5703125" hidden="1" bestFit="1" customWidth="1"/>
    <col min="6177" max="6194" width="2.5703125" hidden="1" bestFit="1" customWidth="1"/>
    <col min="6195" max="6400" width="8.42578125" hidden="1" bestFit="1" customWidth="1"/>
    <col min="6401" max="6431" width="2.5703125" hidden="1" bestFit="1" customWidth="1"/>
    <col min="6432" max="6432" width="4.5703125" hidden="1" bestFit="1" customWidth="1"/>
    <col min="6433" max="6450" width="2.5703125" hidden="1" bestFit="1" customWidth="1"/>
    <col min="6451" max="6656" width="8.42578125" hidden="1" bestFit="1" customWidth="1"/>
    <col min="6657" max="6687" width="2.5703125" hidden="1" bestFit="1" customWidth="1"/>
    <col min="6688" max="6688" width="4.5703125" hidden="1" bestFit="1" customWidth="1"/>
    <col min="6689" max="6706" width="2.5703125" hidden="1" bestFit="1" customWidth="1"/>
    <col min="6707" max="6912" width="8.42578125" hidden="1" bestFit="1" customWidth="1"/>
    <col min="6913" max="6943" width="2.5703125" hidden="1" bestFit="1" customWidth="1"/>
    <col min="6944" max="6944" width="4.5703125" hidden="1" bestFit="1" customWidth="1"/>
    <col min="6945" max="6962" width="2.5703125" hidden="1" bestFit="1" customWidth="1"/>
    <col min="6963" max="7168" width="8.42578125" hidden="1" bestFit="1" customWidth="1"/>
    <col min="7169" max="7199" width="2.5703125" hidden="1" bestFit="1" customWidth="1"/>
    <col min="7200" max="7200" width="4.5703125" hidden="1" bestFit="1" customWidth="1"/>
    <col min="7201" max="7218" width="2.5703125" hidden="1" bestFit="1" customWidth="1"/>
    <col min="7219" max="7424" width="8.42578125" hidden="1" bestFit="1" customWidth="1"/>
    <col min="7425" max="7455" width="2.5703125" hidden="1" bestFit="1" customWidth="1"/>
    <col min="7456" max="7456" width="4.5703125" hidden="1" bestFit="1" customWidth="1"/>
    <col min="7457" max="7474" width="2.5703125" hidden="1" bestFit="1" customWidth="1"/>
    <col min="7475" max="7680" width="8.42578125" hidden="1" bestFit="1" customWidth="1"/>
    <col min="7681" max="7711" width="2.5703125" hidden="1" bestFit="1" customWidth="1"/>
    <col min="7712" max="7712" width="4.5703125" hidden="1" bestFit="1" customWidth="1"/>
    <col min="7713" max="7730" width="2.5703125" hidden="1" bestFit="1" customWidth="1"/>
    <col min="7731" max="7936" width="8.42578125" hidden="1" bestFit="1" customWidth="1"/>
    <col min="7937" max="7967" width="2.5703125" hidden="1" bestFit="1" customWidth="1"/>
    <col min="7968" max="7968" width="4.5703125" hidden="1" bestFit="1" customWidth="1"/>
    <col min="7969" max="7986" width="2.5703125" hidden="1" bestFit="1" customWidth="1"/>
    <col min="7987" max="8192" width="8.42578125" hidden="1" bestFit="1" customWidth="1"/>
    <col min="8193" max="8223" width="2.5703125" hidden="1" bestFit="1" customWidth="1"/>
    <col min="8224" max="8224" width="4.5703125" hidden="1" bestFit="1" customWidth="1"/>
    <col min="8225" max="8242" width="2.5703125" hidden="1" bestFit="1" customWidth="1"/>
    <col min="8243" max="8448" width="8.42578125" hidden="1" bestFit="1" customWidth="1"/>
    <col min="8449" max="8479" width="2.5703125" hidden="1" bestFit="1" customWidth="1"/>
    <col min="8480" max="8480" width="4.5703125" hidden="1" bestFit="1" customWidth="1"/>
    <col min="8481" max="8498" width="2.5703125" hidden="1" bestFit="1" customWidth="1"/>
    <col min="8499" max="8704" width="8.42578125" hidden="1" bestFit="1" customWidth="1"/>
    <col min="8705" max="8735" width="2.5703125" hidden="1" bestFit="1" customWidth="1"/>
    <col min="8736" max="8736" width="4.5703125" hidden="1" bestFit="1" customWidth="1"/>
    <col min="8737" max="8754" width="2.5703125" hidden="1" bestFit="1" customWidth="1"/>
    <col min="8755" max="8960" width="8.42578125" hidden="1" bestFit="1" customWidth="1"/>
    <col min="8961" max="8991" width="2.5703125" hidden="1" bestFit="1" customWidth="1"/>
    <col min="8992" max="8992" width="4.5703125" hidden="1" bestFit="1" customWidth="1"/>
    <col min="8993" max="9010" width="2.5703125" hidden="1" bestFit="1" customWidth="1"/>
    <col min="9011" max="9216" width="8.42578125" hidden="1" bestFit="1" customWidth="1"/>
    <col min="9217" max="9247" width="2.5703125" hidden="1" bestFit="1" customWidth="1"/>
    <col min="9248" max="9248" width="4.5703125" hidden="1" bestFit="1" customWidth="1"/>
    <col min="9249" max="9266" width="2.5703125" hidden="1" bestFit="1" customWidth="1"/>
    <col min="9267" max="9472" width="8.42578125" hidden="1" bestFit="1" customWidth="1"/>
    <col min="9473" max="9503" width="2.5703125" hidden="1" bestFit="1" customWidth="1"/>
    <col min="9504" max="9504" width="4.5703125" hidden="1" bestFit="1" customWidth="1"/>
    <col min="9505" max="9522" width="2.5703125" hidden="1" bestFit="1" customWidth="1"/>
    <col min="9523" max="9728" width="8.42578125" hidden="1" bestFit="1" customWidth="1"/>
    <col min="9729" max="9759" width="2.5703125" hidden="1" bestFit="1" customWidth="1"/>
    <col min="9760" max="9760" width="4.5703125" hidden="1" bestFit="1" customWidth="1"/>
    <col min="9761" max="9778" width="2.5703125" hidden="1" bestFit="1" customWidth="1"/>
    <col min="9779" max="9984" width="8.42578125" hidden="1" bestFit="1" customWidth="1"/>
    <col min="9985" max="10015" width="2.5703125" hidden="1" bestFit="1" customWidth="1"/>
    <col min="10016" max="10016" width="4.5703125" hidden="1" bestFit="1" customWidth="1"/>
    <col min="10017" max="10034" width="2.5703125" hidden="1" bestFit="1" customWidth="1"/>
    <col min="10035" max="10240" width="8.42578125" hidden="1" bestFit="1" customWidth="1"/>
    <col min="10241" max="10271" width="2.5703125" hidden="1" bestFit="1" customWidth="1"/>
    <col min="10272" max="10272" width="4.5703125" hidden="1" bestFit="1" customWidth="1"/>
    <col min="10273" max="10290" width="2.5703125" hidden="1" bestFit="1" customWidth="1"/>
    <col min="10291" max="10496" width="8.42578125" hidden="1" bestFit="1" customWidth="1"/>
    <col min="10497" max="10527" width="2.5703125" hidden="1" bestFit="1" customWidth="1"/>
    <col min="10528" max="10528" width="4.5703125" hidden="1" bestFit="1" customWidth="1"/>
    <col min="10529" max="10546" width="2.5703125" hidden="1" bestFit="1" customWidth="1"/>
    <col min="10547" max="10752" width="8.42578125" hidden="1" bestFit="1" customWidth="1"/>
    <col min="10753" max="10783" width="2.5703125" hidden="1" bestFit="1" customWidth="1"/>
    <col min="10784" max="10784" width="4.5703125" hidden="1" bestFit="1" customWidth="1"/>
    <col min="10785" max="10802" width="2.5703125" hidden="1" bestFit="1" customWidth="1"/>
    <col min="10803" max="11008" width="8.42578125" hidden="1" bestFit="1" customWidth="1"/>
    <col min="11009" max="11039" width="2.5703125" hidden="1" bestFit="1" customWidth="1"/>
    <col min="11040" max="11040" width="4.5703125" hidden="1" bestFit="1" customWidth="1"/>
    <col min="11041" max="11058" width="2.5703125" hidden="1" bestFit="1" customWidth="1"/>
    <col min="11059" max="11264" width="8.42578125" hidden="1" bestFit="1" customWidth="1"/>
    <col min="11265" max="11295" width="2.5703125" hidden="1" bestFit="1" customWidth="1"/>
    <col min="11296" max="11296" width="4.5703125" hidden="1" bestFit="1" customWidth="1"/>
    <col min="11297" max="11314" width="2.5703125" hidden="1" bestFit="1" customWidth="1"/>
    <col min="11315" max="11520" width="8.42578125" hidden="1" bestFit="1" customWidth="1"/>
    <col min="11521" max="11551" width="2.5703125" hidden="1" bestFit="1" customWidth="1"/>
    <col min="11552" max="11552" width="4.5703125" hidden="1" bestFit="1" customWidth="1"/>
    <col min="11553" max="11570" width="2.5703125" hidden="1" bestFit="1" customWidth="1"/>
    <col min="11571" max="11776" width="8.42578125" hidden="1" bestFit="1" customWidth="1"/>
    <col min="11777" max="11807" width="2.5703125" hidden="1" bestFit="1" customWidth="1"/>
    <col min="11808" max="11808" width="4.5703125" hidden="1" bestFit="1" customWidth="1"/>
    <col min="11809" max="11826" width="2.5703125" hidden="1" bestFit="1" customWidth="1"/>
    <col min="11827" max="12032" width="8.42578125" hidden="1" bestFit="1" customWidth="1"/>
    <col min="12033" max="12063" width="2.5703125" hidden="1" bestFit="1" customWidth="1"/>
    <col min="12064" max="12064" width="4.5703125" hidden="1" bestFit="1" customWidth="1"/>
    <col min="12065" max="12082" width="2.5703125" hidden="1" bestFit="1" customWidth="1"/>
    <col min="12083" max="12288" width="8.42578125" hidden="1" bestFit="1" customWidth="1"/>
    <col min="12289" max="12319" width="2.5703125" hidden="1" bestFit="1" customWidth="1"/>
    <col min="12320" max="12320" width="4.5703125" hidden="1" bestFit="1" customWidth="1"/>
    <col min="12321" max="12338" width="2.5703125" hidden="1" bestFit="1" customWidth="1"/>
    <col min="12339" max="12544" width="8.42578125" hidden="1" bestFit="1" customWidth="1"/>
    <col min="12545" max="12575" width="2.5703125" hidden="1" bestFit="1" customWidth="1"/>
    <col min="12576" max="12576" width="4.5703125" hidden="1" bestFit="1" customWidth="1"/>
    <col min="12577" max="12594" width="2.5703125" hidden="1" bestFit="1" customWidth="1"/>
    <col min="12595" max="12800" width="8.42578125" hidden="1" bestFit="1" customWidth="1"/>
    <col min="12801" max="12831" width="2.5703125" hidden="1" bestFit="1" customWidth="1"/>
    <col min="12832" max="12832" width="4.5703125" hidden="1" bestFit="1" customWidth="1"/>
    <col min="12833" max="12850" width="2.5703125" hidden="1" bestFit="1" customWidth="1"/>
    <col min="12851" max="13056" width="8.42578125" hidden="1" bestFit="1" customWidth="1"/>
    <col min="13057" max="13087" width="2.5703125" hidden="1" bestFit="1" customWidth="1"/>
    <col min="13088" max="13088" width="4.5703125" hidden="1" bestFit="1" customWidth="1"/>
    <col min="13089" max="13106" width="2.5703125" hidden="1" bestFit="1" customWidth="1"/>
    <col min="13107" max="13312" width="8.42578125" hidden="1" bestFit="1" customWidth="1"/>
    <col min="13313" max="13343" width="2.5703125" hidden="1" bestFit="1" customWidth="1"/>
    <col min="13344" max="13344" width="4.5703125" hidden="1" bestFit="1" customWidth="1"/>
    <col min="13345" max="13362" width="2.5703125" hidden="1" bestFit="1" customWidth="1"/>
    <col min="13363" max="13568" width="8.42578125" hidden="1" bestFit="1" customWidth="1"/>
    <col min="13569" max="13599" width="2.5703125" hidden="1" bestFit="1" customWidth="1"/>
    <col min="13600" max="13600" width="4.5703125" hidden="1" bestFit="1" customWidth="1"/>
    <col min="13601" max="13618" width="2.5703125" hidden="1" bestFit="1" customWidth="1"/>
    <col min="13619" max="13824" width="8.42578125" hidden="1" bestFit="1" customWidth="1"/>
    <col min="13825" max="13855" width="2.5703125" hidden="1" bestFit="1" customWidth="1"/>
    <col min="13856" max="13856" width="4.5703125" hidden="1" bestFit="1" customWidth="1"/>
    <col min="13857" max="13874" width="2.5703125" hidden="1" bestFit="1" customWidth="1"/>
    <col min="13875" max="14080" width="8.42578125" hidden="1" bestFit="1" customWidth="1"/>
    <col min="14081" max="14111" width="2.5703125" hidden="1" bestFit="1" customWidth="1"/>
    <col min="14112" max="14112" width="4.5703125" hidden="1" bestFit="1" customWidth="1"/>
    <col min="14113" max="14130" width="2.5703125" hidden="1" bestFit="1" customWidth="1"/>
    <col min="14131" max="14336" width="8.42578125" hidden="1" bestFit="1" customWidth="1"/>
    <col min="14337" max="14367" width="2.5703125" hidden="1" bestFit="1" customWidth="1"/>
    <col min="14368" max="14368" width="4.5703125" hidden="1" bestFit="1" customWidth="1"/>
    <col min="14369" max="14386" width="2.5703125" hidden="1" bestFit="1" customWidth="1"/>
    <col min="14387" max="14592" width="8.42578125" hidden="1" bestFit="1" customWidth="1"/>
    <col min="14593" max="14623" width="2.5703125" hidden="1" bestFit="1" customWidth="1"/>
    <col min="14624" max="14624" width="4.5703125" hidden="1" bestFit="1" customWidth="1"/>
    <col min="14625" max="14642" width="2.5703125" hidden="1" bestFit="1" customWidth="1"/>
    <col min="14643" max="14848" width="8.42578125" hidden="1" bestFit="1" customWidth="1"/>
    <col min="14849" max="14879" width="2.5703125" hidden="1" bestFit="1" customWidth="1"/>
    <col min="14880" max="14880" width="4.5703125" hidden="1" bestFit="1" customWidth="1"/>
    <col min="14881" max="14898" width="2.5703125" hidden="1" bestFit="1" customWidth="1"/>
    <col min="14899" max="15104" width="8.42578125" hidden="1" bestFit="1" customWidth="1"/>
    <col min="15105" max="15135" width="2.5703125" hidden="1" bestFit="1" customWidth="1"/>
    <col min="15136" max="15136" width="4.5703125" hidden="1" bestFit="1" customWidth="1"/>
    <col min="15137" max="15154" width="2.5703125" hidden="1" bestFit="1" customWidth="1"/>
    <col min="15155" max="15360" width="8.42578125" hidden="1" bestFit="1" customWidth="1"/>
    <col min="15361" max="15391" width="2.5703125" hidden="1" bestFit="1" customWidth="1"/>
    <col min="15392" max="15392" width="4.5703125" hidden="1" bestFit="1" customWidth="1"/>
    <col min="15393" max="15410" width="2.5703125" hidden="1" bestFit="1" customWidth="1"/>
    <col min="15411" max="15616" width="8.42578125" hidden="1" bestFit="1" customWidth="1"/>
    <col min="15617" max="15647" width="2.5703125" hidden="1" bestFit="1" customWidth="1"/>
    <col min="15648" max="15648" width="4.5703125" hidden="1" bestFit="1" customWidth="1"/>
    <col min="15649" max="15666" width="2.5703125" hidden="1" bestFit="1" customWidth="1"/>
    <col min="15667" max="15872" width="8.42578125" hidden="1" bestFit="1" customWidth="1"/>
    <col min="15873" max="15903" width="2.5703125" hidden="1" bestFit="1" customWidth="1"/>
    <col min="15904" max="15904" width="4.5703125" hidden="1" bestFit="1" customWidth="1"/>
    <col min="15905" max="15922" width="2.5703125" hidden="1" bestFit="1" customWidth="1"/>
    <col min="15923" max="16128" width="8.42578125" hidden="1" bestFit="1" customWidth="1"/>
    <col min="16129" max="16159" width="2.5703125" hidden="1" bestFit="1" customWidth="1"/>
    <col min="16160" max="16160" width="4.5703125" hidden="1" bestFit="1" customWidth="1"/>
    <col min="16161" max="16178" width="2.5703125" hidden="1" bestFit="1" customWidth="1"/>
    <col min="16179" max="16384" width="8.42578125" hidden="1" bestFit="1" customWidth="1"/>
  </cols>
  <sheetData>
    <row r="1" spans="1:49" ht="48.2" customHeight="1" x14ac:dyDescent="0.2">
      <c r="AA1" s="160"/>
      <c r="AB1" s="160"/>
      <c r="AC1" s="160"/>
      <c r="AD1" s="160"/>
      <c r="AE1" s="160"/>
      <c r="AF1" s="160"/>
      <c r="AG1" s="1124" t="s">
        <v>3938</v>
      </c>
      <c r="AH1" s="1124"/>
      <c r="AI1" s="1124"/>
      <c r="AJ1" s="1124"/>
      <c r="AK1" s="1124"/>
      <c r="AL1" s="1124"/>
      <c r="AM1" s="1124"/>
      <c r="AN1" s="1124"/>
      <c r="AO1" s="1124"/>
      <c r="AP1" s="1124"/>
      <c r="AQ1" s="1124"/>
      <c r="AR1" s="1124"/>
      <c r="AS1" s="1124"/>
      <c r="AT1" s="1124"/>
      <c r="AU1" s="1124"/>
      <c r="AV1" s="1124"/>
      <c r="AW1" s="1124"/>
    </row>
    <row r="2" spans="1:49" x14ac:dyDescent="0.2">
      <c r="AP2" s="871" t="s">
        <v>3947</v>
      </c>
      <c r="AQ2" s="1125"/>
      <c r="AR2" s="1126"/>
      <c r="AS2" s="1127"/>
      <c r="AT2" s="1128"/>
      <c r="AU2" s="1129"/>
      <c r="AV2" s="1130"/>
      <c r="AW2" s="1131"/>
    </row>
    <row r="3" spans="1:49" x14ac:dyDescent="0.2">
      <c r="AG3" t="s">
        <v>3949</v>
      </c>
      <c r="AP3" s="1132" t="s">
        <v>3950</v>
      </c>
      <c r="AQ3" s="1133"/>
      <c r="AR3" s="1134"/>
      <c r="AS3" s="1135"/>
      <c r="AT3" s="1136"/>
      <c r="AU3" s="1137"/>
      <c r="AV3" s="1138"/>
      <c r="AW3" s="1139"/>
    </row>
    <row r="4" spans="1:49" x14ac:dyDescent="0.2">
      <c r="AP4" s="964"/>
      <c r="AQ4" s="1140"/>
      <c r="AR4" s="1141"/>
      <c r="AS4" s="1142"/>
      <c r="AT4" s="1143"/>
      <c r="AU4" s="1144"/>
      <c r="AV4" s="1145"/>
      <c r="AW4" s="1146"/>
    </row>
    <row r="5" spans="1:49" x14ac:dyDescent="0.2">
      <c r="A5" t="s">
        <v>3952</v>
      </c>
      <c r="E5" s="1170"/>
      <c r="F5" s="1171"/>
      <c r="G5" s="1172"/>
      <c r="H5" s="1173"/>
      <c r="I5" s="1174"/>
      <c r="J5" s="1175"/>
      <c r="K5" s="1176"/>
      <c r="L5" s="1177"/>
      <c r="M5" s="1178"/>
      <c r="N5" s="1179"/>
      <c r="O5" s="1180"/>
      <c r="P5" s="1181"/>
      <c r="Q5" s="1182"/>
      <c r="R5" s="1183"/>
      <c r="S5" s="1184"/>
      <c r="T5" s="1185"/>
      <c r="U5" s="1186"/>
      <c r="V5" s="1187"/>
      <c r="W5" s="1188"/>
      <c r="X5" s="1189"/>
      <c r="Y5" s="1190"/>
      <c r="Z5" s="1191"/>
      <c r="AA5" s="1192"/>
      <c r="AB5" s="1193"/>
      <c r="AC5" s="1194"/>
      <c r="AD5" s="1195"/>
      <c r="AE5" s="1196"/>
      <c r="AF5" s="1197"/>
      <c r="AG5" s="1198"/>
      <c r="AH5" s="1199"/>
      <c r="AI5" s="1200"/>
      <c r="AJ5" s="1201"/>
      <c r="AK5" t="s">
        <v>3953</v>
      </c>
      <c r="AP5" s="1147"/>
      <c r="AQ5" s="1148"/>
      <c r="AR5" s="1149"/>
      <c r="AS5" s="1150"/>
      <c r="AT5" s="1151"/>
      <c r="AU5" s="1152"/>
      <c r="AV5" s="1153"/>
      <c r="AW5" s="1154"/>
    </row>
    <row r="6" spans="1:49" x14ac:dyDescent="0.2">
      <c r="R6" t="s">
        <v>3954</v>
      </c>
      <c r="AP6" s="964">
        <f>ИНФ!C17</f>
        <v>17872715</v>
      </c>
      <c r="AQ6" s="1155"/>
      <c r="AR6" s="1156"/>
      <c r="AS6" s="1157"/>
      <c r="AT6" s="1158"/>
      <c r="AU6" s="1159"/>
      <c r="AV6" s="1160"/>
      <c r="AW6" s="1161"/>
    </row>
    <row r="7" spans="1:49" ht="27.75" customHeight="1" x14ac:dyDescent="0.2">
      <c r="A7" s="1025" t="s">
        <v>3957</v>
      </c>
      <c r="B7" s="1025"/>
      <c r="C7" s="1025"/>
      <c r="D7" s="1025"/>
      <c r="E7" s="1025"/>
      <c r="F7" s="1025"/>
      <c r="G7" s="1025"/>
      <c r="H7" s="1025"/>
      <c r="I7" s="1025"/>
      <c r="J7" s="1025"/>
      <c r="K7" s="1026" t="str">
        <f>ИНФ!C16</f>
        <v>ООО "Т2 Мобайл", 108811, г. Москва, Киевское шоссе 22-й километр, домовладение 6, строение 1, этаж 5, комната 33</v>
      </c>
      <c r="L7" s="1202"/>
      <c r="M7" s="1203"/>
      <c r="N7" s="1204"/>
      <c r="O7" s="1205"/>
      <c r="P7" s="1206"/>
      <c r="Q7" s="1207"/>
      <c r="R7" s="1208"/>
      <c r="S7" s="1209"/>
      <c r="T7" s="1210"/>
      <c r="U7" s="1211"/>
      <c r="V7" s="1212"/>
      <c r="W7" s="1213"/>
      <c r="X7" s="1214"/>
      <c r="Y7" s="1215"/>
      <c r="Z7" s="1216"/>
      <c r="AA7" s="1217"/>
      <c r="AB7" s="1218"/>
      <c r="AC7" s="1219"/>
      <c r="AD7" s="1220"/>
      <c r="AE7" s="1221"/>
      <c r="AF7" s="1222"/>
      <c r="AG7" s="1223"/>
      <c r="AH7" s="1224"/>
      <c r="AI7" s="1225"/>
      <c r="AJ7" s="1226"/>
      <c r="AK7" t="s">
        <v>3953</v>
      </c>
      <c r="AP7" s="1162"/>
      <c r="AQ7" s="1163"/>
      <c r="AR7" s="1164"/>
      <c r="AS7" s="1165"/>
      <c r="AT7" s="1166"/>
      <c r="AU7" s="1167"/>
      <c r="AV7" s="1168"/>
      <c r="AW7" s="1169"/>
    </row>
    <row r="8" spans="1:49" x14ac:dyDescent="0.2">
      <c r="R8" t="s">
        <v>3954</v>
      </c>
      <c r="AP8" s="964">
        <f>ИНФ!C13</f>
        <v>91130665</v>
      </c>
      <c r="AQ8" s="965"/>
      <c r="AR8" s="966"/>
      <c r="AS8" s="967"/>
      <c r="AT8" s="968"/>
      <c r="AU8" s="969"/>
      <c r="AV8" s="970"/>
      <c r="AW8" s="971"/>
    </row>
    <row r="9" spans="1:49" ht="29.45" customHeight="1" x14ac:dyDescent="0.2">
      <c r="A9" s="1025" t="s">
        <v>3960</v>
      </c>
      <c r="B9" s="1025"/>
      <c r="C9" s="1025"/>
      <c r="D9" s="1025"/>
      <c r="E9" s="1025"/>
      <c r="F9" s="1025"/>
      <c r="G9" s="1025"/>
      <c r="H9" s="1025"/>
      <c r="I9" s="1025"/>
      <c r="J9" s="1025"/>
      <c r="K9" s="1026" t="str">
        <f>ИНФ!C10</f>
        <v>ООО "ЭСТ", 350005, Краснодарский край, г. Краснодар, ул. им. Александра Покрышкина д.  25/А, корп.2, помещ.  21,22,23</v>
      </c>
      <c r="L9" s="1027"/>
      <c r="M9" s="1028"/>
      <c r="N9" s="1029"/>
      <c r="O9" s="1030"/>
      <c r="P9" s="1031"/>
      <c r="Q9" s="1032"/>
      <c r="R9" s="1033"/>
      <c r="S9" s="1034"/>
      <c r="T9" s="1035"/>
      <c r="U9" s="1036"/>
      <c r="V9" s="1037"/>
      <c r="W9" s="1038"/>
      <c r="X9" s="1039"/>
      <c r="Y9" s="1040"/>
      <c r="Z9" s="1041"/>
      <c r="AA9" s="1042"/>
      <c r="AB9" s="1043"/>
      <c r="AC9" s="1044"/>
      <c r="AD9" s="1045"/>
      <c r="AE9" s="1046"/>
      <c r="AF9" s="1047"/>
      <c r="AG9" s="1048"/>
      <c r="AH9" s="1049"/>
      <c r="AI9" s="1050"/>
      <c r="AJ9" s="1051"/>
      <c r="AK9" t="s">
        <v>3953</v>
      </c>
      <c r="AP9" s="972"/>
      <c r="AQ9" s="973"/>
      <c r="AR9" s="974"/>
      <c r="AS9" s="975"/>
      <c r="AT9" s="976"/>
      <c r="AU9" s="977"/>
      <c r="AV9" s="978"/>
      <c r="AW9" s="979"/>
    </row>
    <row r="10" spans="1:49" x14ac:dyDescent="0.2">
      <c r="R10" t="s">
        <v>3954</v>
      </c>
      <c r="AP10" s="964"/>
      <c r="AQ10" s="980"/>
      <c r="AR10" s="981"/>
      <c r="AS10" s="982"/>
      <c r="AT10" s="983"/>
      <c r="AU10" s="984"/>
      <c r="AV10" s="985"/>
      <c r="AW10" s="986"/>
    </row>
    <row r="11" spans="1:49" ht="15" customHeight="1" x14ac:dyDescent="0.2">
      <c r="A11" s="1025" t="s">
        <v>3961</v>
      </c>
      <c r="B11" s="1025"/>
      <c r="C11" s="1025"/>
      <c r="D11" s="1025"/>
      <c r="E11" s="1026"/>
      <c r="F11" s="1052"/>
      <c r="G11" s="1053"/>
      <c r="H11" s="1054"/>
      <c r="I11" s="1055"/>
      <c r="J11" s="1056"/>
      <c r="K11" s="1057"/>
      <c r="L11" s="1058"/>
      <c r="M11" s="1059"/>
      <c r="N11" s="1060"/>
      <c r="O11" s="1061"/>
      <c r="P11" s="1062"/>
      <c r="Q11" s="1063"/>
      <c r="R11" s="1064"/>
      <c r="S11" s="1065"/>
      <c r="T11" s="1066"/>
      <c r="U11" s="1067"/>
      <c r="V11" s="1068"/>
      <c r="W11" s="1069"/>
      <c r="X11" s="1070"/>
      <c r="Y11" s="1071"/>
      <c r="Z11" s="1072"/>
      <c r="AA11" s="1073"/>
      <c r="AB11" s="1074"/>
      <c r="AC11" s="1075"/>
      <c r="AD11" s="1076"/>
      <c r="AE11" s="1077"/>
      <c r="AF11" s="1078"/>
      <c r="AG11" s="1079"/>
      <c r="AH11" s="1080"/>
      <c r="AI11" s="1081"/>
      <c r="AJ11" s="1082"/>
      <c r="AK11" s="1083"/>
      <c r="AL11" s="1084"/>
      <c r="AM11" s="1085"/>
      <c r="AN11" s="1086"/>
      <c r="AO11" s="1087"/>
      <c r="AP11" s="987"/>
      <c r="AQ11" s="988"/>
      <c r="AR11" s="989"/>
      <c r="AS11" s="990"/>
      <c r="AT11" s="991"/>
      <c r="AU11" s="992"/>
      <c r="AV11" s="993"/>
      <c r="AW11" s="994"/>
    </row>
    <row r="12" spans="1:49" x14ac:dyDescent="0.2">
      <c r="M12" t="s">
        <v>3962</v>
      </c>
      <c r="AP12" s="964"/>
      <c r="AQ12" s="995"/>
      <c r="AR12" s="996"/>
      <c r="AS12" s="997"/>
      <c r="AT12" s="998"/>
      <c r="AU12" s="999"/>
      <c r="AV12" s="1000"/>
      <c r="AW12" s="1001"/>
    </row>
    <row r="13" spans="1:49" ht="15" customHeight="1" x14ac:dyDescent="0.2">
      <c r="A13" s="1025" t="s">
        <v>156</v>
      </c>
      <c r="B13" s="1025"/>
      <c r="C13" s="1025"/>
      <c r="D13" s="1025"/>
      <c r="E13" s="1026"/>
      <c r="F13" s="1088"/>
      <c r="G13" s="1089"/>
      <c r="H13" s="1090"/>
      <c r="I13" s="1091"/>
      <c r="J13" s="1092"/>
      <c r="K13" s="1093"/>
      <c r="L13" s="1094"/>
      <c r="M13" s="1095"/>
      <c r="N13" s="1096"/>
      <c r="O13" s="1097"/>
      <c r="P13" s="1098"/>
      <c r="Q13" s="1099"/>
      <c r="R13" s="1100"/>
      <c r="S13" s="1101"/>
      <c r="T13" s="1102"/>
      <c r="U13" s="1103"/>
      <c r="V13" s="1104"/>
      <c r="W13" s="1105"/>
      <c r="X13" s="1106"/>
      <c r="Y13" s="1107"/>
      <c r="Z13" s="1108"/>
      <c r="AA13" s="1109"/>
      <c r="AB13" s="1110"/>
      <c r="AC13" s="1111"/>
      <c r="AD13" s="1112"/>
      <c r="AE13" s="1113"/>
      <c r="AF13" s="1114"/>
      <c r="AG13" s="1115"/>
      <c r="AH13" s="1116"/>
      <c r="AI13" s="1117"/>
      <c r="AJ13" s="1118"/>
      <c r="AK13" s="1119"/>
      <c r="AL13" s="1120"/>
      <c r="AM13" s="1121"/>
      <c r="AN13" s="1122"/>
      <c r="AO13" s="1123"/>
      <c r="AP13" s="1002"/>
      <c r="AQ13" s="1003"/>
      <c r="AR13" s="1004"/>
      <c r="AS13" s="1005"/>
      <c r="AT13" s="1006"/>
      <c r="AU13" s="1007"/>
      <c r="AV13" s="1008"/>
      <c r="AW13" s="1009"/>
    </row>
    <row r="14" spans="1:49" x14ac:dyDescent="0.2">
      <c r="M14" t="s">
        <v>3962</v>
      </c>
      <c r="AC14" t="s">
        <v>3963</v>
      </c>
      <c r="AP14" s="1010"/>
      <c r="AQ14" s="1011"/>
      <c r="AR14" s="1012"/>
      <c r="AS14" s="1013"/>
      <c r="AT14" s="1014"/>
      <c r="AU14" s="1015"/>
      <c r="AV14" s="1016"/>
      <c r="AW14" s="1017"/>
    </row>
    <row r="15" spans="1:49" ht="15" customHeight="1" x14ac:dyDescent="0.2">
      <c r="AC15" t="s">
        <v>3965</v>
      </c>
      <c r="AD15" s="165"/>
      <c r="AE15" s="165"/>
      <c r="AF15" s="165"/>
      <c r="AG15" s="165"/>
      <c r="AH15" s="165"/>
      <c r="AI15" s="165"/>
      <c r="AJ15" s="166"/>
      <c r="AK15" s="947" t="s">
        <v>3966</v>
      </c>
      <c r="AL15" s="948"/>
      <c r="AM15" s="949"/>
      <c r="AN15" s="950"/>
      <c r="AO15" s="951"/>
      <c r="AP15" s="964" t="str">
        <f>ИНФ!C2</f>
        <v>ТО-ЭСТ-РО-2025</v>
      </c>
      <c r="AQ15" s="1018"/>
      <c r="AR15" s="1019"/>
      <c r="AS15" s="1020"/>
      <c r="AT15" s="1021"/>
      <c r="AU15" s="1022"/>
      <c r="AV15" s="1023"/>
      <c r="AW15" s="1024"/>
    </row>
    <row r="16" spans="1:49" x14ac:dyDescent="0.2">
      <c r="AK16" s="947" t="s">
        <v>3967</v>
      </c>
      <c r="AL16" s="952"/>
      <c r="AM16" s="953"/>
      <c r="AN16" s="954"/>
      <c r="AO16" s="955"/>
      <c r="AP16" s="923">
        <f>ИНФ!C3</f>
        <v>45901</v>
      </c>
      <c r="AQ16" s="924"/>
      <c r="AR16" s="925"/>
      <c r="AS16" s="926"/>
      <c r="AT16" s="927"/>
      <c r="AU16" s="928"/>
      <c r="AV16" s="929"/>
      <c r="AW16" s="930"/>
    </row>
    <row r="17" spans="1:49" x14ac:dyDescent="0.2">
      <c r="AC17" s="860" t="s">
        <v>3968</v>
      </c>
      <c r="AD17" s="861"/>
      <c r="AE17" s="861"/>
      <c r="AF17" s="861"/>
      <c r="AG17" s="861"/>
      <c r="AH17" s="861"/>
      <c r="AI17" s="861"/>
      <c r="AJ17" s="862"/>
      <c r="AK17" s="947" t="s">
        <v>3966</v>
      </c>
      <c r="AL17" s="956"/>
      <c r="AM17" s="957"/>
      <c r="AN17" s="958"/>
      <c r="AO17" s="959"/>
      <c r="AP17" s="931" t="str">
        <f>ИНФ!C4</f>
        <v>ОРЕХ 2612-2613</v>
      </c>
      <c r="AQ17" s="932"/>
      <c r="AR17" s="933"/>
      <c r="AS17" s="934"/>
      <c r="AT17" s="935"/>
      <c r="AU17" s="936"/>
      <c r="AV17" s="937"/>
      <c r="AW17" s="938"/>
    </row>
    <row r="18" spans="1:49" x14ac:dyDescent="0.2">
      <c r="AK18" s="947" t="s">
        <v>3967</v>
      </c>
      <c r="AL18" s="960"/>
      <c r="AM18" s="961"/>
      <c r="AN18" s="962"/>
      <c r="AO18" s="963"/>
      <c r="AP18" s="939">
        <f>ИНФ!D2</f>
        <v>46111</v>
      </c>
      <c r="AQ18" s="940"/>
      <c r="AR18" s="941"/>
      <c r="AS18" s="942"/>
      <c r="AT18" s="943"/>
      <c r="AU18" s="944"/>
      <c r="AV18" s="945"/>
      <c r="AW18" s="946"/>
    </row>
    <row r="19" spans="1:49" x14ac:dyDescent="0.2">
      <c r="AJ19" t="s">
        <v>3971</v>
      </c>
      <c r="AP19" s="863"/>
      <c r="AQ19" s="864"/>
      <c r="AR19" s="865"/>
      <c r="AS19" s="866"/>
      <c r="AT19" s="867"/>
      <c r="AU19" s="868"/>
      <c r="AV19" s="869"/>
      <c r="AW19" s="870"/>
    </row>
    <row r="21" spans="1:49" x14ac:dyDescent="0.2">
      <c r="P21" s="871" t="s">
        <v>3974</v>
      </c>
      <c r="Q21" s="872"/>
      <c r="R21" s="873"/>
      <c r="S21" s="874"/>
      <c r="T21" s="875"/>
      <c r="U21" s="876"/>
      <c r="V21" s="877"/>
      <c r="W21" s="878"/>
      <c r="X21" s="879"/>
      <c r="Y21" s="871" t="s">
        <v>3975</v>
      </c>
      <c r="Z21" s="898"/>
      <c r="AA21" s="899"/>
      <c r="AB21" s="900"/>
      <c r="AC21" s="901"/>
      <c r="AD21" s="902"/>
      <c r="AE21" s="903"/>
      <c r="AF21" s="904"/>
      <c r="AG21" s="905"/>
      <c r="AJ21" s="840" t="s">
        <v>3976</v>
      </c>
      <c r="AK21" s="841"/>
      <c r="AL21" s="842"/>
      <c r="AM21" s="843"/>
      <c r="AN21" s="844"/>
      <c r="AO21" s="845"/>
      <c r="AP21" s="846"/>
      <c r="AQ21" s="847"/>
    </row>
    <row r="22" spans="1:49" x14ac:dyDescent="0.2">
      <c r="P22" s="880"/>
      <c r="Q22" s="881"/>
      <c r="R22" s="882"/>
      <c r="S22" s="883"/>
      <c r="T22" s="884"/>
      <c r="U22" s="885"/>
      <c r="V22" s="886"/>
      <c r="W22" s="887"/>
      <c r="X22" s="888"/>
      <c r="Y22" s="906"/>
      <c r="Z22" s="907"/>
      <c r="AA22" s="908"/>
      <c r="AB22" s="909"/>
      <c r="AC22" s="910"/>
      <c r="AD22" s="911"/>
      <c r="AE22" s="912"/>
      <c r="AF22" s="913"/>
      <c r="AG22" s="914"/>
      <c r="AJ22" s="539" t="s">
        <v>3983</v>
      </c>
      <c r="AK22" s="837"/>
      <c r="AL22" s="838"/>
      <c r="AM22" s="839"/>
      <c r="AN22" s="848" t="s">
        <v>3984</v>
      </c>
      <c r="AO22" s="849"/>
      <c r="AP22" s="850"/>
      <c r="AQ22" s="851"/>
    </row>
    <row r="23" spans="1:49" ht="15.75" x14ac:dyDescent="0.25">
      <c r="B23" s="161"/>
      <c r="C23" s="161"/>
      <c r="D23" s="161"/>
      <c r="E23" s="161"/>
      <c r="F23" s="161"/>
      <c r="G23" s="161"/>
      <c r="H23" s="161"/>
      <c r="I23" s="161"/>
      <c r="J23" s="161"/>
      <c r="M23" s="169"/>
      <c r="N23" s="161"/>
      <c r="O23" s="161"/>
      <c r="P23" s="889" t="str">
        <f>ИНФ!C4</f>
        <v>ОРЕХ 2612-2613</v>
      </c>
      <c r="Q23" s="890"/>
      <c r="R23" s="891"/>
      <c r="S23" s="892"/>
      <c r="T23" s="893"/>
      <c r="U23" s="894"/>
      <c r="V23" s="895"/>
      <c r="W23" s="896"/>
      <c r="X23" s="897"/>
      <c r="Y23" s="852"/>
      <c r="Z23" s="915"/>
      <c r="AA23" s="916"/>
      <c r="AB23" s="917"/>
      <c r="AC23" s="918"/>
      <c r="AD23" s="919"/>
      <c r="AE23" s="920"/>
      <c r="AF23" s="921"/>
      <c r="AG23" s="922"/>
      <c r="AJ23" s="856" t="str">
        <f>ИНФ!C6</f>
        <v>16.03.2026г</v>
      </c>
      <c r="AK23" s="857"/>
      <c r="AL23" s="858"/>
      <c r="AM23" s="859"/>
      <c r="AN23" s="852" t="str">
        <f>ИНФ!C7</f>
        <v>29.03.2026г.</v>
      </c>
      <c r="AO23" s="853"/>
      <c r="AP23" s="854"/>
      <c r="AQ23" s="855"/>
    </row>
    <row r="25" spans="1:49" ht="15.75" x14ac:dyDescent="0.25">
      <c r="A25" s="167"/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N25" s="167"/>
      <c r="O25" s="167"/>
      <c r="P25" s="167"/>
      <c r="Q25" s="167"/>
      <c r="R25" s="167"/>
      <c r="S25" s="167"/>
      <c r="T25" s="167"/>
      <c r="U25" s="167"/>
      <c r="V25" s="835" t="s">
        <v>3969</v>
      </c>
      <c r="W25" s="835"/>
      <c r="X25" s="835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7"/>
      <c r="AM25" s="167"/>
      <c r="AN25" s="167"/>
      <c r="AO25" s="167"/>
      <c r="AP25" s="167"/>
      <c r="AQ25" s="167"/>
      <c r="AR25" s="167"/>
      <c r="AS25" s="167"/>
      <c r="AT25" s="167"/>
      <c r="AU25" s="167"/>
      <c r="AV25" s="167"/>
      <c r="AW25" s="167"/>
    </row>
    <row r="26" spans="1:49" ht="15.75" x14ac:dyDescent="0.2">
      <c r="O26" s="168"/>
      <c r="P26" s="836" t="s">
        <v>3970</v>
      </c>
      <c r="Q26" s="836"/>
      <c r="R26" s="836"/>
      <c r="S26" s="836"/>
      <c r="T26" s="836"/>
      <c r="U26" s="836"/>
      <c r="V26" s="836"/>
      <c r="W26" s="836"/>
      <c r="X26" s="836"/>
      <c r="Y26" s="836"/>
      <c r="Z26" s="836"/>
      <c r="AA26" s="836"/>
      <c r="AB26" s="836"/>
      <c r="AC26" s="836"/>
      <c r="AD26" s="836"/>
      <c r="AE26" s="836"/>
      <c r="AF26" s="168"/>
      <c r="AG26" s="168"/>
      <c r="AH26" s="168"/>
      <c r="AI26" s="168"/>
      <c r="AJ26" s="168"/>
      <c r="AK26" s="168"/>
      <c r="AL26" s="168"/>
      <c r="AM26" s="168"/>
      <c r="AN26" s="168"/>
      <c r="AO26" s="168"/>
      <c r="AP26" s="168"/>
      <c r="AQ26" s="168"/>
      <c r="AR26" s="168"/>
      <c r="AS26" s="168"/>
      <c r="AT26" s="168"/>
      <c r="AU26" s="168"/>
      <c r="AV26" s="168"/>
      <c r="AW26" s="168"/>
    </row>
    <row r="28" spans="1:49" x14ac:dyDescent="0.2">
      <c r="B28" t="s">
        <v>3972</v>
      </c>
      <c r="AH28" s="789">
        <f>AS39</f>
        <v>1397468.69</v>
      </c>
      <c r="AI28" s="789"/>
      <c r="AJ28" s="789"/>
      <c r="AK28" s="789"/>
      <c r="AL28" s="789"/>
      <c r="AM28" s="789"/>
      <c r="AN28" s="789"/>
      <c r="AP28" t="s">
        <v>3973</v>
      </c>
    </row>
    <row r="30" spans="1:49" ht="12.75" customHeight="1" x14ac:dyDescent="0.2">
      <c r="A30" s="633" t="s">
        <v>3977</v>
      </c>
      <c r="B30" s="634"/>
      <c r="C30" s="635"/>
      <c r="D30" s="639" t="s">
        <v>3978</v>
      </c>
      <c r="E30" s="640"/>
      <c r="F30" s="641"/>
      <c r="G30" s="645" t="s">
        <v>3979</v>
      </c>
      <c r="H30" s="646"/>
      <c r="I30" s="647"/>
      <c r="J30" s="648"/>
      <c r="K30" s="649"/>
      <c r="L30" s="650"/>
      <c r="M30" s="651"/>
      <c r="N30" s="652"/>
      <c r="O30" s="653"/>
      <c r="P30" s="654"/>
      <c r="Q30" s="655"/>
      <c r="R30" s="656"/>
      <c r="S30" s="657"/>
      <c r="T30" s="658"/>
      <c r="U30" s="659"/>
      <c r="V30" s="660"/>
      <c r="W30" s="661"/>
      <c r="X30" s="662"/>
      <c r="Y30" s="663"/>
      <c r="Z30" s="664"/>
      <c r="AA30" s="665"/>
      <c r="AB30" s="666"/>
      <c r="AC30" s="667"/>
      <c r="AD30" s="645" t="s">
        <v>3980</v>
      </c>
      <c r="AE30" s="691"/>
      <c r="AF30" s="692"/>
      <c r="AG30" s="645" t="s">
        <v>3981</v>
      </c>
      <c r="AH30" s="790"/>
      <c r="AI30" s="791"/>
      <c r="AJ30" s="804" t="s">
        <v>3982</v>
      </c>
      <c r="AK30" s="805"/>
      <c r="AL30" s="806"/>
      <c r="AM30" s="807"/>
      <c r="AN30" s="808"/>
      <c r="AO30" s="809"/>
      <c r="AP30" s="810"/>
      <c r="AQ30" s="811"/>
      <c r="AR30" s="812"/>
      <c r="AS30" s="813"/>
      <c r="AT30" s="814"/>
      <c r="AU30" s="815"/>
      <c r="AV30" s="816"/>
      <c r="AW30" s="817"/>
    </row>
    <row r="31" spans="1:49" ht="21.6" customHeight="1" x14ac:dyDescent="0.2">
      <c r="A31" s="636"/>
      <c r="B31" s="637"/>
      <c r="C31" s="638"/>
      <c r="D31" s="642"/>
      <c r="E31" s="643"/>
      <c r="F31" s="644"/>
      <c r="G31" s="668"/>
      <c r="H31" s="669"/>
      <c r="I31" s="670"/>
      <c r="J31" s="671"/>
      <c r="K31" s="672"/>
      <c r="L31" s="673"/>
      <c r="M31" s="674"/>
      <c r="N31" s="675"/>
      <c r="O31" s="676"/>
      <c r="P31" s="677"/>
      <c r="Q31" s="678"/>
      <c r="R31" s="679"/>
      <c r="S31" s="680"/>
      <c r="T31" s="681"/>
      <c r="U31" s="682"/>
      <c r="V31" s="683"/>
      <c r="W31" s="684"/>
      <c r="X31" s="685"/>
      <c r="Y31" s="686"/>
      <c r="Z31" s="687"/>
      <c r="AA31" s="688"/>
      <c r="AB31" s="689"/>
      <c r="AC31" s="690"/>
      <c r="AD31" s="693"/>
      <c r="AE31" s="694"/>
      <c r="AF31" s="695"/>
      <c r="AG31" s="792"/>
      <c r="AH31" s="793"/>
      <c r="AI31" s="794"/>
      <c r="AJ31" s="795" t="s">
        <v>3922</v>
      </c>
      <c r="AK31" s="796"/>
      <c r="AL31" s="797"/>
      <c r="AM31" s="798"/>
      <c r="AN31" s="795" t="s">
        <v>3985</v>
      </c>
      <c r="AO31" s="827"/>
      <c r="AP31" s="828"/>
      <c r="AQ31" s="829"/>
      <c r="AR31" s="830"/>
      <c r="AS31" s="818" t="s">
        <v>3986</v>
      </c>
      <c r="AT31" s="819"/>
      <c r="AU31" s="820"/>
      <c r="AV31" s="821"/>
      <c r="AW31" s="822"/>
    </row>
    <row r="32" spans="1:49" x14ac:dyDescent="0.2">
      <c r="A32" s="606" t="s">
        <v>3939</v>
      </c>
      <c r="B32" s="607"/>
      <c r="C32" s="608"/>
      <c r="D32" s="606" t="s">
        <v>3940</v>
      </c>
      <c r="E32" s="609"/>
      <c r="F32" s="610"/>
      <c r="G32" s="606" t="s">
        <v>3941</v>
      </c>
      <c r="H32" s="611"/>
      <c r="I32" s="612"/>
      <c r="J32" s="613"/>
      <c r="K32" s="614"/>
      <c r="L32" s="615"/>
      <c r="M32" s="616"/>
      <c r="N32" s="617"/>
      <c r="O32" s="618"/>
      <c r="P32" s="619"/>
      <c r="Q32" s="620"/>
      <c r="R32" s="621"/>
      <c r="S32" s="622"/>
      <c r="T32" s="623"/>
      <c r="U32" s="624"/>
      <c r="V32" s="625"/>
      <c r="W32" s="626"/>
      <c r="X32" s="627"/>
      <c r="Y32" s="628"/>
      <c r="Z32" s="629"/>
      <c r="AA32" s="630"/>
      <c r="AB32" s="631"/>
      <c r="AC32" s="632"/>
      <c r="AD32" s="606" t="s">
        <v>3942</v>
      </c>
      <c r="AE32" s="696"/>
      <c r="AF32" s="697"/>
      <c r="AG32" s="606" t="s">
        <v>3943</v>
      </c>
      <c r="AH32" s="802"/>
      <c r="AI32" s="803"/>
      <c r="AJ32" s="606" t="s">
        <v>3944</v>
      </c>
      <c r="AK32" s="799"/>
      <c r="AL32" s="800"/>
      <c r="AM32" s="801"/>
      <c r="AN32" s="606" t="s">
        <v>3945</v>
      </c>
      <c r="AO32" s="831"/>
      <c r="AP32" s="832"/>
      <c r="AQ32" s="833"/>
      <c r="AR32" s="834"/>
      <c r="AS32" s="606" t="s">
        <v>3946</v>
      </c>
      <c r="AT32" s="823"/>
      <c r="AU32" s="824"/>
      <c r="AV32" s="825"/>
      <c r="AW32" s="826"/>
    </row>
    <row r="33" spans="1:51" x14ac:dyDescent="0.2">
      <c r="A33" s="698" t="s">
        <v>3948</v>
      </c>
      <c r="B33" s="699"/>
      <c r="C33" s="700"/>
      <c r="D33" s="701"/>
      <c r="E33" s="702"/>
      <c r="F33" s="703"/>
      <c r="G33" s="704"/>
      <c r="H33" s="705"/>
      <c r="I33" s="706"/>
      <c r="J33" s="707"/>
      <c r="K33" s="708"/>
      <c r="L33" s="709"/>
      <c r="M33" s="710"/>
      <c r="N33" s="711"/>
      <c r="O33" s="712"/>
      <c r="P33" s="713"/>
      <c r="Q33" s="714"/>
      <c r="R33" s="715"/>
      <c r="S33" s="716"/>
      <c r="T33" s="717"/>
      <c r="U33" s="718"/>
      <c r="V33" s="719"/>
      <c r="W33" s="720"/>
      <c r="X33" s="721"/>
      <c r="Y33" s="722"/>
      <c r="Z33" s="723"/>
      <c r="AA33" s="724"/>
      <c r="AB33" s="725"/>
      <c r="AC33" s="726"/>
      <c r="AD33" s="727"/>
      <c r="AE33" s="728"/>
      <c r="AF33" s="729"/>
      <c r="AG33" s="730"/>
      <c r="AH33" s="731"/>
      <c r="AI33" s="732"/>
      <c r="AJ33" s="733"/>
      <c r="AK33" s="734"/>
      <c r="AL33" s="735"/>
      <c r="AM33" s="736"/>
      <c r="AN33" s="737"/>
      <c r="AO33" s="738"/>
      <c r="AP33" s="739"/>
      <c r="AQ33" s="740"/>
      <c r="AR33" s="741"/>
      <c r="AS33" s="742"/>
      <c r="AT33" s="743"/>
      <c r="AU33" s="744"/>
      <c r="AV33" s="745"/>
      <c r="AW33" s="746"/>
    </row>
    <row r="34" spans="1:51" s="161" customFormat="1" ht="31.7" customHeight="1" x14ac:dyDescent="0.25">
      <c r="A34" s="457">
        <v>1</v>
      </c>
      <c r="B34" s="787"/>
      <c r="C34" s="788"/>
      <c r="D34" s="460"/>
      <c r="E34" s="785"/>
      <c r="F34" s="786"/>
      <c r="G34" s="747" t="str">
        <f>"Отчет по аварийно восстановительным работам "&amp;ИНФ!C4&amp;" "</f>
        <v xml:space="preserve">Отчет по аварийно восстановительным работам ОРЕХ 2612-2613 </v>
      </c>
      <c r="H34" s="748"/>
      <c r="I34" s="749"/>
      <c r="J34" s="750"/>
      <c r="K34" s="751"/>
      <c r="L34" s="752"/>
      <c r="M34" s="753"/>
      <c r="N34" s="754"/>
      <c r="O34" s="755"/>
      <c r="P34" s="756"/>
      <c r="Q34" s="757"/>
      <c r="R34" s="758"/>
      <c r="S34" s="759"/>
      <c r="T34" s="760"/>
      <c r="U34" s="761"/>
      <c r="V34" s="762"/>
      <c r="W34" s="763"/>
      <c r="X34" s="764"/>
      <c r="Y34" s="765"/>
      <c r="Z34" s="766"/>
      <c r="AA34" s="767"/>
      <c r="AB34" s="768"/>
      <c r="AC34" s="769"/>
      <c r="AD34" s="460"/>
      <c r="AE34" s="770"/>
      <c r="AF34" s="771"/>
      <c r="AG34" s="460" t="s">
        <v>50</v>
      </c>
      <c r="AH34" s="775"/>
      <c r="AI34" s="776"/>
      <c r="AJ34" s="460">
        <v>1</v>
      </c>
      <c r="AK34" s="782"/>
      <c r="AL34" s="783"/>
      <c r="AM34" s="784"/>
      <c r="AN34" s="772">
        <f>Opex!AJ227</f>
        <v>1145466.1409999996</v>
      </c>
      <c r="AO34" s="773"/>
      <c r="AP34" s="773"/>
      <c r="AQ34" s="773"/>
      <c r="AR34" s="774"/>
      <c r="AS34" s="777">
        <f>AJ34*AN34</f>
        <v>1145466.1409999996</v>
      </c>
      <c r="AT34" s="778"/>
      <c r="AU34" s="779"/>
      <c r="AV34" s="780"/>
      <c r="AW34" s="781"/>
    </row>
    <row r="35" spans="1:51" s="161" customFormat="1" x14ac:dyDescent="0.25">
      <c r="A35" s="557" t="s">
        <v>3951</v>
      </c>
      <c r="B35" s="558"/>
      <c r="C35" s="559"/>
      <c r="D35" s="560"/>
      <c r="E35" s="561"/>
      <c r="F35" s="562"/>
      <c r="G35" s="563"/>
      <c r="H35" s="564"/>
      <c r="I35" s="565"/>
      <c r="J35" s="566"/>
      <c r="K35" s="567"/>
      <c r="L35" s="568"/>
      <c r="M35" s="569"/>
      <c r="N35" s="570"/>
      <c r="O35" s="571"/>
      <c r="P35" s="572"/>
      <c r="Q35" s="573"/>
      <c r="R35" s="574"/>
      <c r="S35" s="575"/>
      <c r="T35" s="576"/>
      <c r="U35" s="577"/>
      <c r="V35" s="578"/>
      <c r="W35" s="579"/>
      <c r="X35" s="580"/>
      <c r="Y35" s="581"/>
      <c r="Z35" s="582"/>
      <c r="AA35" s="583"/>
      <c r="AB35" s="584"/>
      <c r="AC35" s="585"/>
      <c r="AD35" s="586"/>
      <c r="AE35" s="587"/>
      <c r="AF35" s="588"/>
      <c r="AG35" s="589"/>
      <c r="AH35" s="590"/>
      <c r="AI35" s="591"/>
      <c r="AJ35" s="592"/>
      <c r="AK35" s="593"/>
      <c r="AL35" s="594"/>
      <c r="AM35" s="595"/>
      <c r="AN35" s="596"/>
      <c r="AO35" s="597"/>
      <c r="AP35" s="598"/>
      <c r="AQ35" s="599"/>
      <c r="AR35" s="600"/>
      <c r="AS35" s="601"/>
      <c r="AT35" s="602"/>
      <c r="AU35" s="603"/>
      <c r="AV35" s="604"/>
      <c r="AW35" s="605"/>
    </row>
    <row r="36" spans="1:51" s="161" customFormat="1" x14ac:dyDescent="0.25">
      <c r="A36" s="457"/>
      <c r="B36" s="458"/>
      <c r="C36" s="459"/>
      <c r="D36" s="460"/>
      <c r="E36" s="461"/>
      <c r="F36" s="462"/>
      <c r="G36" s="460"/>
      <c r="H36" s="463"/>
      <c r="I36" s="464"/>
      <c r="J36" s="465"/>
      <c r="K36" s="466"/>
      <c r="L36" s="467"/>
      <c r="M36" s="468"/>
      <c r="N36" s="469"/>
      <c r="O36" s="470"/>
      <c r="P36" s="471"/>
      <c r="Q36" s="472"/>
      <c r="R36" s="473"/>
      <c r="S36" s="474"/>
      <c r="T36" s="475"/>
      <c r="U36" s="476"/>
      <c r="V36" s="477"/>
      <c r="W36" s="478"/>
      <c r="X36" s="479"/>
      <c r="Y36" s="480"/>
      <c r="Z36" s="481"/>
      <c r="AA36" s="482"/>
      <c r="AB36" s="483"/>
      <c r="AC36" s="484"/>
      <c r="AD36" s="460"/>
      <c r="AE36" s="497"/>
      <c r="AF36" s="498"/>
      <c r="AG36" s="460"/>
      <c r="AH36" s="499"/>
      <c r="AI36" s="500"/>
      <c r="AJ36" s="460"/>
      <c r="AK36" s="494"/>
      <c r="AL36" s="495"/>
      <c r="AM36" s="496"/>
      <c r="AN36" s="460"/>
      <c r="AO36" s="490"/>
      <c r="AP36" s="491"/>
      <c r="AQ36" s="492"/>
      <c r="AR36" s="493"/>
      <c r="AS36" s="485"/>
      <c r="AT36" s="486"/>
      <c r="AU36" s="487"/>
      <c r="AV36" s="488"/>
      <c r="AW36" s="489"/>
    </row>
    <row r="37" spans="1:51" ht="18" customHeight="1" x14ac:dyDescent="0.2">
      <c r="A37" s="161"/>
      <c r="B37" s="161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3"/>
      <c r="AC37" s="163"/>
      <c r="AD37" s="506" t="s">
        <v>3955</v>
      </c>
      <c r="AE37" s="506"/>
      <c r="AF37" s="506"/>
      <c r="AG37" s="506"/>
      <c r="AH37" s="506"/>
      <c r="AI37" s="506"/>
      <c r="AJ37" s="507">
        <v>1</v>
      </c>
      <c r="AK37" s="508"/>
      <c r="AL37" s="509"/>
      <c r="AM37" s="510"/>
      <c r="AN37" s="511" t="s">
        <v>3956</v>
      </c>
      <c r="AO37" s="512"/>
      <c r="AP37" s="513"/>
      <c r="AQ37" s="514"/>
      <c r="AR37" s="515"/>
      <c r="AS37" s="501">
        <f>ROUND(AS34, 2)</f>
        <v>1145466.1399999999</v>
      </c>
      <c r="AT37" s="502"/>
      <c r="AU37" s="503"/>
      <c r="AV37" s="504"/>
      <c r="AW37" s="505"/>
    </row>
    <row r="38" spans="1:51" ht="18" customHeight="1" x14ac:dyDescent="0.2">
      <c r="A38" s="161"/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3"/>
      <c r="AC38" s="163"/>
      <c r="AD38" s="506" t="s">
        <v>3958</v>
      </c>
      <c r="AE38" s="506"/>
      <c r="AF38" s="506"/>
      <c r="AG38" s="506"/>
      <c r="AH38" s="506"/>
      <c r="AI38" s="506"/>
      <c r="AJ38" s="553">
        <v>1</v>
      </c>
      <c r="AK38" s="554"/>
      <c r="AL38" s="555"/>
      <c r="AM38" s="556"/>
      <c r="AN38" s="548" t="s">
        <v>3956</v>
      </c>
      <c r="AO38" s="549"/>
      <c r="AP38" s="550"/>
      <c r="AQ38" s="551"/>
      <c r="AR38" s="552"/>
      <c r="AS38" s="543">
        <f>AS37*0.22</f>
        <v>252002.55079999997</v>
      </c>
      <c r="AT38" s="544"/>
      <c r="AU38" s="545"/>
      <c r="AV38" s="546"/>
      <c r="AW38" s="547"/>
    </row>
    <row r="39" spans="1:51" ht="18" customHeight="1" x14ac:dyDescent="0.2">
      <c r="A39" s="161"/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506" t="s">
        <v>3959</v>
      </c>
      <c r="AC39" s="506"/>
      <c r="AD39" s="506"/>
      <c r="AE39" s="506"/>
      <c r="AF39" s="506"/>
      <c r="AG39" s="506"/>
      <c r="AH39" s="506"/>
      <c r="AI39" s="506"/>
      <c r="AJ39" s="539">
        <v>1</v>
      </c>
      <c r="AK39" s="540"/>
      <c r="AL39" s="541"/>
      <c r="AM39" s="542"/>
      <c r="AN39" s="534" t="s">
        <v>3956</v>
      </c>
      <c r="AO39" s="535"/>
      <c r="AP39" s="536"/>
      <c r="AQ39" s="537"/>
      <c r="AR39" s="538"/>
      <c r="AS39" s="529">
        <f>ROUND(AS37+AS38, 2)</f>
        <v>1397468.69</v>
      </c>
      <c r="AT39" s="530"/>
      <c r="AU39" s="531"/>
      <c r="AV39" s="532"/>
      <c r="AW39" s="533"/>
    </row>
    <row r="40" spans="1:51" x14ac:dyDescent="0.2">
      <c r="AY40" s="164"/>
    </row>
    <row r="41" spans="1:51" x14ac:dyDescent="0.2">
      <c r="AY41" s="164"/>
    </row>
    <row r="42" spans="1:51" x14ac:dyDescent="0.2">
      <c r="AY42" s="164"/>
    </row>
    <row r="43" spans="1:51" x14ac:dyDescent="0.2"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Y43" s="164"/>
    </row>
    <row r="44" spans="1:51" x14ac:dyDescent="0.2">
      <c r="H44" s="411" t="str">
        <f>ИНФ!C12</f>
        <v>Директор  ООО "ЭСТ"</v>
      </c>
      <c r="I44" s="412"/>
      <c r="J44" s="412"/>
      <c r="K44" s="412"/>
      <c r="L44" s="412"/>
      <c r="M44" s="412"/>
      <c r="N44" s="412"/>
      <c r="O44" s="412"/>
      <c r="P44" s="412"/>
      <c r="Q44" s="412"/>
      <c r="R44" s="412"/>
      <c r="S44" s="412"/>
      <c r="T44" s="412"/>
      <c r="U44" s="412"/>
      <c r="V44" s="412"/>
      <c r="AY44" s="164"/>
    </row>
    <row r="45" spans="1:51" x14ac:dyDescent="0.2">
      <c r="H45" s="412"/>
      <c r="I45" s="412"/>
      <c r="J45" s="412"/>
      <c r="K45" s="412"/>
      <c r="L45" s="412"/>
      <c r="M45" s="412"/>
      <c r="N45" s="412"/>
      <c r="O45" s="412"/>
      <c r="P45" s="412"/>
      <c r="Q45" s="412"/>
      <c r="R45" s="412"/>
      <c r="S45" s="412"/>
      <c r="T45" s="412"/>
      <c r="U45" s="412"/>
      <c r="V45" s="412"/>
      <c r="AY45" s="164"/>
    </row>
    <row r="46" spans="1:51" x14ac:dyDescent="0.2">
      <c r="H46" s="412"/>
      <c r="I46" s="412"/>
      <c r="J46" s="412"/>
      <c r="K46" s="412"/>
      <c r="L46" s="412"/>
      <c r="M46" s="412"/>
      <c r="N46" s="412"/>
      <c r="O46" s="412"/>
      <c r="P46" s="412"/>
      <c r="Q46" s="412"/>
      <c r="R46" s="412"/>
      <c r="S46" s="412"/>
      <c r="T46" s="412"/>
      <c r="U46" s="412"/>
      <c r="V46" s="412"/>
      <c r="AY46" s="164"/>
    </row>
    <row r="47" spans="1:51" x14ac:dyDescent="0.2">
      <c r="H47" s="412"/>
      <c r="I47" s="412"/>
      <c r="J47" s="412"/>
      <c r="K47" s="412"/>
      <c r="L47" s="412"/>
      <c r="M47" s="412"/>
      <c r="N47" s="412"/>
      <c r="O47" s="412"/>
      <c r="P47" s="412"/>
      <c r="Q47" s="412"/>
      <c r="R47" s="412"/>
      <c r="S47" s="412"/>
      <c r="T47" s="412"/>
      <c r="U47" s="412"/>
      <c r="V47" s="412"/>
      <c r="AY47" s="164"/>
    </row>
    <row r="48" spans="1:51" ht="12.6" customHeight="1" x14ac:dyDescent="0.2">
      <c r="A48" t="s">
        <v>3887</v>
      </c>
      <c r="H48" s="428"/>
      <c r="I48" s="429"/>
      <c r="J48" s="430"/>
      <c r="K48" s="431"/>
      <c r="L48" s="432"/>
      <c r="M48" s="433"/>
      <c r="N48" s="434"/>
      <c r="O48" s="435"/>
      <c r="P48" s="436"/>
      <c r="Q48" s="437"/>
      <c r="R48" s="438"/>
      <c r="S48" s="439"/>
      <c r="T48" s="440"/>
      <c r="U48" s="441"/>
      <c r="V48" s="44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I48" s="443" t="str">
        <f>ИНФ!C11</f>
        <v>Нестеренко Е.В.</v>
      </c>
      <c r="AJ48" s="444"/>
      <c r="AK48" s="445"/>
      <c r="AL48" s="446"/>
      <c r="AM48" s="447"/>
      <c r="AN48" s="448"/>
      <c r="AO48" s="449"/>
      <c r="AP48" s="450"/>
      <c r="AQ48" s="451"/>
      <c r="AR48" s="452"/>
      <c r="AS48" s="453"/>
      <c r="AT48" s="454"/>
      <c r="AU48" s="455"/>
      <c r="AV48" s="456"/>
    </row>
    <row r="50" spans="1:48" x14ac:dyDescent="0.2">
      <c r="AB50" t="s">
        <v>3964</v>
      </c>
    </row>
    <row r="59" spans="1:48" x14ac:dyDescent="0.2">
      <c r="H59" s="411" t="str">
        <f>ИНФ!C15</f>
        <v>Директор макрорегионального филиала "Юг" ОOO "Т2 Мобайл"</v>
      </c>
      <c r="I59" s="412"/>
      <c r="J59" s="412"/>
      <c r="K59" s="412"/>
      <c r="L59" s="412"/>
      <c r="M59" s="412"/>
      <c r="N59" s="412"/>
      <c r="O59" s="412"/>
      <c r="P59" s="412"/>
      <c r="Q59" s="412"/>
      <c r="R59" s="412"/>
      <c r="S59" s="412"/>
      <c r="T59" s="412"/>
      <c r="U59" s="412"/>
      <c r="V59" s="412"/>
    </row>
    <row r="60" spans="1:48" x14ac:dyDescent="0.2">
      <c r="H60" s="412"/>
      <c r="I60" s="412"/>
      <c r="J60" s="412"/>
      <c r="K60" s="412"/>
      <c r="L60" s="412"/>
      <c r="M60" s="412"/>
      <c r="N60" s="412"/>
      <c r="O60" s="412"/>
      <c r="P60" s="412"/>
      <c r="Q60" s="412"/>
      <c r="R60" s="412"/>
      <c r="S60" s="412"/>
      <c r="T60" s="412"/>
      <c r="U60" s="412"/>
      <c r="V60" s="412"/>
    </row>
    <row r="61" spans="1:48" ht="12.6" customHeight="1" x14ac:dyDescent="0.2">
      <c r="A61" t="s">
        <v>3888</v>
      </c>
      <c r="H61" s="413"/>
      <c r="I61" s="414"/>
      <c r="J61" s="415"/>
      <c r="K61" s="416"/>
      <c r="L61" s="417"/>
      <c r="M61" s="418"/>
      <c r="N61" s="419"/>
      <c r="O61" s="420"/>
      <c r="P61" s="421"/>
      <c r="Q61" s="422"/>
      <c r="R61" s="423"/>
      <c r="S61" s="424"/>
      <c r="T61" s="425"/>
      <c r="U61" s="426"/>
      <c r="V61" s="427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I61" s="443" t="str">
        <f>ИНФ!C14</f>
        <v>Мотлях К.Г.</v>
      </c>
      <c r="AJ61" s="516"/>
      <c r="AK61" s="517"/>
      <c r="AL61" s="518"/>
      <c r="AM61" s="519"/>
      <c r="AN61" s="520"/>
      <c r="AO61" s="521"/>
      <c r="AP61" s="522"/>
      <c r="AQ61" s="523"/>
      <c r="AR61" s="524"/>
      <c r="AS61" s="525"/>
      <c r="AT61" s="526"/>
      <c r="AU61" s="527"/>
      <c r="AV61" s="528"/>
    </row>
    <row r="63" spans="1:48" x14ac:dyDescent="0.2">
      <c r="AB63" t="s">
        <v>3964</v>
      </c>
    </row>
  </sheetData>
  <mergeCells count="91">
    <mergeCell ref="AG1:AW1"/>
    <mergeCell ref="AP2:AW2"/>
    <mergeCell ref="AP3:AW3"/>
    <mergeCell ref="AP4:AW5"/>
    <mergeCell ref="AP6:AW7"/>
    <mergeCell ref="E5:AJ5"/>
    <mergeCell ref="A7:J7"/>
    <mergeCell ref="K7:AJ7"/>
    <mergeCell ref="A9:J9"/>
    <mergeCell ref="K9:AJ9"/>
    <mergeCell ref="A11:D11"/>
    <mergeCell ref="E11:AO11"/>
    <mergeCell ref="A13:D13"/>
    <mergeCell ref="E13:AO13"/>
    <mergeCell ref="AP8:AW9"/>
    <mergeCell ref="AP10:AW11"/>
    <mergeCell ref="AP12:AW13"/>
    <mergeCell ref="AP14:AW14"/>
    <mergeCell ref="AP15:AW15"/>
    <mergeCell ref="AP16:AW16"/>
    <mergeCell ref="AP17:AW17"/>
    <mergeCell ref="AP18:AW18"/>
    <mergeCell ref="AK15:AO15"/>
    <mergeCell ref="AK16:AO16"/>
    <mergeCell ref="AK17:AO17"/>
    <mergeCell ref="AK18:AO18"/>
    <mergeCell ref="AC17:AJ17"/>
    <mergeCell ref="AP19:AW19"/>
    <mergeCell ref="P21:X22"/>
    <mergeCell ref="P23:X23"/>
    <mergeCell ref="Y21:AG22"/>
    <mergeCell ref="Y23:AG23"/>
    <mergeCell ref="V25:X25"/>
    <mergeCell ref="P26:AE26"/>
    <mergeCell ref="AJ22:AM22"/>
    <mergeCell ref="AJ21:AQ21"/>
    <mergeCell ref="AN22:AQ22"/>
    <mergeCell ref="AN23:AQ23"/>
    <mergeCell ref="AJ23:AM23"/>
    <mergeCell ref="D34:F34"/>
    <mergeCell ref="A34:C34"/>
    <mergeCell ref="AH28:AN28"/>
    <mergeCell ref="AG30:AI31"/>
    <mergeCell ref="AJ31:AM31"/>
    <mergeCell ref="AJ32:AM32"/>
    <mergeCell ref="AG32:AI32"/>
    <mergeCell ref="AJ30:AW30"/>
    <mergeCell ref="AS31:AW31"/>
    <mergeCell ref="AS32:AW32"/>
    <mergeCell ref="AN31:AR31"/>
    <mergeCell ref="AN32:AR32"/>
    <mergeCell ref="A35:AW35"/>
    <mergeCell ref="A32:C32"/>
    <mergeCell ref="D32:F32"/>
    <mergeCell ref="G32:AC32"/>
    <mergeCell ref="A30:C31"/>
    <mergeCell ref="D30:F31"/>
    <mergeCell ref="G30:AC31"/>
    <mergeCell ref="AD30:AF31"/>
    <mergeCell ref="AD32:AF32"/>
    <mergeCell ref="A33:AW33"/>
    <mergeCell ref="G34:AC34"/>
    <mergeCell ref="AD34:AF34"/>
    <mergeCell ref="AN34:AR34"/>
    <mergeCell ref="AG34:AI34"/>
    <mergeCell ref="AS34:AW34"/>
    <mergeCell ref="AJ34:AM34"/>
    <mergeCell ref="AS39:AW39"/>
    <mergeCell ref="AN39:AR39"/>
    <mergeCell ref="AJ39:AM39"/>
    <mergeCell ref="AB39:AI39"/>
    <mergeCell ref="AS38:AW38"/>
    <mergeCell ref="AN38:AR38"/>
    <mergeCell ref="AJ38:AM38"/>
    <mergeCell ref="AD38:AI38"/>
    <mergeCell ref="H59:V61"/>
    <mergeCell ref="H44:V48"/>
    <mergeCell ref="AI48:AV48"/>
    <mergeCell ref="A36:C36"/>
    <mergeCell ref="D36:F36"/>
    <mergeCell ref="G36:AC36"/>
    <mergeCell ref="AS36:AW36"/>
    <mergeCell ref="AN36:AR36"/>
    <mergeCell ref="AJ36:AM36"/>
    <mergeCell ref="AD36:AF36"/>
    <mergeCell ref="AG36:AI36"/>
    <mergeCell ref="AS37:AW37"/>
    <mergeCell ref="AD37:AI37"/>
    <mergeCell ref="AJ37:AM37"/>
    <mergeCell ref="AN37:AR37"/>
    <mergeCell ref="AI61:AV61"/>
  </mergeCells>
  <pageMargins left="0.70866137742996216" right="0.70866137742996216" top="0.74803149700164795" bottom="0.74803149700164795" header="0.5118110179901123" footer="0.5118110179901123"/>
  <pageSetup paperSize="9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7"/>
  <sheetViews>
    <sheetView topLeftCell="A16" workbookViewId="0">
      <selection activeCell="G38" sqref="G38"/>
    </sheetView>
  </sheetViews>
  <sheetFormatPr defaultColWidth="10.140625" defaultRowHeight="15.75" x14ac:dyDescent="0.25"/>
  <cols>
    <col min="1" max="1" width="8" style="170" customWidth="1"/>
    <col min="2" max="2" width="48.140625" style="170" customWidth="1"/>
    <col min="3" max="3" width="16.85546875" style="170" customWidth="1"/>
    <col min="4" max="4" width="9.85546875" style="170" customWidth="1"/>
    <col min="5" max="5" width="15.7109375" style="170" customWidth="1"/>
    <col min="6" max="6" width="12.85546875" style="170" customWidth="1"/>
    <col min="7" max="7" width="14.28515625" style="170" customWidth="1"/>
    <col min="8" max="8" width="10.140625" style="171" bestFit="1" customWidth="1"/>
    <col min="9" max="16384" width="10.140625" style="171"/>
  </cols>
  <sheetData>
    <row r="1" spans="1:9" s="172" customFormat="1" ht="18" customHeight="1" x14ac:dyDescent="0.2">
      <c r="D1" s="173"/>
      <c r="E1" s="173"/>
      <c r="F1" s="174"/>
      <c r="G1" s="174" t="s">
        <v>3987</v>
      </c>
    </row>
    <row r="2" spans="1:9" s="172" customFormat="1" ht="12.75" x14ac:dyDescent="0.2">
      <c r="D2" s="175"/>
      <c r="E2" s="176"/>
      <c r="F2" s="177"/>
      <c r="G2" s="177" t="s">
        <v>3988</v>
      </c>
    </row>
    <row r="3" spans="1:9" s="172" customFormat="1" ht="12.75" x14ac:dyDescent="0.2">
      <c r="D3" s="178"/>
      <c r="F3" s="177"/>
      <c r="G3" s="177" t="s">
        <v>3989</v>
      </c>
      <c r="I3" s="179"/>
    </row>
    <row r="4" spans="1:9" s="172" customFormat="1" ht="12.75" x14ac:dyDescent="0.2"/>
    <row r="5" spans="1:9" s="172" customFormat="1" ht="12.75" x14ac:dyDescent="0.2">
      <c r="F5" s="1262" t="s">
        <v>3947</v>
      </c>
      <c r="G5" s="1263"/>
    </row>
    <row r="6" spans="1:9" s="172" customFormat="1" ht="12.75" x14ac:dyDescent="0.2">
      <c r="E6" s="180" t="s">
        <v>3949</v>
      </c>
      <c r="F6" s="1264">
        <v>322001</v>
      </c>
      <c r="G6" s="1265"/>
    </row>
    <row r="7" spans="1:9" s="172" customFormat="1" ht="27.75" customHeight="1" x14ac:dyDescent="0.2">
      <c r="A7" s="181" t="s">
        <v>3952</v>
      </c>
      <c r="B7" s="1249"/>
      <c r="C7" s="1249"/>
      <c r="D7" s="1249"/>
      <c r="E7" s="180" t="s">
        <v>3953</v>
      </c>
      <c r="F7" s="1258"/>
      <c r="G7" s="1266"/>
    </row>
    <row r="8" spans="1:9" s="172" customFormat="1" ht="12.75" x14ac:dyDescent="0.2">
      <c r="B8" s="1250"/>
      <c r="C8" s="1250"/>
      <c r="D8" s="183"/>
      <c r="E8" s="184"/>
      <c r="F8" s="1267"/>
      <c r="G8" s="1268"/>
    </row>
    <row r="9" spans="1:9" s="172" customFormat="1" ht="29.45" customHeight="1" x14ac:dyDescent="0.2">
      <c r="A9" s="185" t="s">
        <v>3993</v>
      </c>
      <c r="B9" s="1249" t="str">
        <f>ИНФ!C16</f>
        <v>ООО "Т2 Мобайл", 108811, г. Москва, Киевское шоссе 22-й километр, домовладение 6, строение 1, этаж 5, комната 33</v>
      </c>
      <c r="C9" s="1249"/>
      <c r="D9" s="1249"/>
      <c r="E9" s="187" t="s">
        <v>3953</v>
      </c>
      <c r="F9" s="1258">
        <f>ИНФ!C17</f>
        <v>17872715</v>
      </c>
      <c r="G9" s="1269"/>
    </row>
    <row r="10" spans="1:9" s="172" customFormat="1" ht="12.75" x14ac:dyDescent="0.2">
      <c r="B10" s="190"/>
      <c r="E10" s="184"/>
      <c r="F10" s="1270"/>
      <c r="G10" s="1271"/>
    </row>
    <row r="11" spans="1:9" s="172" customFormat="1" ht="33.75" customHeight="1" x14ac:dyDescent="0.2">
      <c r="A11" s="185" t="s">
        <v>3997</v>
      </c>
      <c r="B11" s="1249" t="str">
        <f>ИНФ!C10</f>
        <v>ООО "ЭСТ", 350005, Краснодарский край, г. Краснодар, ул. им. Александра Покрышкина д.  25/А, корп.2, помещ.  21,22,23</v>
      </c>
      <c r="C11" s="1249"/>
      <c r="D11" s="1249"/>
      <c r="E11" s="187" t="s">
        <v>3953</v>
      </c>
      <c r="F11" s="1258">
        <f>ИНФ!C13</f>
        <v>91130665</v>
      </c>
      <c r="G11" s="1259"/>
    </row>
    <row r="12" spans="1:9" s="172" customFormat="1" ht="12.75" x14ac:dyDescent="0.2">
      <c r="B12" s="194"/>
      <c r="F12" s="1260"/>
      <c r="G12" s="1261"/>
    </row>
    <row r="13" spans="1:9" s="172" customFormat="1" ht="15" customHeight="1" x14ac:dyDescent="0.2">
      <c r="A13" s="185" t="s">
        <v>3961</v>
      </c>
      <c r="B13" s="1249"/>
      <c r="C13" s="1249"/>
      <c r="D13" s="1249"/>
      <c r="F13" s="1251"/>
      <c r="G13" s="1255"/>
    </row>
    <row r="14" spans="1:9" s="172" customFormat="1" ht="12.75" x14ac:dyDescent="0.2">
      <c r="B14" s="196"/>
      <c r="C14" s="198"/>
      <c r="D14" s="198"/>
      <c r="E14" s="201"/>
      <c r="F14" s="1256"/>
      <c r="G14" s="1257"/>
    </row>
    <row r="15" spans="1:9" s="172" customFormat="1" ht="22.5" customHeight="1" x14ac:dyDescent="0.2">
      <c r="A15" s="185" t="s">
        <v>156</v>
      </c>
      <c r="B15" s="1249"/>
      <c r="C15" s="1249"/>
      <c r="D15" s="1249"/>
      <c r="E15" s="205" t="s">
        <v>3963</v>
      </c>
      <c r="F15" s="1253"/>
      <c r="G15" s="1254"/>
    </row>
    <row r="16" spans="1:9" s="172" customFormat="1" ht="12.75" x14ac:dyDescent="0.2">
      <c r="B16" s="206"/>
      <c r="D16" s="207" t="s">
        <v>3965</v>
      </c>
      <c r="E16" s="208" t="s">
        <v>3966</v>
      </c>
      <c r="F16" s="1251" t="str">
        <f>ИНФ!C2</f>
        <v>ТО-ЭСТ-РО-2025</v>
      </c>
      <c r="G16" s="1252"/>
    </row>
    <row r="17" spans="1:8" s="172" customFormat="1" ht="12.75" x14ac:dyDescent="0.2">
      <c r="B17" s="206"/>
      <c r="D17" s="207"/>
      <c r="E17" s="210" t="s">
        <v>3967</v>
      </c>
      <c r="F17" s="1280">
        <f>ИНФ!C3</f>
        <v>45901</v>
      </c>
      <c r="G17" s="1281"/>
    </row>
    <row r="18" spans="1:8" s="172" customFormat="1" ht="12.75" x14ac:dyDescent="0.2">
      <c r="B18" s="206"/>
      <c r="D18" s="184"/>
      <c r="E18" s="208" t="s">
        <v>3966</v>
      </c>
      <c r="F18" s="1278" t="str">
        <f>ИНФ!C4</f>
        <v>ОРЕХ 2612-2613</v>
      </c>
      <c r="G18" s="1279"/>
    </row>
    <row r="19" spans="1:8" s="172" customFormat="1" ht="12.75" x14ac:dyDescent="0.2">
      <c r="C19" s="217"/>
      <c r="D19" s="218"/>
      <c r="E19" s="210" t="s">
        <v>3967</v>
      </c>
      <c r="F19" s="1276">
        <f>ИНФ!D2</f>
        <v>46111</v>
      </c>
      <c r="G19" s="1277"/>
    </row>
    <row r="20" spans="1:8" s="172" customFormat="1" ht="12.75" x14ac:dyDescent="0.2">
      <c r="E20" s="184" t="s">
        <v>3971</v>
      </c>
      <c r="F20" s="1274"/>
      <c r="G20" s="1275"/>
    </row>
    <row r="21" spans="1:8" s="172" customFormat="1" ht="12.75" x14ac:dyDescent="0.2"/>
    <row r="22" spans="1:8" s="172" customFormat="1" ht="12.75" x14ac:dyDescent="0.2">
      <c r="C22" s="1231" t="s">
        <v>3974</v>
      </c>
      <c r="D22" s="1233" t="s">
        <v>3975</v>
      </c>
      <c r="F22" s="1272" t="s">
        <v>3976</v>
      </c>
      <c r="G22" s="1273"/>
    </row>
    <row r="23" spans="1:8" s="172" customFormat="1" ht="12.75" x14ac:dyDescent="0.2">
      <c r="C23" s="1232"/>
      <c r="D23" s="1234"/>
      <c r="F23" s="223" t="s">
        <v>4004</v>
      </c>
      <c r="G23" s="223" t="s">
        <v>4005</v>
      </c>
    </row>
    <row r="24" spans="1:8" s="172" customFormat="1" ht="12.75" x14ac:dyDescent="0.2">
      <c r="C24" s="230" t="str">
        <f>ИНФ!C4</f>
        <v>ОРЕХ 2612-2613</v>
      </c>
      <c r="D24" s="231">
        <f>КС2!Y23</f>
        <v>0</v>
      </c>
      <c r="F24" s="231" t="str">
        <f>ИНФ!C6</f>
        <v>16.03.2026г</v>
      </c>
      <c r="G24" s="231" t="str">
        <f>ИНФ!C7</f>
        <v>29.03.2026г.</v>
      </c>
    </row>
    <row r="25" spans="1:8" s="172" customFormat="1" ht="12.75" x14ac:dyDescent="0.2">
      <c r="B25" s="1236" t="s">
        <v>4007</v>
      </c>
      <c r="C25" s="1236"/>
      <c r="D25" s="1236"/>
    </row>
    <row r="26" spans="1:8" s="172" customFormat="1" ht="12.75" x14ac:dyDescent="0.2">
      <c r="B26" s="1235" t="s">
        <v>4008</v>
      </c>
      <c r="C26" s="1235"/>
      <c r="D26" s="1235"/>
    </row>
    <row r="27" spans="1:8" s="172" customFormat="1" ht="12.75" x14ac:dyDescent="0.2"/>
    <row r="28" spans="1:8" s="172" customFormat="1" ht="13.5" customHeight="1" x14ac:dyDescent="0.2"/>
    <row r="29" spans="1:8" s="172" customFormat="1" ht="21.6" customHeight="1" x14ac:dyDescent="0.2">
      <c r="A29" s="1241" t="s">
        <v>3990</v>
      </c>
      <c r="B29" s="1241" t="s">
        <v>3991</v>
      </c>
      <c r="C29" s="1241" t="s">
        <v>3947</v>
      </c>
      <c r="D29" s="1244"/>
      <c r="E29" s="1241" t="s">
        <v>3992</v>
      </c>
      <c r="F29" s="1247"/>
      <c r="G29" s="1248"/>
    </row>
    <row r="30" spans="1:8" s="172" customFormat="1" ht="38.25" x14ac:dyDescent="0.2">
      <c r="A30" s="1242"/>
      <c r="B30" s="1243"/>
      <c r="C30" s="1245"/>
      <c r="D30" s="1246"/>
      <c r="E30" s="182" t="s">
        <v>3994</v>
      </c>
      <c r="F30" s="186" t="s">
        <v>3995</v>
      </c>
      <c r="G30" s="188" t="s">
        <v>3996</v>
      </c>
      <c r="H30" s="181"/>
    </row>
    <row r="31" spans="1:8" s="170" customFormat="1" x14ac:dyDescent="0.25">
      <c r="A31" s="189">
        <v>1</v>
      </c>
      <c r="B31" s="189">
        <v>2</v>
      </c>
      <c r="C31" s="1229">
        <v>3</v>
      </c>
      <c r="D31" s="1230"/>
      <c r="E31" s="189">
        <v>4</v>
      </c>
      <c r="F31" s="191">
        <v>5</v>
      </c>
      <c r="G31" s="189">
        <v>6</v>
      </c>
    </row>
    <row r="32" spans="1:8" s="170" customFormat="1" ht="30.75" customHeight="1" x14ac:dyDescent="0.25">
      <c r="A32" s="192"/>
      <c r="B32" s="193" t="s">
        <v>3998</v>
      </c>
      <c r="C32" s="1227"/>
      <c r="D32" s="1228"/>
      <c r="E32" s="195">
        <f>КС2!AS37</f>
        <v>1145466.1399999999</v>
      </c>
      <c r="F32" s="195">
        <f>E32</f>
        <v>1145466.1399999999</v>
      </c>
      <c r="G32" s="195">
        <f>F32</f>
        <v>1145466.1399999999</v>
      </c>
    </row>
    <row r="33" spans="1:7" s="170" customFormat="1" ht="18" customHeight="1" x14ac:dyDescent="0.25">
      <c r="A33" s="192"/>
      <c r="B33" s="193" t="s">
        <v>3999</v>
      </c>
      <c r="C33" s="1227"/>
      <c r="D33" s="1239"/>
      <c r="E33" s="197"/>
      <c r="F33" s="199"/>
      <c r="G33" s="200"/>
    </row>
    <row r="34" spans="1:7" s="202" customFormat="1" ht="33.75" customHeight="1" x14ac:dyDescent="0.25">
      <c r="A34" s="203">
        <v>1</v>
      </c>
      <c r="B34" s="204" t="str">
        <f>"Отчет по аварийно восстановительным работам "&amp;ИНФ!C4&amp;" "</f>
        <v xml:space="preserve">Отчет по аварийно восстановительным работам ОРЕХ 2612-2613 </v>
      </c>
      <c r="C34" s="1227"/>
      <c r="D34" s="1240"/>
      <c r="E34" s="195">
        <f>E32</f>
        <v>1145466.1399999999</v>
      </c>
      <c r="F34" s="195">
        <f>E34</f>
        <v>1145466.1399999999</v>
      </c>
      <c r="G34" s="195">
        <f>E34</f>
        <v>1145466.1399999999</v>
      </c>
    </row>
    <row r="35" spans="1:7" s="172" customFormat="1" ht="18" customHeight="1" x14ac:dyDescent="0.2">
      <c r="A35" s="203">
        <v>2</v>
      </c>
      <c r="B35" s="209" t="s">
        <v>4000</v>
      </c>
      <c r="C35" s="1227"/>
      <c r="D35" s="1238"/>
      <c r="E35" s="195">
        <v>0</v>
      </c>
      <c r="F35" s="195">
        <f>E35</f>
        <v>0</v>
      </c>
      <c r="G35" s="211">
        <f>E35</f>
        <v>0</v>
      </c>
    </row>
    <row r="36" spans="1:7" s="172" customFormat="1" ht="15" x14ac:dyDescent="0.25">
      <c r="A36" s="212"/>
      <c r="B36" s="213"/>
      <c r="C36" s="1237"/>
      <c r="D36" s="1237"/>
      <c r="E36" s="214"/>
      <c r="F36" s="215" t="s">
        <v>4001</v>
      </c>
      <c r="G36" s="216">
        <f>G32</f>
        <v>1145466.1399999999</v>
      </c>
    </row>
    <row r="37" spans="1:7" s="172" customFormat="1" ht="15" x14ac:dyDescent="0.25">
      <c r="A37" s="212"/>
      <c r="B37" s="213"/>
      <c r="C37" s="1237"/>
      <c r="D37" s="1237"/>
      <c r="E37" s="214"/>
      <c r="F37" s="219" t="s">
        <v>4002</v>
      </c>
      <c r="G37" s="220">
        <f>КС2!AS38</f>
        <v>252002.55079999997</v>
      </c>
    </row>
    <row r="38" spans="1:7" s="172" customFormat="1" ht="15" x14ac:dyDescent="0.25">
      <c r="A38" s="221"/>
      <c r="B38" s="213"/>
      <c r="C38" s="1237"/>
      <c r="D38" s="1237"/>
      <c r="E38" s="214"/>
      <c r="F38" s="222" t="s">
        <v>4003</v>
      </c>
      <c r="G38" s="224">
        <f>G36+G37</f>
        <v>1397468.6908</v>
      </c>
    </row>
    <row r="39" spans="1:7" s="172" customFormat="1" ht="12.75" x14ac:dyDescent="0.2">
      <c r="B39" s="225"/>
      <c r="C39" s="226"/>
      <c r="D39" s="226"/>
      <c r="E39" s="227"/>
      <c r="F39" s="228"/>
      <c r="G39" s="229"/>
    </row>
    <row r="40" spans="1:7" s="172" customFormat="1" ht="12.75" x14ac:dyDescent="0.2">
      <c r="B40" s="225"/>
      <c r="C40" s="226"/>
      <c r="D40" s="226"/>
      <c r="E40" s="227"/>
      <c r="F40" s="228"/>
      <c r="G40" s="229"/>
    </row>
    <row r="41" spans="1:7" s="172" customFormat="1" ht="12.75" x14ac:dyDescent="0.2">
      <c r="B41" s="225"/>
      <c r="C41" s="226"/>
      <c r="D41" s="226"/>
      <c r="E41" s="227"/>
      <c r="F41" s="232"/>
      <c r="G41" s="229"/>
    </row>
    <row r="42" spans="1:7" s="172" customFormat="1" x14ac:dyDescent="0.25">
      <c r="A42" s="233" t="s">
        <v>4006</v>
      </c>
      <c r="B42" s="225"/>
      <c r="C42" s="226"/>
      <c r="D42" s="226"/>
      <c r="E42" s="227"/>
      <c r="F42" s="232"/>
      <c r="G42" s="229"/>
    </row>
    <row r="43" spans="1:7" s="170" customFormat="1" x14ac:dyDescent="0.25">
      <c r="B43" s="221" t="str">
        <f>ИНФ!C15</f>
        <v>Директор макрорегионального филиала "Юг" ОOO "Т2 Мобайл"</v>
      </c>
      <c r="D43" s="234"/>
      <c r="E43" s="221" t="str">
        <f>ИНФ!C14</f>
        <v>Мотлях К.Г.</v>
      </c>
      <c r="F43" s="233"/>
    </row>
    <row r="44" spans="1:7" s="170" customFormat="1" ht="12.6" customHeight="1" x14ac:dyDescent="0.25">
      <c r="A44" s="235"/>
      <c r="B44" s="233"/>
      <c r="D44" s="226" t="s">
        <v>4009</v>
      </c>
      <c r="F44" s="235"/>
    </row>
    <row r="45" spans="1:7" s="170" customFormat="1" x14ac:dyDescent="0.25">
      <c r="A45" s="235"/>
      <c r="B45" s="237" t="s">
        <v>3964</v>
      </c>
      <c r="D45" s="238"/>
      <c r="F45" s="239"/>
    </row>
    <row r="46" spans="1:7" s="170" customFormat="1" x14ac:dyDescent="0.25">
      <c r="A46" s="235"/>
      <c r="B46" s="237"/>
      <c r="D46" s="238"/>
      <c r="F46" s="239"/>
    </row>
    <row r="47" spans="1:7" s="170" customFormat="1" x14ac:dyDescent="0.25">
      <c r="A47" s="235"/>
      <c r="B47" s="237"/>
      <c r="D47" s="238"/>
      <c r="F47" s="239"/>
    </row>
    <row r="48" spans="1:7" s="170" customFormat="1" x14ac:dyDescent="0.25">
      <c r="A48" s="235"/>
      <c r="B48" s="237"/>
      <c r="D48" s="238"/>
      <c r="F48" s="239"/>
    </row>
    <row r="49" spans="1:7" s="170" customFormat="1" x14ac:dyDescent="0.25">
      <c r="A49" s="233" t="s">
        <v>4010</v>
      </c>
      <c r="B49" s="235"/>
    </row>
    <row r="50" spans="1:7" s="170" customFormat="1" x14ac:dyDescent="0.25">
      <c r="B50" s="221" t="str">
        <f>ИНФ!C12</f>
        <v>Директор  ООО "ЭСТ"</v>
      </c>
      <c r="C50" s="221"/>
      <c r="D50" s="236"/>
      <c r="E50" s="221" t="str">
        <f>ИНФ!C11</f>
        <v>Нестеренко Е.В.</v>
      </c>
      <c r="F50" s="233"/>
    </row>
    <row r="51" spans="1:7" s="170" customFormat="1" x14ac:dyDescent="0.25">
      <c r="D51" s="226" t="s">
        <v>4009</v>
      </c>
      <c r="F51" s="238"/>
      <c r="G51" s="240"/>
    </row>
    <row r="52" spans="1:7" s="170" customFormat="1" x14ac:dyDescent="0.25">
      <c r="B52" s="237" t="s">
        <v>3964</v>
      </c>
      <c r="D52" s="238"/>
      <c r="F52" s="238"/>
      <c r="G52" s="240"/>
    </row>
    <row r="55" spans="1:7" ht="12.75" customHeight="1" x14ac:dyDescent="0.25"/>
    <row r="57" spans="1:7" ht="12.6" customHeight="1" x14ac:dyDescent="0.25"/>
  </sheetData>
  <mergeCells count="35">
    <mergeCell ref="F5:G5"/>
    <mergeCell ref="F6:G6"/>
    <mergeCell ref="F7:G8"/>
    <mergeCell ref="F9:G10"/>
    <mergeCell ref="F22:G22"/>
    <mergeCell ref="F20:G20"/>
    <mergeCell ref="F19:G19"/>
    <mergeCell ref="F18:G18"/>
    <mergeCell ref="F17:G17"/>
    <mergeCell ref="A29:A30"/>
    <mergeCell ref="B29:B30"/>
    <mergeCell ref="C29:D30"/>
    <mergeCell ref="E29:G29"/>
    <mergeCell ref="B7:D7"/>
    <mergeCell ref="B8:C8"/>
    <mergeCell ref="B9:D9"/>
    <mergeCell ref="B11:D11"/>
    <mergeCell ref="B13:D13"/>
    <mergeCell ref="B15:D15"/>
    <mergeCell ref="F16:G16"/>
    <mergeCell ref="F15:G15"/>
    <mergeCell ref="F13:G14"/>
    <mergeCell ref="F11:G12"/>
    <mergeCell ref="C38:D38"/>
    <mergeCell ref="C37:D37"/>
    <mergeCell ref="C36:D36"/>
    <mergeCell ref="C35:D35"/>
    <mergeCell ref="C33:D33"/>
    <mergeCell ref="C34:D34"/>
    <mergeCell ref="C32:D32"/>
    <mergeCell ref="C31:D31"/>
    <mergeCell ref="C22:C23"/>
    <mergeCell ref="D22:D23"/>
    <mergeCell ref="B26:D26"/>
    <mergeCell ref="B25:D25"/>
  </mergeCells>
  <pageMargins left="0.70000004768371582" right="0.70000004768371582" top="0.75" bottom="0.75" header="0.51180553436279297" footer="0.51180553436279297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3</vt:i4>
      </vt:variant>
    </vt:vector>
  </HeadingPairs>
  <TitlesOfParts>
    <vt:vector size="10" baseType="lpstr">
      <vt:lpstr>ИНФ</vt:lpstr>
      <vt:lpstr>Работы</vt:lpstr>
      <vt:lpstr>Расстояния</vt:lpstr>
      <vt:lpstr>Opex</vt:lpstr>
      <vt:lpstr>СИМ</vt:lpstr>
      <vt:lpstr>КС2</vt:lpstr>
      <vt:lpstr>КС3</vt:lpstr>
      <vt:lpstr>Opex!Заголовки_для_печати</vt:lpstr>
      <vt:lpstr>КС2!Заголовки_для_печати</vt:lpstr>
      <vt:lpstr>Opex!Область_печати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Назаренко Андрей Сергеевич</dc:creator>
  <cp:lastModifiedBy>Шейко Марина Владимировна</cp:lastModifiedBy>
  <dcterms:created xsi:type="dcterms:W3CDTF">2025-11-12T05:28:27Z</dcterms:created>
  <dcterms:modified xsi:type="dcterms:W3CDTF">2026-04-30T07:18:05Z</dcterms:modified>
</cp:coreProperties>
</file>